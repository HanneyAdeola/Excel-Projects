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658075E9-AF0B-4CED-B0A2-5AB62DFA0548}"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6" sheetId="6" r:id="rId2"/>
    <sheet name="Dashboard" sheetId="7" r:id="rId3"/>
    <sheet name="Sheet2" sheetId="2" r:id="rId4"/>
  </sheets>
  <definedNames>
    <definedName name="_xlnm._FilterDatabase" localSheetId="0" hidden="1">Sheet1!$A$1:$R$1126</definedName>
    <definedName name="_xlnm._FilterDatabase" localSheetId="3" hidden="1">Sheet2!$A$1:$R$1112</definedName>
    <definedName name="Slicer_Product_Category">#N/A</definedName>
    <definedName name="Slicer_State1">#N/A</definedName>
    <definedName name="Slicer_Sub_Category">#N/A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2" i="2"/>
  <c r="AB10" i="6"/>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 r="Q255" i="2"/>
  <c r="R255" i="2" s="1"/>
  <c r="Q256" i="2"/>
  <c r="R256" i="2" s="1"/>
  <c r="Q257" i="2"/>
  <c r="R257" i="2" s="1"/>
  <c r="Q258" i="2"/>
  <c r="R258" i="2" s="1"/>
  <c r="Q259" i="2"/>
  <c r="R259" i="2" s="1"/>
  <c r="Q260" i="2"/>
  <c r="R260" i="2" s="1"/>
  <c r="Q261" i="2"/>
  <c r="R261" i="2" s="1"/>
  <c r="Q262" i="2"/>
  <c r="R262" i="2" s="1"/>
  <c r="Q263" i="2"/>
  <c r="R263" i="2" s="1"/>
  <c r="Q264" i="2"/>
  <c r="R264" i="2" s="1"/>
  <c r="Q265" i="2"/>
  <c r="R265" i="2" s="1"/>
  <c r="Q266" i="2"/>
  <c r="R266" i="2" s="1"/>
  <c r="Q267" i="2"/>
  <c r="R267" i="2" s="1"/>
  <c r="Q268" i="2"/>
  <c r="R268" i="2" s="1"/>
  <c r="Q269" i="2"/>
  <c r="R269" i="2" s="1"/>
  <c r="Q270" i="2"/>
  <c r="R270" i="2" s="1"/>
  <c r="Q271" i="2"/>
  <c r="R271" i="2" s="1"/>
  <c r="Q272" i="2"/>
  <c r="R272" i="2" s="1"/>
  <c r="Q273" i="2"/>
  <c r="R273" i="2" s="1"/>
  <c r="Q274" i="2"/>
  <c r="R274" i="2" s="1"/>
  <c r="Q275" i="2"/>
  <c r="R275" i="2" s="1"/>
  <c r="Q276" i="2"/>
  <c r="R276" i="2" s="1"/>
  <c r="Q277" i="2"/>
  <c r="R277" i="2" s="1"/>
  <c r="Q278" i="2"/>
  <c r="R278" i="2" s="1"/>
  <c r="Q279" i="2"/>
  <c r="R279" i="2" s="1"/>
  <c r="Q280" i="2"/>
  <c r="R280" i="2" s="1"/>
  <c r="Q281" i="2"/>
  <c r="R281" i="2" s="1"/>
  <c r="Q282" i="2"/>
  <c r="R282" i="2" s="1"/>
  <c r="Q283" i="2"/>
  <c r="R283" i="2" s="1"/>
  <c r="Q284" i="2"/>
  <c r="R284" i="2" s="1"/>
  <c r="Q285" i="2"/>
  <c r="R285" i="2" s="1"/>
  <c r="Q286" i="2"/>
  <c r="R286" i="2" s="1"/>
  <c r="Q287" i="2"/>
  <c r="R287" i="2" s="1"/>
  <c r="Q288" i="2"/>
  <c r="R288" i="2" s="1"/>
  <c r="Q289" i="2"/>
  <c r="R289" i="2" s="1"/>
  <c r="Q290" i="2"/>
  <c r="R290" i="2" s="1"/>
  <c r="Q291" i="2"/>
  <c r="R291" i="2" s="1"/>
  <c r="Q292" i="2"/>
  <c r="R292" i="2" s="1"/>
  <c r="Q293" i="2"/>
  <c r="R293" i="2" s="1"/>
  <c r="Q294" i="2"/>
  <c r="R294" i="2" s="1"/>
  <c r="Q295" i="2"/>
  <c r="R295" i="2" s="1"/>
  <c r="Q296" i="2"/>
  <c r="R296" i="2" s="1"/>
  <c r="Q297" i="2"/>
  <c r="R297" i="2" s="1"/>
  <c r="Q298" i="2"/>
  <c r="R298" i="2" s="1"/>
  <c r="Q299" i="2"/>
  <c r="R299" i="2" s="1"/>
  <c r="Q300" i="2"/>
  <c r="R300" i="2" s="1"/>
  <c r="Q301" i="2"/>
  <c r="R301" i="2" s="1"/>
  <c r="Q302" i="2"/>
  <c r="R302" i="2" s="1"/>
  <c r="Q303" i="2"/>
  <c r="R303" i="2" s="1"/>
  <c r="Q304" i="2"/>
  <c r="R304" i="2" s="1"/>
  <c r="Q305" i="2"/>
  <c r="R305" i="2" s="1"/>
  <c r="Q306" i="2"/>
  <c r="R306" i="2" s="1"/>
  <c r="Q307" i="2"/>
  <c r="R307" i="2" s="1"/>
  <c r="Q308" i="2"/>
  <c r="R308" i="2" s="1"/>
  <c r="Q309" i="2"/>
  <c r="R309" i="2" s="1"/>
  <c r="Q310" i="2"/>
  <c r="R310" i="2" s="1"/>
  <c r="Q311" i="2"/>
  <c r="R311" i="2" s="1"/>
  <c r="Q312" i="2"/>
  <c r="R312" i="2" s="1"/>
  <c r="Q313" i="2"/>
  <c r="R313" i="2" s="1"/>
  <c r="Q314" i="2"/>
  <c r="R314" i="2" s="1"/>
  <c r="Q315" i="2"/>
  <c r="R315" i="2" s="1"/>
  <c r="Q316" i="2"/>
  <c r="R316" i="2" s="1"/>
  <c r="Q317" i="2"/>
  <c r="R317" i="2" s="1"/>
  <c r="Q318" i="2"/>
  <c r="R318" i="2" s="1"/>
  <c r="Q319" i="2"/>
  <c r="R319" i="2" s="1"/>
  <c r="Q320" i="2"/>
  <c r="R320" i="2" s="1"/>
  <c r="Q321" i="2"/>
  <c r="R321" i="2" s="1"/>
  <c r="Q322" i="2"/>
  <c r="R322" i="2" s="1"/>
  <c r="Q323" i="2"/>
  <c r="R323" i="2" s="1"/>
  <c r="Q324" i="2"/>
  <c r="R324" i="2" s="1"/>
  <c r="Q325" i="2"/>
  <c r="R325" i="2" s="1"/>
  <c r="Q326" i="2"/>
  <c r="R326" i="2" s="1"/>
  <c r="Q327" i="2"/>
  <c r="R327" i="2" s="1"/>
  <c r="Q328" i="2"/>
  <c r="R328" i="2" s="1"/>
  <c r="Q329" i="2"/>
  <c r="R329" i="2" s="1"/>
  <c r="Q330" i="2"/>
  <c r="R330" i="2" s="1"/>
  <c r="Q331" i="2"/>
  <c r="R331" i="2" s="1"/>
  <c r="Q332" i="2"/>
  <c r="R332" i="2" s="1"/>
  <c r="Q333" i="2"/>
  <c r="R333" i="2" s="1"/>
  <c r="Q334" i="2"/>
  <c r="R334" i="2" s="1"/>
  <c r="Q335" i="2"/>
  <c r="R335" i="2" s="1"/>
  <c r="Q336" i="2"/>
  <c r="R336" i="2" s="1"/>
  <c r="Q337" i="2"/>
  <c r="R337" i="2" s="1"/>
  <c r="Q338" i="2"/>
  <c r="R338" i="2" s="1"/>
  <c r="Q339" i="2"/>
  <c r="R339" i="2" s="1"/>
  <c r="Q340" i="2"/>
  <c r="R340" i="2" s="1"/>
  <c r="Q341" i="2"/>
  <c r="R341" i="2" s="1"/>
  <c r="Q342" i="2"/>
  <c r="R342" i="2" s="1"/>
  <c r="Q343" i="2"/>
  <c r="R343" i="2" s="1"/>
  <c r="Q344" i="2"/>
  <c r="R344" i="2" s="1"/>
  <c r="Q345" i="2"/>
  <c r="R345" i="2" s="1"/>
  <c r="Q346" i="2"/>
  <c r="R346" i="2" s="1"/>
  <c r="Q347" i="2"/>
  <c r="R347" i="2" s="1"/>
  <c r="Q348" i="2"/>
  <c r="R348" i="2" s="1"/>
  <c r="Q349" i="2"/>
  <c r="R349" i="2" s="1"/>
  <c r="Q350" i="2"/>
  <c r="R350" i="2" s="1"/>
  <c r="Q351" i="2"/>
  <c r="R351" i="2" s="1"/>
  <c r="Q352" i="2"/>
  <c r="R352" i="2" s="1"/>
  <c r="Q353" i="2"/>
  <c r="R353" i="2" s="1"/>
  <c r="Q354" i="2"/>
  <c r="R354" i="2" s="1"/>
  <c r="Q355" i="2"/>
  <c r="R355" i="2" s="1"/>
  <c r="Q356" i="2"/>
  <c r="R356" i="2" s="1"/>
  <c r="Q357" i="2"/>
  <c r="R357" i="2" s="1"/>
  <c r="Q358" i="2"/>
  <c r="R358" i="2" s="1"/>
  <c r="Q359" i="2"/>
  <c r="R359" i="2" s="1"/>
  <c r="Q360" i="2"/>
  <c r="R360" i="2" s="1"/>
  <c r="Q361" i="2"/>
  <c r="R361" i="2" s="1"/>
  <c r="Q362" i="2"/>
  <c r="R362" i="2" s="1"/>
  <c r="Q363" i="2"/>
  <c r="R363" i="2" s="1"/>
  <c r="Q364" i="2"/>
  <c r="R364" i="2" s="1"/>
  <c r="Q365" i="2"/>
  <c r="R365" i="2" s="1"/>
  <c r="Q366" i="2"/>
  <c r="R366" i="2" s="1"/>
  <c r="Q367" i="2"/>
  <c r="R367" i="2" s="1"/>
  <c r="Q368" i="2"/>
  <c r="R368" i="2" s="1"/>
  <c r="Q369" i="2"/>
  <c r="R369" i="2" s="1"/>
  <c r="Q370" i="2"/>
  <c r="R370" i="2" s="1"/>
  <c r="Q371" i="2"/>
  <c r="R371" i="2" s="1"/>
  <c r="Q372" i="2"/>
  <c r="R372" i="2" s="1"/>
  <c r="Q373" i="2"/>
  <c r="R373" i="2" s="1"/>
  <c r="Q374" i="2"/>
  <c r="R374" i="2" s="1"/>
  <c r="Q375" i="2"/>
  <c r="R375" i="2" s="1"/>
  <c r="Q376" i="2"/>
  <c r="R376" i="2" s="1"/>
  <c r="Q377" i="2"/>
  <c r="R377" i="2" s="1"/>
  <c r="Q378" i="2"/>
  <c r="R378" i="2" s="1"/>
  <c r="Q379" i="2"/>
  <c r="R379" i="2" s="1"/>
  <c r="Q380" i="2"/>
  <c r="R380" i="2" s="1"/>
  <c r="Q381" i="2"/>
  <c r="R381" i="2" s="1"/>
  <c r="Q382" i="2"/>
  <c r="R382" i="2" s="1"/>
  <c r="Q383" i="2"/>
  <c r="R383" i="2" s="1"/>
  <c r="Q384" i="2"/>
  <c r="R384" i="2" s="1"/>
  <c r="Q385" i="2"/>
  <c r="R385" i="2" s="1"/>
  <c r="Q386" i="2"/>
  <c r="R386" i="2" s="1"/>
  <c r="Q387" i="2"/>
  <c r="R387" i="2" s="1"/>
  <c r="Q388" i="2"/>
  <c r="R388" i="2" s="1"/>
  <c r="Q389" i="2"/>
  <c r="R389" i="2" s="1"/>
  <c r="Q390" i="2"/>
  <c r="R390" i="2" s="1"/>
  <c r="Q391" i="2"/>
  <c r="R391" i="2" s="1"/>
  <c r="Q392" i="2"/>
  <c r="R392" i="2" s="1"/>
  <c r="Q393" i="2"/>
  <c r="R393" i="2" s="1"/>
  <c r="Q394" i="2"/>
  <c r="R394" i="2" s="1"/>
  <c r="Q395" i="2"/>
  <c r="R395" i="2" s="1"/>
  <c r="Q396" i="2"/>
  <c r="R396" i="2" s="1"/>
  <c r="Q397" i="2"/>
  <c r="R397" i="2" s="1"/>
  <c r="Q398" i="2"/>
  <c r="R398" i="2" s="1"/>
  <c r="Q399" i="2"/>
  <c r="R399" i="2" s="1"/>
  <c r="Q400" i="2"/>
  <c r="R400" i="2" s="1"/>
  <c r="Q401" i="2"/>
  <c r="R401" i="2" s="1"/>
  <c r="Q402" i="2"/>
  <c r="R402" i="2" s="1"/>
  <c r="Q403" i="2"/>
  <c r="R403" i="2" s="1"/>
  <c r="Q404" i="2"/>
  <c r="R404" i="2" s="1"/>
  <c r="Q405" i="2"/>
  <c r="R405" i="2" s="1"/>
  <c r="Q406" i="2"/>
  <c r="R406" i="2" s="1"/>
  <c r="Q407" i="2"/>
  <c r="R407" i="2" s="1"/>
  <c r="Q408" i="2"/>
  <c r="R408" i="2" s="1"/>
  <c r="Q409" i="2"/>
  <c r="R409" i="2" s="1"/>
  <c r="Q410" i="2"/>
  <c r="R410" i="2" s="1"/>
  <c r="Q411" i="2"/>
  <c r="R411" i="2" s="1"/>
  <c r="Q412" i="2"/>
  <c r="R412" i="2" s="1"/>
  <c r="Q413" i="2"/>
  <c r="R413" i="2" s="1"/>
  <c r="Q414" i="2"/>
  <c r="R414" i="2" s="1"/>
  <c r="Q415" i="2"/>
  <c r="R415" i="2" s="1"/>
  <c r="Q416" i="2"/>
  <c r="R416" i="2" s="1"/>
  <c r="Q417" i="2"/>
  <c r="R417" i="2" s="1"/>
  <c r="Q418" i="2"/>
  <c r="R418" i="2" s="1"/>
  <c r="Q419" i="2"/>
  <c r="R419" i="2" s="1"/>
  <c r="Q420" i="2"/>
  <c r="R420" i="2" s="1"/>
  <c r="Q421" i="2"/>
  <c r="R421" i="2" s="1"/>
  <c r="Q422" i="2"/>
  <c r="R422" i="2" s="1"/>
  <c r="Q423" i="2"/>
  <c r="R423" i="2" s="1"/>
  <c r="Q424" i="2"/>
  <c r="R424" i="2" s="1"/>
  <c r="Q425" i="2"/>
  <c r="R425" i="2" s="1"/>
  <c r="Q426" i="2"/>
  <c r="R426" i="2" s="1"/>
  <c r="Q427" i="2"/>
  <c r="R427" i="2" s="1"/>
  <c r="Q428" i="2"/>
  <c r="R428" i="2" s="1"/>
  <c r="Q429" i="2"/>
  <c r="R429" i="2" s="1"/>
  <c r="Q430" i="2"/>
  <c r="R430" i="2" s="1"/>
  <c r="Q431" i="2"/>
  <c r="R431" i="2" s="1"/>
  <c r="Q432" i="2"/>
  <c r="R432" i="2" s="1"/>
  <c r="Q433" i="2"/>
  <c r="R433" i="2" s="1"/>
  <c r="Q434" i="2"/>
  <c r="R434" i="2" s="1"/>
  <c r="Q435" i="2"/>
  <c r="R435" i="2" s="1"/>
  <c r="Q436" i="2"/>
  <c r="R436" i="2" s="1"/>
  <c r="Q437" i="2"/>
  <c r="R437" i="2" s="1"/>
  <c r="Q438" i="2"/>
  <c r="R438" i="2" s="1"/>
  <c r="Q439" i="2"/>
  <c r="R439" i="2" s="1"/>
  <c r="Q440" i="2"/>
  <c r="R440" i="2" s="1"/>
  <c r="Q441" i="2"/>
  <c r="R441" i="2" s="1"/>
  <c r="Q442" i="2"/>
  <c r="R442" i="2" s="1"/>
  <c r="Q443" i="2"/>
  <c r="R443" i="2" s="1"/>
  <c r="Q444" i="2"/>
  <c r="R444" i="2" s="1"/>
  <c r="Q445" i="2"/>
  <c r="R445" i="2" s="1"/>
  <c r="Q446" i="2"/>
  <c r="R446" i="2" s="1"/>
  <c r="Q447" i="2"/>
  <c r="R447" i="2" s="1"/>
  <c r="Q448" i="2"/>
  <c r="R448" i="2" s="1"/>
  <c r="Q449" i="2"/>
  <c r="R449" i="2" s="1"/>
  <c r="Q450" i="2"/>
  <c r="R450" i="2" s="1"/>
  <c r="Q451" i="2"/>
  <c r="R451" i="2" s="1"/>
  <c r="Q452" i="2"/>
  <c r="R452" i="2" s="1"/>
  <c r="Q453" i="2"/>
  <c r="R453" i="2" s="1"/>
  <c r="Q454" i="2"/>
  <c r="R454" i="2" s="1"/>
  <c r="Q455" i="2"/>
  <c r="R455" i="2" s="1"/>
  <c r="Q456" i="2"/>
  <c r="R456" i="2" s="1"/>
  <c r="Q457" i="2"/>
  <c r="R457" i="2" s="1"/>
  <c r="Q458" i="2"/>
  <c r="R458" i="2" s="1"/>
  <c r="Q459" i="2"/>
  <c r="R459" i="2" s="1"/>
  <c r="Q460" i="2"/>
  <c r="R460" i="2" s="1"/>
  <c r="Q461" i="2"/>
  <c r="R461" i="2" s="1"/>
  <c r="Q462" i="2"/>
  <c r="R462" i="2" s="1"/>
  <c r="Q463" i="2"/>
  <c r="R463" i="2" s="1"/>
  <c r="Q464" i="2"/>
  <c r="R464" i="2" s="1"/>
  <c r="Q465" i="2"/>
  <c r="R465" i="2" s="1"/>
  <c r="Q466" i="2"/>
  <c r="R466" i="2" s="1"/>
  <c r="Q467" i="2"/>
  <c r="R467" i="2" s="1"/>
  <c r="Q468" i="2"/>
  <c r="R468" i="2" s="1"/>
  <c r="Q469" i="2"/>
  <c r="R469" i="2" s="1"/>
  <c r="Q470" i="2"/>
  <c r="R470" i="2" s="1"/>
  <c r="Q471" i="2"/>
  <c r="R471" i="2" s="1"/>
  <c r="Q472" i="2"/>
  <c r="R472" i="2" s="1"/>
  <c r="Q473" i="2"/>
  <c r="R473" i="2" s="1"/>
  <c r="Q474" i="2"/>
  <c r="R474" i="2" s="1"/>
  <c r="Q475" i="2"/>
  <c r="R475" i="2" s="1"/>
  <c r="Q476" i="2"/>
  <c r="R476" i="2" s="1"/>
  <c r="Q477" i="2"/>
  <c r="R477" i="2" s="1"/>
  <c r="Q478" i="2"/>
  <c r="R478" i="2" s="1"/>
  <c r="Q479" i="2"/>
  <c r="R479" i="2" s="1"/>
  <c r="Q480" i="2"/>
  <c r="R480" i="2" s="1"/>
  <c r="Q481" i="2"/>
  <c r="R481" i="2" s="1"/>
  <c r="Q482" i="2"/>
  <c r="R482" i="2" s="1"/>
  <c r="Q483" i="2"/>
  <c r="R483" i="2" s="1"/>
  <c r="Q484" i="2"/>
  <c r="R484" i="2" s="1"/>
  <c r="Q485" i="2"/>
  <c r="R485" i="2" s="1"/>
  <c r="Q486" i="2"/>
  <c r="R486" i="2" s="1"/>
  <c r="Q487" i="2"/>
  <c r="R487" i="2" s="1"/>
  <c r="Q488" i="2"/>
  <c r="R488" i="2" s="1"/>
  <c r="Q489" i="2"/>
  <c r="R489" i="2" s="1"/>
  <c r="Q490" i="2"/>
  <c r="R490" i="2" s="1"/>
  <c r="Q491" i="2"/>
  <c r="R491" i="2" s="1"/>
  <c r="Q492" i="2"/>
  <c r="R492" i="2" s="1"/>
  <c r="Q493" i="2"/>
  <c r="R493" i="2" s="1"/>
  <c r="Q494" i="2"/>
  <c r="R494" i="2" s="1"/>
  <c r="Q495" i="2"/>
  <c r="R495" i="2" s="1"/>
  <c r="Q496" i="2"/>
  <c r="R496" i="2" s="1"/>
  <c r="Q497" i="2"/>
  <c r="R497" i="2" s="1"/>
  <c r="Q498" i="2"/>
  <c r="R498" i="2" s="1"/>
  <c r="Q499" i="2"/>
  <c r="R499" i="2" s="1"/>
  <c r="Q500" i="2"/>
  <c r="R500" i="2" s="1"/>
  <c r="Q501" i="2"/>
  <c r="R501" i="2" s="1"/>
  <c r="Q502" i="2"/>
  <c r="R502" i="2" s="1"/>
  <c r="Q503" i="2"/>
  <c r="R503" i="2" s="1"/>
  <c r="Q504" i="2"/>
  <c r="R504" i="2" s="1"/>
  <c r="Q505" i="2"/>
  <c r="R505" i="2" s="1"/>
  <c r="Q506" i="2"/>
  <c r="R506" i="2" s="1"/>
  <c r="Q507" i="2"/>
  <c r="R507" i="2" s="1"/>
  <c r="Q508" i="2"/>
  <c r="R508" i="2" s="1"/>
  <c r="Q509" i="2"/>
  <c r="R509" i="2" s="1"/>
  <c r="Q510" i="2"/>
  <c r="R510" i="2" s="1"/>
  <c r="Q511" i="2"/>
  <c r="R511" i="2" s="1"/>
  <c r="Q512" i="2"/>
  <c r="R512" i="2" s="1"/>
  <c r="Q513" i="2"/>
  <c r="R513" i="2" s="1"/>
  <c r="Q514" i="2"/>
  <c r="R514" i="2" s="1"/>
  <c r="Q515" i="2"/>
  <c r="R515" i="2" s="1"/>
  <c r="Q516" i="2"/>
  <c r="R516" i="2" s="1"/>
  <c r="Q517" i="2"/>
  <c r="R517" i="2" s="1"/>
  <c r="Q518" i="2"/>
  <c r="R518" i="2" s="1"/>
  <c r="Q519" i="2"/>
  <c r="R519" i="2" s="1"/>
  <c r="Q520" i="2"/>
  <c r="R520" i="2" s="1"/>
  <c r="Q521" i="2"/>
  <c r="R521" i="2" s="1"/>
  <c r="Q522" i="2"/>
  <c r="R522" i="2" s="1"/>
  <c r="Q523" i="2"/>
  <c r="R523" i="2" s="1"/>
  <c r="Q524" i="2"/>
  <c r="R524" i="2" s="1"/>
  <c r="Q525" i="2"/>
  <c r="R525" i="2" s="1"/>
  <c r="Q526" i="2"/>
  <c r="R526" i="2" s="1"/>
  <c r="Q527" i="2"/>
  <c r="R527" i="2" s="1"/>
  <c r="Q528" i="2"/>
  <c r="R528" i="2" s="1"/>
  <c r="Q529" i="2"/>
  <c r="R529" i="2" s="1"/>
  <c r="Q530" i="2"/>
  <c r="R530" i="2" s="1"/>
  <c r="Q531" i="2"/>
  <c r="R531" i="2" s="1"/>
  <c r="Q532" i="2"/>
  <c r="R532" i="2" s="1"/>
  <c r="Q533" i="2"/>
  <c r="R533" i="2" s="1"/>
  <c r="Q534" i="2"/>
  <c r="R534" i="2" s="1"/>
  <c r="Q535" i="2"/>
  <c r="R535" i="2" s="1"/>
  <c r="Q536" i="2"/>
  <c r="R536" i="2" s="1"/>
  <c r="Q537" i="2"/>
  <c r="R537" i="2" s="1"/>
  <c r="Q538" i="2"/>
  <c r="R538" i="2" s="1"/>
  <c r="Q539" i="2"/>
  <c r="R539" i="2" s="1"/>
  <c r="Q540" i="2"/>
  <c r="R540" i="2" s="1"/>
  <c r="Q541" i="2"/>
  <c r="R541" i="2" s="1"/>
  <c r="Q542" i="2"/>
  <c r="R542" i="2" s="1"/>
  <c r="Q543" i="2"/>
  <c r="R543" i="2" s="1"/>
  <c r="Q544" i="2"/>
  <c r="R544" i="2" s="1"/>
  <c r="Q545" i="2"/>
  <c r="R545" i="2" s="1"/>
  <c r="Q546" i="2"/>
  <c r="R546" i="2" s="1"/>
  <c r="Q547" i="2"/>
  <c r="R547" i="2" s="1"/>
  <c r="Q548" i="2"/>
  <c r="R548" i="2" s="1"/>
  <c r="Q549" i="2"/>
  <c r="R549" i="2" s="1"/>
  <c r="Q550" i="2"/>
  <c r="R550" i="2" s="1"/>
  <c r="Q551" i="2"/>
  <c r="R551" i="2" s="1"/>
  <c r="Q552" i="2"/>
  <c r="R552" i="2" s="1"/>
  <c r="Q553" i="2"/>
  <c r="R553" i="2" s="1"/>
  <c r="Q554" i="2"/>
  <c r="R554" i="2" s="1"/>
  <c r="Q555" i="2"/>
  <c r="R555" i="2" s="1"/>
  <c r="Q556" i="2"/>
  <c r="R556" i="2" s="1"/>
  <c r="Q557" i="2"/>
  <c r="R557" i="2" s="1"/>
  <c r="Q558" i="2"/>
  <c r="R558" i="2" s="1"/>
  <c r="Q559" i="2"/>
  <c r="R559" i="2" s="1"/>
  <c r="Q560" i="2"/>
  <c r="R560" i="2" s="1"/>
  <c r="Q561" i="2"/>
  <c r="R561" i="2" s="1"/>
  <c r="Q562" i="2"/>
  <c r="R562" i="2" s="1"/>
  <c r="Q563" i="2"/>
  <c r="R563" i="2" s="1"/>
  <c r="Q564" i="2"/>
  <c r="R564" i="2" s="1"/>
  <c r="Q565" i="2"/>
  <c r="R565" i="2" s="1"/>
  <c r="Q566" i="2"/>
  <c r="R566" i="2" s="1"/>
  <c r="Q567" i="2"/>
  <c r="R567" i="2" s="1"/>
  <c r="Q568" i="2"/>
  <c r="R568" i="2" s="1"/>
  <c r="Q569" i="2"/>
  <c r="R569" i="2" s="1"/>
  <c r="Q570" i="2"/>
  <c r="R570" i="2" s="1"/>
  <c r="Q571" i="2"/>
  <c r="R571" i="2" s="1"/>
  <c r="Q572" i="2"/>
  <c r="R572" i="2" s="1"/>
  <c r="Q573" i="2"/>
  <c r="R573" i="2" s="1"/>
  <c r="Q574" i="2"/>
  <c r="R574" i="2" s="1"/>
  <c r="Q575" i="2"/>
  <c r="R575" i="2" s="1"/>
  <c r="Q576" i="2"/>
  <c r="R576" i="2" s="1"/>
  <c r="Q577" i="2"/>
  <c r="R577" i="2" s="1"/>
  <c r="Q578" i="2"/>
  <c r="R578" i="2" s="1"/>
  <c r="Q579" i="2"/>
  <c r="R579" i="2" s="1"/>
  <c r="Q580" i="2"/>
  <c r="R580" i="2" s="1"/>
  <c r="Q581" i="2"/>
  <c r="R581" i="2" s="1"/>
  <c r="Q582" i="2"/>
  <c r="R582" i="2" s="1"/>
  <c r="Q583" i="2"/>
  <c r="R583" i="2" s="1"/>
  <c r="Q584" i="2"/>
  <c r="R584" i="2" s="1"/>
  <c r="Q585" i="2"/>
  <c r="R585" i="2" s="1"/>
  <c r="Q586" i="2"/>
  <c r="R586" i="2" s="1"/>
  <c r="Q587" i="2"/>
  <c r="R587" i="2" s="1"/>
  <c r="Q588" i="2"/>
  <c r="R588" i="2" s="1"/>
  <c r="Q589" i="2"/>
  <c r="R589" i="2" s="1"/>
  <c r="Q590" i="2"/>
  <c r="R590" i="2" s="1"/>
  <c r="Q591" i="2"/>
  <c r="R591" i="2" s="1"/>
  <c r="Q592" i="2"/>
  <c r="R592" i="2" s="1"/>
  <c r="Q593" i="2"/>
  <c r="R593" i="2" s="1"/>
  <c r="Q594" i="2"/>
  <c r="R594" i="2" s="1"/>
  <c r="Q595" i="2"/>
  <c r="R595" i="2" s="1"/>
  <c r="Q596" i="2"/>
  <c r="R596" i="2" s="1"/>
  <c r="Q597" i="2"/>
  <c r="R597" i="2" s="1"/>
  <c r="Q598" i="2"/>
  <c r="R598" i="2" s="1"/>
  <c r="Q599" i="2"/>
  <c r="R599" i="2" s="1"/>
  <c r="Q600" i="2"/>
  <c r="R600" i="2" s="1"/>
  <c r="Q601" i="2"/>
  <c r="R601" i="2" s="1"/>
  <c r="Q602" i="2"/>
  <c r="R602" i="2" s="1"/>
  <c r="Q603" i="2"/>
  <c r="R603" i="2" s="1"/>
  <c r="Q604" i="2"/>
  <c r="R604" i="2" s="1"/>
  <c r="Q605" i="2"/>
  <c r="R605" i="2" s="1"/>
  <c r="Q606" i="2"/>
  <c r="R606" i="2" s="1"/>
  <c r="Q607" i="2"/>
  <c r="R607" i="2" s="1"/>
  <c r="Q608" i="2"/>
  <c r="R608" i="2" s="1"/>
  <c r="Q609" i="2"/>
  <c r="R609" i="2" s="1"/>
  <c r="Q610" i="2"/>
  <c r="R610" i="2" s="1"/>
  <c r="Q611" i="2"/>
  <c r="R611" i="2" s="1"/>
  <c r="Q612" i="2"/>
  <c r="R612" i="2" s="1"/>
  <c r="Q613" i="2"/>
  <c r="R613" i="2" s="1"/>
  <c r="Q614" i="2"/>
  <c r="R614" i="2" s="1"/>
  <c r="Q615" i="2"/>
  <c r="R615" i="2" s="1"/>
  <c r="Q616" i="2"/>
  <c r="R616" i="2" s="1"/>
  <c r="Q617" i="2"/>
  <c r="R617" i="2" s="1"/>
  <c r="Q618" i="2"/>
  <c r="R618" i="2" s="1"/>
  <c r="Q619" i="2"/>
  <c r="R619" i="2" s="1"/>
  <c r="Q620" i="2"/>
  <c r="R620" i="2" s="1"/>
  <c r="Q621" i="2"/>
  <c r="R621" i="2" s="1"/>
  <c r="Q622" i="2"/>
  <c r="R622" i="2" s="1"/>
  <c r="Q623" i="2"/>
  <c r="R623" i="2" s="1"/>
  <c r="Q624" i="2"/>
  <c r="R624" i="2" s="1"/>
  <c r="Q625" i="2"/>
  <c r="R625" i="2" s="1"/>
  <c r="Q626" i="2"/>
  <c r="R626" i="2" s="1"/>
  <c r="Q627" i="2"/>
  <c r="R627" i="2" s="1"/>
  <c r="Q628" i="2"/>
  <c r="R628" i="2" s="1"/>
  <c r="Q629" i="2"/>
  <c r="R629" i="2" s="1"/>
  <c r="Q630" i="2"/>
  <c r="R630" i="2" s="1"/>
  <c r="Q631" i="2"/>
  <c r="R631" i="2" s="1"/>
  <c r="Q632" i="2"/>
  <c r="R632" i="2" s="1"/>
  <c r="Q633" i="2"/>
  <c r="R633" i="2" s="1"/>
  <c r="Q634" i="2"/>
  <c r="R634" i="2" s="1"/>
  <c r="Q635" i="2"/>
  <c r="R635" i="2" s="1"/>
  <c r="Q636" i="2"/>
  <c r="R636" i="2" s="1"/>
  <c r="Q637" i="2"/>
  <c r="R637" i="2" s="1"/>
  <c r="Q638" i="2"/>
  <c r="R638" i="2" s="1"/>
  <c r="Q639" i="2"/>
  <c r="R639" i="2" s="1"/>
  <c r="Q640" i="2"/>
  <c r="R640" i="2" s="1"/>
  <c r="Q641" i="2"/>
  <c r="R641" i="2" s="1"/>
  <c r="Q642" i="2"/>
  <c r="R642" i="2" s="1"/>
  <c r="Q643" i="2"/>
  <c r="R643" i="2" s="1"/>
  <c r="Q644" i="2"/>
  <c r="R644" i="2" s="1"/>
  <c r="Q645" i="2"/>
  <c r="R645" i="2" s="1"/>
  <c r="Q646" i="2"/>
  <c r="R646" i="2" s="1"/>
  <c r="Q647" i="2"/>
  <c r="R647" i="2" s="1"/>
  <c r="Q648" i="2"/>
  <c r="R648" i="2" s="1"/>
  <c r="Q649" i="2"/>
  <c r="R649" i="2" s="1"/>
  <c r="Q650" i="2"/>
  <c r="R650" i="2" s="1"/>
  <c r="Q651" i="2"/>
  <c r="R651" i="2" s="1"/>
  <c r="Q652" i="2"/>
  <c r="R652" i="2" s="1"/>
  <c r="Q653" i="2"/>
  <c r="R653" i="2" s="1"/>
  <c r="Q654" i="2"/>
  <c r="R654" i="2" s="1"/>
  <c r="Q655" i="2"/>
  <c r="R655" i="2" s="1"/>
  <c r="Q656" i="2"/>
  <c r="R656" i="2" s="1"/>
  <c r="Q657" i="2"/>
  <c r="R657" i="2" s="1"/>
  <c r="Q658" i="2"/>
  <c r="R658" i="2" s="1"/>
  <c r="Q659" i="2"/>
  <c r="R659" i="2" s="1"/>
  <c r="Q660" i="2"/>
  <c r="R660" i="2" s="1"/>
  <c r="Q661" i="2"/>
  <c r="R661" i="2" s="1"/>
  <c r="Q662" i="2"/>
  <c r="R662" i="2" s="1"/>
  <c r="Q663" i="2"/>
  <c r="R663" i="2" s="1"/>
  <c r="Q664" i="2"/>
  <c r="R664" i="2" s="1"/>
  <c r="Q665" i="2"/>
  <c r="R665" i="2" s="1"/>
  <c r="Q666" i="2"/>
  <c r="R666" i="2" s="1"/>
  <c r="Q667" i="2"/>
  <c r="R667" i="2" s="1"/>
  <c r="Q668" i="2"/>
  <c r="R668" i="2" s="1"/>
  <c r="Q669" i="2"/>
  <c r="R669" i="2" s="1"/>
  <c r="Q670" i="2"/>
  <c r="R670" i="2" s="1"/>
  <c r="Q671" i="2"/>
  <c r="R671" i="2" s="1"/>
  <c r="Q672" i="2"/>
  <c r="R672" i="2" s="1"/>
  <c r="Q673" i="2"/>
  <c r="R673" i="2" s="1"/>
  <c r="Q674" i="2"/>
  <c r="R674" i="2" s="1"/>
  <c r="Q675" i="2"/>
  <c r="R675" i="2" s="1"/>
  <c r="Q676" i="2"/>
  <c r="R676" i="2" s="1"/>
  <c r="Q677" i="2"/>
  <c r="R677" i="2" s="1"/>
  <c r="Q678" i="2"/>
  <c r="R678" i="2" s="1"/>
  <c r="Q679" i="2"/>
  <c r="R679" i="2" s="1"/>
  <c r="Q680" i="2"/>
  <c r="R680" i="2" s="1"/>
  <c r="Q681" i="2"/>
  <c r="R681" i="2" s="1"/>
  <c r="Q682" i="2"/>
  <c r="R682" i="2" s="1"/>
  <c r="Q683" i="2"/>
  <c r="R683" i="2" s="1"/>
  <c r="Q684" i="2"/>
  <c r="R684" i="2" s="1"/>
  <c r="Q685" i="2"/>
  <c r="R685" i="2" s="1"/>
  <c r="Q686" i="2"/>
  <c r="R686" i="2" s="1"/>
  <c r="Q687" i="2"/>
  <c r="R687" i="2" s="1"/>
  <c r="Q688" i="2"/>
  <c r="R688" i="2" s="1"/>
  <c r="Q689" i="2"/>
  <c r="R689" i="2" s="1"/>
  <c r="Q690" i="2"/>
  <c r="R690" i="2" s="1"/>
  <c r="Q691" i="2"/>
  <c r="R691" i="2" s="1"/>
  <c r="Q692" i="2"/>
  <c r="R692" i="2" s="1"/>
  <c r="Q693" i="2"/>
  <c r="R693" i="2" s="1"/>
  <c r="Q694" i="2"/>
  <c r="R694" i="2" s="1"/>
  <c r="Q695" i="2"/>
  <c r="R695" i="2" s="1"/>
  <c r="Q696" i="2"/>
  <c r="R696" i="2" s="1"/>
  <c r="Q697" i="2"/>
  <c r="R697" i="2" s="1"/>
  <c r="Q698" i="2"/>
  <c r="R698" i="2" s="1"/>
  <c r="Q699" i="2"/>
  <c r="R699" i="2" s="1"/>
  <c r="Q700" i="2"/>
  <c r="R700" i="2" s="1"/>
  <c r="Q701" i="2"/>
  <c r="R701" i="2" s="1"/>
  <c r="Q702" i="2"/>
  <c r="R702" i="2" s="1"/>
  <c r="Q703" i="2"/>
  <c r="R703" i="2" s="1"/>
  <c r="Q704" i="2"/>
  <c r="R704" i="2" s="1"/>
  <c r="Q705" i="2"/>
  <c r="R705" i="2" s="1"/>
  <c r="Q706" i="2"/>
  <c r="R706" i="2" s="1"/>
  <c r="Q707" i="2"/>
  <c r="R707" i="2" s="1"/>
  <c r="Q708" i="2"/>
  <c r="R708" i="2" s="1"/>
  <c r="Q709" i="2"/>
  <c r="R709" i="2" s="1"/>
  <c r="Q710" i="2"/>
  <c r="R710" i="2" s="1"/>
  <c r="Q711" i="2"/>
  <c r="R711" i="2" s="1"/>
  <c r="Q712" i="2"/>
  <c r="R712" i="2" s="1"/>
  <c r="Q713" i="2"/>
  <c r="R713" i="2" s="1"/>
  <c r="Q714" i="2"/>
  <c r="R714" i="2" s="1"/>
  <c r="Q715" i="2"/>
  <c r="R715" i="2" s="1"/>
  <c r="Q716" i="2"/>
  <c r="R716" i="2" s="1"/>
  <c r="Q717" i="2"/>
  <c r="R717" i="2" s="1"/>
  <c r="Q718" i="2"/>
  <c r="R718" i="2" s="1"/>
  <c r="Q719" i="2"/>
  <c r="R719" i="2" s="1"/>
  <c r="Q720" i="2"/>
  <c r="R720" i="2" s="1"/>
  <c r="Q721" i="2"/>
  <c r="R721" i="2" s="1"/>
  <c r="Q722" i="2"/>
  <c r="R722" i="2" s="1"/>
  <c r="Q723" i="2"/>
  <c r="R723" i="2" s="1"/>
  <c r="Q724" i="2"/>
  <c r="R724" i="2" s="1"/>
  <c r="Q725" i="2"/>
  <c r="R725" i="2" s="1"/>
  <c r="Q726" i="2"/>
  <c r="R726" i="2" s="1"/>
  <c r="Q727" i="2"/>
  <c r="R727" i="2" s="1"/>
  <c r="Q728" i="2"/>
  <c r="R728" i="2" s="1"/>
  <c r="Q729" i="2"/>
  <c r="R729" i="2" s="1"/>
  <c r="Q730" i="2"/>
  <c r="R730" i="2" s="1"/>
  <c r="Q731" i="2"/>
  <c r="R731" i="2" s="1"/>
  <c r="Q732" i="2"/>
  <c r="R732" i="2" s="1"/>
  <c r="Q733" i="2"/>
  <c r="R733" i="2" s="1"/>
  <c r="Q734" i="2"/>
  <c r="R734" i="2" s="1"/>
  <c r="Q735" i="2"/>
  <c r="R735" i="2" s="1"/>
  <c r="Q736" i="2"/>
  <c r="R736" i="2" s="1"/>
  <c r="Q737" i="2"/>
  <c r="R737" i="2" s="1"/>
  <c r="Q738" i="2"/>
  <c r="R738" i="2" s="1"/>
  <c r="Q739" i="2"/>
  <c r="R739" i="2" s="1"/>
  <c r="Q740" i="2"/>
  <c r="R740" i="2" s="1"/>
  <c r="Q741" i="2"/>
  <c r="R741" i="2" s="1"/>
  <c r="Q742" i="2"/>
  <c r="R742" i="2" s="1"/>
  <c r="Q743" i="2"/>
  <c r="R743" i="2" s="1"/>
  <c r="Q744" i="2"/>
  <c r="R744" i="2" s="1"/>
  <c r="Q745" i="2"/>
  <c r="R745" i="2" s="1"/>
  <c r="Q746" i="2"/>
  <c r="R746" i="2" s="1"/>
  <c r="Q747" i="2"/>
  <c r="R747" i="2" s="1"/>
  <c r="Q748" i="2"/>
  <c r="R748" i="2" s="1"/>
  <c r="Q749" i="2"/>
  <c r="R749" i="2" s="1"/>
  <c r="Q750" i="2"/>
  <c r="R750" i="2" s="1"/>
  <c r="Q751" i="2"/>
  <c r="R751" i="2" s="1"/>
  <c r="Q752" i="2"/>
  <c r="R752" i="2" s="1"/>
  <c r="Q753" i="2"/>
  <c r="R753" i="2" s="1"/>
  <c r="Q754" i="2"/>
  <c r="R754" i="2" s="1"/>
  <c r="Q755" i="2"/>
  <c r="R755" i="2" s="1"/>
  <c r="Q756" i="2"/>
  <c r="R756" i="2" s="1"/>
  <c r="Q757" i="2"/>
  <c r="R757" i="2" s="1"/>
  <c r="Q758" i="2"/>
  <c r="R758" i="2" s="1"/>
  <c r="Q759" i="2"/>
  <c r="R759" i="2" s="1"/>
  <c r="Q760" i="2"/>
  <c r="R760" i="2" s="1"/>
  <c r="Q761" i="2"/>
  <c r="R761" i="2" s="1"/>
  <c r="Q762" i="2"/>
  <c r="R762" i="2" s="1"/>
  <c r="Q763" i="2"/>
  <c r="R763" i="2" s="1"/>
  <c r="Q764" i="2"/>
  <c r="R764" i="2" s="1"/>
  <c r="Q765" i="2"/>
  <c r="R765" i="2" s="1"/>
  <c r="Q766" i="2"/>
  <c r="R766" i="2" s="1"/>
  <c r="Q767" i="2"/>
  <c r="R767" i="2" s="1"/>
  <c r="Q768" i="2"/>
  <c r="R768" i="2" s="1"/>
  <c r="Q769" i="2"/>
  <c r="R769" i="2" s="1"/>
  <c r="Q770" i="2"/>
  <c r="R770" i="2" s="1"/>
  <c r="Q771" i="2"/>
  <c r="R771" i="2" s="1"/>
  <c r="Q772" i="2"/>
  <c r="R772" i="2" s="1"/>
  <c r="Q773" i="2"/>
  <c r="R773" i="2" s="1"/>
  <c r="Q774" i="2"/>
  <c r="R774" i="2" s="1"/>
  <c r="Q775" i="2"/>
  <c r="R775" i="2" s="1"/>
  <c r="Q776" i="2"/>
  <c r="R776" i="2" s="1"/>
  <c r="Q777" i="2"/>
  <c r="R777" i="2" s="1"/>
  <c r="Q778" i="2"/>
  <c r="R778" i="2" s="1"/>
  <c r="Q779" i="2"/>
  <c r="R779" i="2" s="1"/>
  <c r="Q780" i="2"/>
  <c r="R780" i="2" s="1"/>
  <c r="Q781" i="2"/>
  <c r="R781" i="2" s="1"/>
  <c r="Q782" i="2"/>
  <c r="R782" i="2" s="1"/>
  <c r="Q783" i="2"/>
  <c r="R783" i="2" s="1"/>
  <c r="Q784" i="2"/>
  <c r="R784" i="2" s="1"/>
  <c r="Q785" i="2"/>
  <c r="R785" i="2" s="1"/>
  <c r="Q786" i="2"/>
  <c r="R786" i="2" s="1"/>
  <c r="Q787" i="2"/>
  <c r="R787" i="2" s="1"/>
  <c r="Q788" i="2"/>
  <c r="R788" i="2" s="1"/>
  <c r="Q789" i="2"/>
  <c r="R789" i="2" s="1"/>
  <c r="Q790" i="2"/>
  <c r="R790" i="2" s="1"/>
  <c r="Q791" i="2"/>
  <c r="R791" i="2" s="1"/>
  <c r="Q792" i="2"/>
  <c r="R792" i="2" s="1"/>
  <c r="Q793" i="2"/>
  <c r="R793" i="2" s="1"/>
  <c r="Q794" i="2"/>
  <c r="R794" i="2" s="1"/>
  <c r="Q795" i="2"/>
  <c r="R795" i="2" s="1"/>
  <c r="Q796" i="2"/>
  <c r="R796" i="2" s="1"/>
  <c r="Q797" i="2"/>
  <c r="R797" i="2" s="1"/>
  <c r="Q798" i="2"/>
  <c r="R798" i="2" s="1"/>
  <c r="Q799" i="2"/>
  <c r="R799" i="2" s="1"/>
  <c r="Q800" i="2"/>
  <c r="R800" i="2" s="1"/>
  <c r="Q801" i="2"/>
  <c r="R801" i="2" s="1"/>
  <c r="Q802" i="2"/>
  <c r="R802" i="2" s="1"/>
  <c r="Q803" i="2"/>
  <c r="R803" i="2" s="1"/>
  <c r="Q804" i="2"/>
  <c r="R804" i="2" s="1"/>
  <c r="Q805" i="2"/>
  <c r="R805" i="2" s="1"/>
  <c r="Q806" i="2"/>
  <c r="R806" i="2" s="1"/>
  <c r="Q807" i="2"/>
  <c r="R807" i="2" s="1"/>
  <c r="Q808" i="2"/>
  <c r="R808" i="2" s="1"/>
  <c r="Q809" i="2"/>
  <c r="R809" i="2" s="1"/>
  <c r="Q810" i="2"/>
  <c r="R810" i="2" s="1"/>
  <c r="Q811" i="2"/>
  <c r="R811" i="2" s="1"/>
  <c r="Q812" i="2"/>
  <c r="R812" i="2" s="1"/>
  <c r="Q813" i="2"/>
  <c r="R813" i="2" s="1"/>
  <c r="Q814" i="2"/>
  <c r="R814" i="2" s="1"/>
  <c r="Q815" i="2"/>
  <c r="R815" i="2" s="1"/>
  <c r="Q816" i="2"/>
  <c r="R816" i="2" s="1"/>
  <c r="Q817" i="2"/>
  <c r="R817" i="2" s="1"/>
  <c r="Q818" i="2"/>
  <c r="R818" i="2" s="1"/>
  <c r="Q819" i="2"/>
  <c r="R819" i="2" s="1"/>
  <c r="Q820" i="2"/>
  <c r="R820" i="2" s="1"/>
  <c r="Q821" i="2"/>
  <c r="R821" i="2" s="1"/>
  <c r="Q822" i="2"/>
  <c r="R822" i="2" s="1"/>
  <c r="Q823" i="2"/>
  <c r="R823" i="2" s="1"/>
  <c r="Q824" i="2"/>
  <c r="R824" i="2" s="1"/>
  <c r="Q825" i="2"/>
  <c r="R825" i="2" s="1"/>
  <c r="Q826" i="2"/>
  <c r="R826" i="2" s="1"/>
  <c r="Q827" i="2"/>
  <c r="R827" i="2" s="1"/>
  <c r="Q828" i="2"/>
  <c r="R828" i="2" s="1"/>
  <c r="Q829" i="2"/>
  <c r="R829" i="2" s="1"/>
  <c r="Q830" i="2"/>
  <c r="R830" i="2" s="1"/>
  <c r="Q831" i="2"/>
  <c r="R831" i="2" s="1"/>
  <c r="Q832" i="2"/>
  <c r="R832" i="2" s="1"/>
  <c r="Q833" i="2"/>
  <c r="R833" i="2" s="1"/>
  <c r="Q834" i="2"/>
  <c r="R834" i="2" s="1"/>
  <c r="Q835" i="2"/>
  <c r="R835" i="2" s="1"/>
  <c r="Q836" i="2"/>
  <c r="R836" i="2" s="1"/>
  <c r="Q837" i="2"/>
  <c r="R837" i="2" s="1"/>
  <c r="Q838" i="2"/>
  <c r="R838" i="2" s="1"/>
  <c r="Q839" i="2"/>
  <c r="R839" i="2" s="1"/>
  <c r="Q840" i="2"/>
  <c r="R840" i="2" s="1"/>
  <c r="Q841" i="2"/>
  <c r="R841" i="2" s="1"/>
  <c r="Q842" i="2"/>
  <c r="R842" i="2" s="1"/>
  <c r="Q843" i="2"/>
  <c r="R843" i="2" s="1"/>
  <c r="Q844" i="2"/>
  <c r="R844" i="2" s="1"/>
  <c r="Q845" i="2"/>
  <c r="R845" i="2" s="1"/>
  <c r="Q846" i="2"/>
  <c r="R846" i="2" s="1"/>
  <c r="Q847" i="2"/>
  <c r="R847" i="2" s="1"/>
  <c r="Q848" i="2"/>
  <c r="R848" i="2" s="1"/>
  <c r="Q849" i="2"/>
  <c r="R849" i="2" s="1"/>
  <c r="Q850" i="2"/>
  <c r="R850" i="2" s="1"/>
  <c r="Q851" i="2"/>
  <c r="R851" i="2" s="1"/>
  <c r="Q852" i="2"/>
  <c r="R852" i="2" s="1"/>
  <c r="Q853" i="2"/>
  <c r="R853" i="2" s="1"/>
  <c r="Q854" i="2"/>
  <c r="R854" i="2" s="1"/>
  <c r="Q855" i="2"/>
  <c r="R855" i="2" s="1"/>
  <c r="Q856" i="2"/>
  <c r="R856" i="2" s="1"/>
  <c r="Q857" i="2"/>
  <c r="R857" i="2" s="1"/>
  <c r="Q858" i="2"/>
  <c r="R858" i="2" s="1"/>
  <c r="Q859" i="2"/>
  <c r="R859" i="2" s="1"/>
  <c r="Q860" i="2"/>
  <c r="R860" i="2" s="1"/>
  <c r="Q861" i="2"/>
  <c r="R861" i="2" s="1"/>
  <c r="Q862" i="2"/>
  <c r="R862" i="2" s="1"/>
  <c r="Q863" i="2"/>
  <c r="R863" i="2" s="1"/>
  <c r="Q864" i="2"/>
  <c r="R864" i="2" s="1"/>
  <c r="Q865" i="2"/>
  <c r="R865" i="2" s="1"/>
  <c r="Q866" i="2"/>
  <c r="R866" i="2" s="1"/>
  <c r="Q867" i="2"/>
  <c r="R867" i="2" s="1"/>
  <c r="Q868" i="2"/>
  <c r="R868" i="2" s="1"/>
  <c r="Q869" i="2"/>
  <c r="R869" i="2" s="1"/>
  <c r="Q870" i="2"/>
  <c r="R870" i="2" s="1"/>
  <c r="Q871" i="2"/>
  <c r="R871" i="2" s="1"/>
  <c r="Q872" i="2"/>
  <c r="R872" i="2" s="1"/>
  <c r="Q873" i="2"/>
  <c r="R873" i="2" s="1"/>
  <c r="Q874" i="2"/>
  <c r="R874" i="2" s="1"/>
  <c r="Q875" i="2"/>
  <c r="R875" i="2" s="1"/>
  <c r="Q876" i="2"/>
  <c r="R876" i="2" s="1"/>
  <c r="Q877" i="2"/>
  <c r="R877" i="2" s="1"/>
  <c r="Q878" i="2"/>
  <c r="R878" i="2" s="1"/>
  <c r="Q879" i="2"/>
  <c r="R879" i="2" s="1"/>
  <c r="Q880" i="2"/>
  <c r="R880" i="2" s="1"/>
  <c r="Q881" i="2"/>
  <c r="R881" i="2" s="1"/>
  <c r="Q882" i="2"/>
  <c r="R882" i="2" s="1"/>
  <c r="Q883" i="2"/>
  <c r="R883" i="2" s="1"/>
  <c r="Q884" i="2"/>
  <c r="R884" i="2" s="1"/>
  <c r="Q885" i="2"/>
  <c r="R885" i="2" s="1"/>
  <c r="Q886" i="2"/>
  <c r="R886" i="2" s="1"/>
  <c r="Q887" i="2"/>
  <c r="R887" i="2" s="1"/>
  <c r="Q888" i="2"/>
  <c r="R888" i="2" s="1"/>
  <c r="Q889" i="2"/>
  <c r="R889" i="2" s="1"/>
  <c r="Q890" i="2"/>
  <c r="R890" i="2" s="1"/>
  <c r="Q891" i="2"/>
  <c r="R891" i="2" s="1"/>
  <c r="Q892" i="2"/>
  <c r="R892" i="2" s="1"/>
  <c r="Q893" i="2"/>
  <c r="R893" i="2" s="1"/>
  <c r="Q894" i="2"/>
  <c r="R894" i="2" s="1"/>
  <c r="Q895" i="2"/>
  <c r="R895" i="2" s="1"/>
  <c r="Q896" i="2"/>
  <c r="R896" i="2" s="1"/>
  <c r="Q897" i="2"/>
  <c r="R897" i="2" s="1"/>
  <c r="Q898" i="2"/>
  <c r="R898" i="2" s="1"/>
  <c r="Q899" i="2"/>
  <c r="R899" i="2" s="1"/>
  <c r="Q900" i="2"/>
  <c r="R900" i="2" s="1"/>
  <c r="Q901" i="2"/>
  <c r="R901" i="2" s="1"/>
  <c r="Q902" i="2"/>
  <c r="R902" i="2" s="1"/>
  <c r="Q903" i="2"/>
  <c r="R903" i="2" s="1"/>
  <c r="Q904" i="2"/>
  <c r="R904" i="2" s="1"/>
  <c r="Q905" i="2"/>
  <c r="R905" i="2" s="1"/>
  <c r="Q906" i="2"/>
  <c r="R906" i="2" s="1"/>
  <c r="Q907" i="2"/>
  <c r="R907" i="2" s="1"/>
  <c r="Q908" i="2"/>
  <c r="R908" i="2" s="1"/>
  <c r="Q909" i="2"/>
  <c r="R909" i="2" s="1"/>
  <c r="Q910" i="2"/>
  <c r="R910" i="2" s="1"/>
  <c r="Q911" i="2"/>
  <c r="R911" i="2" s="1"/>
  <c r="Q912" i="2"/>
  <c r="R912" i="2" s="1"/>
  <c r="Q913" i="2"/>
  <c r="R913" i="2" s="1"/>
  <c r="Q914" i="2"/>
  <c r="R914" i="2" s="1"/>
  <c r="Q915" i="2"/>
  <c r="R915" i="2" s="1"/>
  <c r="Q916" i="2"/>
  <c r="R916" i="2" s="1"/>
  <c r="Q917" i="2"/>
  <c r="R917" i="2" s="1"/>
  <c r="Q918" i="2"/>
  <c r="R918" i="2" s="1"/>
  <c r="Q919" i="2"/>
  <c r="R919" i="2" s="1"/>
  <c r="Q920" i="2"/>
  <c r="R920" i="2" s="1"/>
  <c r="Q921" i="2"/>
  <c r="R921" i="2" s="1"/>
  <c r="Q922" i="2"/>
  <c r="R922" i="2" s="1"/>
  <c r="Q923" i="2"/>
  <c r="R923" i="2" s="1"/>
  <c r="Q924" i="2"/>
  <c r="R924" i="2" s="1"/>
  <c r="Q925" i="2"/>
  <c r="R925" i="2" s="1"/>
  <c r="Q926" i="2"/>
  <c r="R926" i="2" s="1"/>
  <c r="Q927" i="2"/>
  <c r="R927" i="2" s="1"/>
  <c r="Q928" i="2"/>
  <c r="R928" i="2" s="1"/>
  <c r="Q929" i="2"/>
  <c r="R929" i="2" s="1"/>
  <c r="Q930" i="2"/>
  <c r="R930" i="2" s="1"/>
  <c r="Q931" i="2"/>
  <c r="R931" i="2" s="1"/>
  <c r="Q932" i="2"/>
  <c r="R932" i="2" s="1"/>
  <c r="Q933" i="2"/>
  <c r="R933" i="2" s="1"/>
  <c r="Q934" i="2"/>
  <c r="R934" i="2" s="1"/>
  <c r="Q935" i="2"/>
  <c r="R935" i="2" s="1"/>
  <c r="Q936" i="2"/>
  <c r="R936" i="2" s="1"/>
  <c r="Q937" i="2"/>
  <c r="R937" i="2" s="1"/>
  <c r="Q938" i="2"/>
  <c r="R938" i="2" s="1"/>
  <c r="Q939" i="2"/>
  <c r="R939" i="2" s="1"/>
  <c r="Q940" i="2"/>
  <c r="R940" i="2" s="1"/>
  <c r="Q941" i="2"/>
  <c r="R941" i="2" s="1"/>
  <c r="Q942" i="2"/>
  <c r="R942" i="2" s="1"/>
  <c r="Q943" i="2"/>
  <c r="R943" i="2" s="1"/>
  <c r="Q944" i="2"/>
  <c r="R944" i="2" s="1"/>
  <c r="Q945" i="2"/>
  <c r="R945" i="2" s="1"/>
  <c r="Q946" i="2"/>
  <c r="R946" i="2" s="1"/>
  <c r="Q947" i="2"/>
  <c r="R947" i="2" s="1"/>
  <c r="Q948" i="2"/>
  <c r="R948" i="2" s="1"/>
  <c r="Q949" i="2"/>
  <c r="R949" i="2" s="1"/>
  <c r="Q950" i="2"/>
  <c r="R950" i="2" s="1"/>
  <c r="Q951" i="2"/>
  <c r="R951" i="2" s="1"/>
  <c r="Q952" i="2"/>
  <c r="R952" i="2" s="1"/>
  <c r="Q953" i="2"/>
  <c r="R953" i="2" s="1"/>
  <c r="Q954" i="2"/>
  <c r="R954" i="2" s="1"/>
  <c r="Q955" i="2"/>
  <c r="R955" i="2" s="1"/>
  <c r="Q956" i="2"/>
  <c r="R956" i="2" s="1"/>
  <c r="Q957" i="2"/>
  <c r="R957" i="2" s="1"/>
  <c r="Q958" i="2"/>
  <c r="R958" i="2" s="1"/>
  <c r="Q959" i="2"/>
  <c r="R959" i="2" s="1"/>
  <c r="Q960" i="2"/>
  <c r="R960" i="2" s="1"/>
  <c r="Q961" i="2"/>
  <c r="R961" i="2" s="1"/>
  <c r="Q962" i="2"/>
  <c r="R962" i="2" s="1"/>
  <c r="Q963" i="2"/>
  <c r="R963" i="2" s="1"/>
  <c r="Q964" i="2"/>
  <c r="R964" i="2" s="1"/>
  <c r="Q965" i="2"/>
  <c r="R965" i="2" s="1"/>
  <c r="Q966" i="2"/>
  <c r="R966" i="2" s="1"/>
  <c r="Q967" i="2"/>
  <c r="R967" i="2" s="1"/>
  <c r="Q968" i="2"/>
  <c r="R968" i="2" s="1"/>
  <c r="Q969" i="2"/>
  <c r="R969" i="2" s="1"/>
  <c r="Q970" i="2"/>
  <c r="R970" i="2" s="1"/>
  <c r="Q971" i="2"/>
  <c r="R971" i="2" s="1"/>
  <c r="Q972" i="2"/>
  <c r="R972" i="2" s="1"/>
  <c r="Q973" i="2"/>
  <c r="R973" i="2" s="1"/>
  <c r="Q974" i="2"/>
  <c r="R974" i="2" s="1"/>
  <c r="Q975" i="2"/>
  <c r="R975" i="2" s="1"/>
  <c r="Q976" i="2"/>
  <c r="R976" i="2" s="1"/>
  <c r="Q977" i="2"/>
  <c r="R977" i="2" s="1"/>
  <c r="Q978" i="2"/>
  <c r="R978" i="2" s="1"/>
  <c r="Q979" i="2"/>
  <c r="R979" i="2" s="1"/>
  <c r="Q980" i="2"/>
  <c r="R980" i="2" s="1"/>
  <c r="Q981" i="2"/>
  <c r="R981" i="2" s="1"/>
  <c r="Q982" i="2"/>
  <c r="R982" i="2" s="1"/>
  <c r="Q983" i="2"/>
  <c r="R983" i="2" s="1"/>
  <c r="Q984" i="2"/>
  <c r="R984" i="2" s="1"/>
  <c r="Q985" i="2"/>
  <c r="R985" i="2" s="1"/>
  <c r="Q986" i="2"/>
  <c r="R986" i="2" s="1"/>
  <c r="Q987" i="2"/>
  <c r="R987" i="2" s="1"/>
  <c r="Q988" i="2"/>
  <c r="R988" i="2" s="1"/>
  <c r="Q989" i="2"/>
  <c r="R989" i="2" s="1"/>
  <c r="Q990" i="2"/>
  <c r="R990" i="2" s="1"/>
  <c r="Q991" i="2"/>
  <c r="R991" i="2" s="1"/>
  <c r="Q992" i="2"/>
  <c r="R992" i="2" s="1"/>
  <c r="Q993" i="2"/>
  <c r="R993" i="2" s="1"/>
  <c r="Q994" i="2"/>
  <c r="R994" i="2" s="1"/>
  <c r="Q995" i="2"/>
  <c r="R995" i="2" s="1"/>
  <c r="Q996" i="2"/>
  <c r="R996" i="2" s="1"/>
  <c r="Q997" i="2"/>
  <c r="R997" i="2" s="1"/>
  <c r="Q998" i="2"/>
  <c r="R998" i="2" s="1"/>
  <c r="Q999" i="2"/>
  <c r="R999" i="2" s="1"/>
  <c r="Q1000" i="2"/>
  <c r="R1000" i="2" s="1"/>
  <c r="Q1001" i="2"/>
  <c r="R1001" i="2" s="1"/>
  <c r="Q1002" i="2"/>
  <c r="R1002" i="2" s="1"/>
  <c r="Q1003" i="2"/>
  <c r="R1003" i="2" s="1"/>
  <c r="Q1004" i="2"/>
  <c r="R1004" i="2" s="1"/>
  <c r="Q1005" i="2"/>
  <c r="R1005" i="2" s="1"/>
  <c r="Q1006" i="2"/>
  <c r="R1006" i="2" s="1"/>
  <c r="Q1007" i="2"/>
  <c r="R1007" i="2" s="1"/>
  <c r="Q1008" i="2"/>
  <c r="R1008" i="2" s="1"/>
  <c r="Q1009" i="2"/>
  <c r="R1009" i="2" s="1"/>
  <c r="Q1010" i="2"/>
  <c r="R1010" i="2" s="1"/>
  <c r="Q1011" i="2"/>
  <c r="R1011" i="2" s="1"/>
  <c r="Q1012" i="2"/>
  <c r="R1012" i="2" s="1"/>
  <c r="Q1013" i="2"/>
  <c r="R1013" i="2" s="1"/>
  <c r="Q1014" i="2"/>
  <c r="R1014" i="2" s="1"/>
  <c r="Q1015" i="2"/>
  <c r="R1015" i="2" s="1"/>
  <c r="Q1016" i="2"/>
  <c r="R1016" i="2" s="1"/>
  <c r="Q1017" i="2"/>
  <c r="R1017" i="2" s="1"/>
  <c r="Q1018" i="2"/>
  <c r="R1018" i="2" s="1"/>
  <c r="Q1019" i="2"/>
  <c r="R1019" i="2" s="1"/>
  <c r="Q1020" i="2"/>
  <c r="R1020" i="2" s="1"/>
  <c r="Q1021" i="2"/>
  <c r="R1021" i="2" s="1"/>
  <c r="Q1022" i="2"/>
  <c r="R1022" i="2" s="1"/>
  <c r="Q1023" i="2"/>
  <c r="R1023" i="2" s="1"/>
  <c r="Q1024" i="2"/>
  <c r="R1024" i="2" s="1"/>
  <c r="Q1025" i="2"/>
  <c r="R1025" i="2" s="1"/>
  <c r="Q1026" i="2"/>
  <c r="R1026" i="2" s="1"/>
  <c r="Q1027" i="2"/>
  <c r="R1027" i="2" s="1"/>
  <c r="Q1028" i="2"/>
  <c r="R1028" i="2" s="1"/>
  <c r="Q1029" i="2"/>
  <c r="R1029" i="2" s="1"/>
  <c r="Q1030" i="2"/>
  <c r="R1030" i="2" s="1"/>
  <c r="Q1031" i="2"/>
  <c r="R1031" i="2" s="1"/>
  <c r="Q1032" i="2"/>
  <c r="R1032" i="2" s="1"/>
  <c r="Q1033" i="2"/>
  <c r="R1033" i="2" s="1"/>
  <c r="Q1034" i="2"/>
  <c r="R1034" i="2" s="1"/>
  <c r="Q1035" i="2"/>
  <c r="R1035" i="2" s="1"/>
  <c r="Q1036" i="2"/>
  <c r="R1036" i="2" s="1"/>
  <c r="Q1037" i="2"/>
  <c r="R1037" i="2" s="1"/>
  <c r="Q1038" i="2"/>
  <c r="R1038" i="2" s="1"/>
  <c r="Q1039" i="2"/>
  <c r="R1039" i="2" s="1"/>
  <c r="Q1040" i="2"/>
  <c r="R1040" i="2" s="1"/>
  <c r="Q1041" i="2"/>
  <c r="R1041" i="2" s="1"/>
  <c r="Q1042" i="2"/>
  <c r="R1042" i="2" s="1"/>
  <c r="Q1043" i="2"/>
  <c r="R1043" i="2" s="1"/>
  <c r="Q1044" i="2"/>
  <c r="R1044" i="2" s="1"/>
  <c r="Q1045" i="2"/>
  <c r="R1045" i="2" s="1"/>
  <c r="Q1046" i="2"/>
  <c r="R1046" i="2" s="1"/>
  <c r="Q1047" i="2"/>
  <c r="R1047" i="2" s="1"/>
  <c r="Q1048" i="2"/>
  <c r="R1048" i="2" s="1"/>
  <c r="Q1049" i="2"/>
  <c r="R1049" i="2" s="1"/>
  <c r="Q1050" i="2"/>
  <c r="R1050" i="2" s="1"/>
  <c r="Q1051" i="2"/>
  <c r="R1051" i="2" s="1"/>
  <c r="Q1052" i="2"/>
  <c r="R1052" i="2" s="1"/>
  <c r="Q1053" i="2"/>
  <c r="R1053" i="2" s="1"/>
  <c r="Q1054" i="2"/>
  <c r="R1054" i="2" s="1"/>
  <c r="Q1055" i="2"/>
  <c r="R1055" i="2" s="1"/>
  <c r="Q1056" i="2"/>
  <c r="R1056" i="2" s="1"/>
  <c r="Q1057" i="2"/>
  <c r="R1057" i="2" s="1"/>
  <c r="Q1058" i="2"/>
  <c r="R1058" i="2" s="1"/>
  <c r="Q1059" i="2"/>
  <c r="R1059" i="2" s="1"/>
  <c r="Q1060" i="2"/>
  <c r="R1060" i="2" s="1"/>
  <c r="Q1061" i="2"/>
  <c r="R1061" i="2" s="1"/>
  <c r="Q1062" i="2"/>
  <c r="R1062" i="2" s="1"/>
  <c r="Q1063" i="2"/>
  <c r="R1063" i="2" s="1"/>
  <c r="Q1064" i="2"/>
  <c r="R1064" i="2" s="1"/>
  <c r="Q1065" i="2"/>
  <c r="R1065" i="2" s="1"/>
  <c r="Q1066" i="2"/>
  <c r="R1066" i="2" s="1"/>
  <c r="Q1067" i="2"/>
  <c r="R1067" i="2" s="1"/>
  <c r="Q1068" i="2"/>
  <c r="R1068" i="2" s="1"/>
  <c r="Q1069" i="2"/>
  <c r="R1069" i="2" s="1"/>
  <c r="Q1070" i="2"/>
  <c r="R1070" i="2" s="1"/>
  <c r="Q1071" i="2"/>
  <c r="R1071" i="2" s="1"/>
  <c r="Q1072" i="2"/>
  <c r="R1072" i="2" s="1"/>
  <c r="Q1073" i="2"/>
  <c r="R1073" i="2" s="1"/>
  <c r="Q1074" i="2"/>
  <c r="R1074" i="2" s="1"/>
  <c r="Q1075" i="2"/>
  <c r="R1075" i="2" s="1"/>
  <c r="Q1076" i="2"/>
  <c r="R1076" i="2" s="1"/>
  <c r="Q1077" i="2"/>
  <c r="R1077" i="2" s="1"/>
  <c r="Q1078" i="2"/>
  <c r="R1078" i="2" s="1"/>
  <c r="Q1079" i="2"/>
  <c r="R1079" i="2" s="1"/>
  <c r="Q1080" i="2"/>
  <c r="R1080" i="2" s="1"/>
  <c r="Q1081" i="2"/>
  <c r="R1081" i="2" s="1"/>
  <c r="Q1082" i="2"/>
  <c r="R1082" i="2" s="1"/>
  <c r="Q1083" i="2"/>
  <c r="R1083" i="2" s="1"/>
  <c r="Q1084" i="2"/>
  <c r="R1084" i="2" s="1"/>
  <c r="Q1085" i="2"/>
  <c r="R1085" i="2" s="1"/>
  <c r="Q1086" i="2"/>
  <c r="R1086" i="2" s="1"/>
  <c r="Q1087" i="2"/>
  <c r="R1087" i="2" s="1"/>
  <c r="Q1088" i="2"/>
  <c r="R1088" i="2" s="1"/>
  <c r="Q1089" i="2"/>
  <c r="R1089" i="2" s="1"/>
  <c r="Q1090" i="2"/>
  <c r="R1090" i="2" s="1"/>
  <c r="Q1091" i="2"/>
  <c r="R1091" i="2" s="1"/>
  <c r="Q1092" i="2"/>
  <c r="R1092" i="2" s="1"/>
  <c r="Q1093" i="2"/>
  <c r="R1093" i="2" s="1"/>
  <c r="Q1094" i="2"/>
  <c r="R1094" i="2" s="1"/>
  <c r="Q1095" i="2"/>
  <c r="R1095" i="2" s="1"/>
  <c r="Q1096" i="2"/>
  <c r="R1096" i="2" s="1"/>
  <c r="Q1097" i="2"/>
  <c r="R1097" i="2" s="1"/>
  <c r="Q1098" i="2"/>
  <c r="R1098" i="2" s="1"/>
  <c r="Q1099" i="2"/>
  <c r="R1099" i="2" s="1"/>
  <c r="Q1100" i="2"/>
  <c r="R1100" i="2" s="1"/>
  <c r="Q1101" i="2"/>
  <c r="R1101" i="2" s="1"/>
  <c r="Q1102" i="2"/>
  <c r="R1102" i="2" s="1"/>
  <c r="Q1103" i="2"/>
  <c r="R1103" i="2" s="1"/>
  <c r="Q1104" i="2"/>
  <c r="R1104" i="2" s="1"/>
  <c r="Q1105" i="2"/>
  <c r="R1105" i="2" s="1"/>
  <c r="Q1106" i="2"/>
  <c r="R1106" i="2" s="1"/>
  <c r="Q1107" i="2"/>
  <c r="R1107" i="2" s="1"/>
  <c r="Q1108" i="2"/>
  <c r="R1108" i="2" s="1"/>
  <c r="Q1109" i="2"/>
  <c r="R1109" i="2" s="1"/>
  <c r="Q1110" i="2"/>
  <c r="R1110" i="2" s="1"/>
  <c r="Q1111" i="2"/>
  <c r="R1111" i="2" s="1"/>
  <c r="Q1112" i="2"/>
  <c r="R1112" i="2" s="1"/>
  <c r="Q2" i="2"/>
  <c r="R2" i="2" s="1"/>
  <c r="Y6" i="6"/>
  <c r="Y5" i="6"/>
  <c r="AF22" i="6"/>
  <c r="Y4" i="6"/>
  <c r="AH22" i="6"/>
  <c r="AI22" i="6"/>
  <c r="AG22" i="6"/>
</calcChain>
</file>

<file path=xl/sharedStrings.xml><?xml version="1.0" encoding="utf-8"?>
<sst xmlns="http://schemas.openxmlformats.org/spreadsheetml/2006/main" count="20143" uniqueCount="1204">
  <si>
    <t>Order Date</t>
  </si>
  <si>
    <t>Customer Name</t>
  </si>
  <si>
    <t>City</t>
  </si>
  <si>
    <t>State</t>
  </si>
  <si>
    <t>Product Name</t>
  </si>
  <si>
    <t>Main Category</t>
  </si>
  <si>
    <t>Sub Category</t>
  </si>
  <si>
    <t>Quantity</t>
  </si>
  <si>
    <t>Unit Price (₦)</t>
  </si>
  <si>
    <t>Discount %</t>
  </si>
  <si>
    <t>Discounted Unit Price (₦)</t>
  </si>
  <si>
    <t>Total Price (₦)</t>
  </si>
  <si>
    <t>Shipping Fee (₦)</t>
  </si>
  <si>
    <t>Payment Method</t>
  </si>
  <si>
    <t>Delivery Status</t>
  </si>
  <si>
    <t>Delivery Date</t>
  </si>
  <si>
    <t>Product Rating</t>
  </si>
  <si>
    <t>Product Review</t>
  </si>
  <si>
    <t>Victoria Mccall</t>
  </si>
  <si>
    <t>James Hood</t>
  </si>
  <si>
    <t>Brandon Williams</t>
  </si>
  <si>
    <t>Marie Simpson</t>
  </si>
  <si>
    <t>Mrs. Haley Stevenson</t>
  </si>
  <si>
    <t>Lisa Thomas</t>
  </si>
  <si>
    <t>Sara Clements</t>
  </si>
  <si>
    <t>Kyle Walker</t>
  </si>
  <si>
    <t>Mark Moreno</t>
  </si>
  <si>
    <t>Kathy Diaz</t>
  </si>
  <si>
    <t>Aaron Munoz</t>
  </si>
  <si>
    <t>Mark Tate</t>
  </si>
  <si>
    <t>Linda Frederick</t>
  </si>
  <si>
    <t>Stephanie Cannon</t>
  </si>
  <si>
    <t>Earl Salazar</t>
  </si>
  <si>
    <t>Randy Lopez</t>
  </si>
  <si>
    <t>Sara Mann</t>
  </si>
  <si>
    <t>Adam Conner</t>
  </si>
  <si>
    <t>Danielle Shepard</t>
  </si>
  <si>
    <t>Kristin Ramirez</t>
  </si>
  <si>
    <t>Jonathan Dean</t>
  </si>
  <si>
    <t>Matthew Thompson</t>
  </si>
  <si>
    <t>Amanda Schultz</t>
  </si>
  <si>
    <t>Jason Huber</t>
  </si>
  <si>
    <t>Michael Garcia</t>
  </si>
  <si>
    <t>Sharon Mills</t>
  </si>
  <si>
    <t>Natasha Oneal</t>
  </si>
  <si>
    <t>Katrina Blair</t>
  </si>
  <si>
    <t>Laurie Strickland</t>
  </si>
  <si>
    <t>Kenneth Thomas</t>
  </si>
  <si>
    <t>Alec Jimenez</t>
  </si>
  <si>
    <t>Evan Alexander</t>
  </si>
  <si>
    <t>Nathaniel Johnston</t>
  </si>
  <si>
    <t>Teresa Payne</t>
  </si>
  <si>
    <t>Dana Watson</t>
  </si>
  <si>
    <t>Megan Baker</t>
  </si>
  <si>
    <t>Daniel Mccoy</t>
  </si>
  <si>
    <t>Tiffany Johnson</t>
  </si>
  <si>
    <t>Raymond Griffin</t>
  </si>
  <si>
    <t>Angela Marshall</t>
  </si>
  <si>
    <t>Ashley Holmes</t>
  </si>
  <si>
    <t>David Chan</t>
  </si>
  <si>
    <t>Jeremy Chen</t>
  </si>
  <si>
    <t>Sheila Hill DVM</t>
  </si>
  <si>
    <t>John Russell</t>
  </si>
  <si>
    <t>Howard Robertson</t>
  </si>
  <si>
    <t>Kyle Smith</t>
  </si>
  <si>
    <t>Antonio Thomas</t>
  </si>
  <si>
    <t>Scott Sullivan</t>
  </si>
  <si>
    <t>Charles Ruiz</t>
  </si>
  <si>
    <t>Jose Stewart</t>
  </si>
  <si>
    <t>James Scott</t>
  </si>
  <si>
    <t>Abigail Love</t>
  </si>
  <si>
    <t>Susan Johnson</t>
  </si>
  <si>
    <t>Timothy Ross</t>
  </si>
  <si>
    <t>Gregory Fernandez</t>
  </si>
  <si>
    <t>Heidi Cobb</t>
  </si>
  <si>
    <t>David Cruz</t>
  </si>
  <si>
    <t>Craig Russell</t>
  </si>
  <si>
    <t>Debbie Weaver</t>
  </si>
  <si>
    <t>Debra Gillespie</t>
  </si>
  <si>
    <t>James Larson</t>
  </si>
  <si>
    <t>Andrew Hernandez</t>
  </si>
  <si>
    <t>Brandy Diaz</t>
  </si>
  <si>
    <t>Karina Anderson</t>
  </si>
  <si>
    <t>Heather Christensen</t>
  </si>
  <si>
    <t>Alexandra Miller</t>
  </si>
  <si>
    <t>Jodi Wilson</t>
  </si>
  <si>
    <t>Travis Silva</t>
  </si>
  <si>
    <t>Wendy White</t>
  </si>
  <si>
    <t>Jason Johnson</t>
  </si>
  <si>
    <t>Michael Shannon</t>
  </si>
  <si>
    <t>David Jones</t>
  </si>
  <si>
    <t>Richard Dennis</t>
  </si>
  <si>
    <t>Kimberly Davis</t>
  </si>
  <si>
    <t>Mark Marquez</t>
  </si>
  <si>
    <t>Tammy Scott</t>
  </si>
  <si>
    <t>Mark Reese</t>
  </si>
  <si>
    <t>Karen Conley</t>
  </si>
  <si>
    <t>John Braun</t>
  </si>
  <si>
    <t>Tabitha Jones</t>
  </si>
  <si>
    <t>Jacob Gray</t>
  </si>
  <si>
    <t>Teresa Jackson</t>
  </si>
  <si>
    <t>Elizabeth Ramsey</t>
  </si>
  <si>
    <t>Brittany Miller</t>
  </si>
  <si>
    <t>Candice Mitchell</t>
  </si>
  <si>
    <t>Traci Gonzalez</t>
  </si>
  <si>
    <t>Terry Howard</t>
  </si>
  <si>
    <t>Madison Maldonado</t>
  </si>
  <si>
    <t>Victor Wheeler</t>
  </si>
  <si>
    <t>Angela Bruce</t>
  </si>
  <si>
    <t>Laura Simmons</t>
  </si>
  <si>
    <t>Matthew Henry</t>
  </si>
  <si>
    <t>Kimberly Hebert</t>
  </si>
  <si>
    <t>Loretta Torres</t>
  </si>
  <si>
    <t>Rhonda Villarreal</t>
  </si>
  <si>
    <t>Jason Craig</t>
  </si>
  <si>
    <t>Brandon Burns</t>
  </si>
  <si>
    <t>Dylan Bright</t>
  </si>
  <si>
    <t>Alyssa Johnson</t>
  </si>
  <si>
    <t>Casey Hinton</t>
  </si>
  <si>
    <t>Kevin Pruitt</t>
  </si>
  <si>
    <t>Oscar Jones</t>
  </si>
  <si>
    <t>Kenneth Richardson</t>
  </si>
  <si>
    <t>Jason Mckinney</t>
  </si>
  <si>
    <t>Amy Ross</t>
  </si>
  <si>
    <t>Hannah Montoya</t>
  </si>
  <si>
    <t>Tiffany Scott</t>
  </si>
  <si>
    <t>Michael Gonzales</t>
  </si>
  <si>
    <t>Matthew Jordan</t>
  </si>
  <si>
    <t>Stephanie Scott</t>
  </si>
  <si>
    <t>Robin Lopez</t>
  </si>
  <si>
    <t>Christopher Fields</t>
  </si>
  <si>
    <t>Adam Hall</t>
  </si>
  <si>
    <t>Clayton Lucas</t>
  </si>
  <si>
    <t>Corey Hernandez</t>
  </si>
  <si>
    <t>Rachel Thomas</t>
  </si>
  <si>
    <t>Aaron Williams</t>
  </si>
  <si>
    <t>Jeffrey Hall</t>
  </si>
  <si>
    <t>Zachary Gallagher</t>
  </si>
  <si>
    <t>Randy Garrett</t>
  </si>
  <si>
    <t>Stephanie Perkins</t>
  </si>
  <si>
    <t>Lauren Baker</t>
  </si>
  <si>
    <t>Joshua Lynn</t>
  </si>
  <si>
    <t>Wanda Harvey</t>
  </si>
  <si>
    <t>Robin Porter</t>
  </si>
  <si>
    <t>Jason Clay</t>
  </si>
  <si>
    <t>Erica Hampton</t>
  </si>
  <si>
    <t>Joshua Mann</t>
  </si>
  <si>
    <t>Jonathan Floyd</t>
  </si>
  <si>
    <t>Patricia Sloan</t>
  </si>
  <si>
    <t>Nicholas Crawford</t>
  </si>
  <si>
    <t>Jennifer Alexander</t>
  </si>
  <si>
    <t>Brian Powell DVM</t>
  </si>
  <si>
    <t>Angel Benton</t>
  </si>
  <si>
    <t>Anthony Miller</t>
  </si>
  <si>
    <t>Russell Cooper</t>
  </si>
  <si>
    <t>Becky Blake</t>
  </si>
  <si>
    <t>Brian Rodriguez</t>
  </si>
  <si>
    <t>Clinton Moore</t>
  </si>
  <si>
    <t>Donna Moore</t>
  </si>
  <si>
    <t>Kelly Parsons</t>
  </si>
  <si>
    <t>Stephen Reynolds</t>
  </si>
  <si>
    <t>Rachel Holland</t>
  </si>
  <si>
    <t>Christine Wilson</t>
  </si>
  <si>
    <t>Susan Randolph</t>
  </si>
  <si>
    <t>Philip Taylor</t>
  </si>
  <si>
    <t>Lisa Hill</t>
  </si>
  <si>
    <t>Kelly Woods</t>
  </si>
  <si>
    <t>Thomas Gonzalez</t>
  </si>
  <si>
    <t>Nina Hill</t>
  </si>
  <si>
    <t>Ana Villegas</t>
  </si>
  <si>
    <t>Nathaniel Dorsey</t>
  </si>
  <si>
    <t>Melanie Fox</t>
  </si>
  <si>
    <t>Rebecca Henderson MD</t>
  </si>
  <si>
    <t>Dustin Palmer</t>
  </si>
  <si>
    <t>Shelby Waller</t>
  </si>
  <si>
    <t>William Washington</t>
  </si>
  <si>
    <t>Robert Levy</t>
  </si>
  <si>
    <t>Katherine Hunt</t>
  </si>
  <si>
    <t>Carl Hooper</t>
  </si>
  <si>
    <t>Nicole Bennett</t>
  </si>
  <si>
    <t>Tasha Hernandez</t>
  </si>
  <si>
    <t>Mathew Henderson</t>
  </si>
  <si>
    <t>Timothy Chapman</t>
  </si>
  <si>
    <t>Edward Jones</t>
  </si>
  <si>
    <t>Lisa Ryan</t>
  </si>
  <si>
    <t>Melinda Alexander</t>
  </si>
  <si>
    <t>Andrea King</t>
  </si>
  <si>
    <t>Elizabeth Mcintosh</t>
  </si>
  <si>
    <t>Arthur Mclaughlin</t>
  </si>
  <si>
    <t>Autumn Jordan</t>
  </si>
  <si>
    <t>Kristina Miles</t>
  </si>
  <si>
    <t>Steven King MD</t>
  </si>
  <si>
    <t>Jose Norman</t>
  </si>
  <si>
    <t>Timothy Woods</t>
  </si>
  <si>
    <t>Steven Dickerson DDS</t>
  </si>
  <si>
    <t>Wendy Wright</t>
  </si>
  <si>
    <t>Anthony Harrell</t>
  </si>
  <si>
    <t>John Cooper</t>
  </si>
  <si>
    <t>Alex Zuniga</t>
  </si>
  <si>
    <t>Anne Murphy</t>
  </si>
  <si>
    <t>Stephen Chambers</t>
  </si>
  <si>
    <t>Darrell Caldwell</t>
  </si>
  <si>
    <t>Michaela Serrano</t>
  </si>
  <si>
    <t>Sandra Kerr</t>
  </si>
  <si>
    <t>Cindy Perez</t>
  </si>
  <si>
    <t>Pamela Rubio</t>
  </si>
  <si>
    <t>Benjamin Levy</t>
  </si>
  <si>
    <t>Tiffany Reid</t>
  </si>
  <si>
    <t>Mr. Richard Serrano MD</t>
  </si>
  <si>
    <t>Angela Dickson</t>
  </si>
  <si>
    <t>Bobby Rodriguez</t>
  </si>
  <si>
    <t>David Madden</t>
  </si>
  <si>
    <t>Christopher Davis</t>
  </si>
  <si>
    <t>Amy Allison</t>
  </si>
  <si>
    <t>Sandra Allen</t>
  </si>
  <si>
    <t>Reginald Becker</t>
  </si>
  <si>
    <t>Nathaniel Calderon</t>
  </si>
  <si>
    <t>Robert Snyder</t>
  </si>
  <si>
    <t>Michael Hobbs</t>
  </si>
  <si>
    <t>Brent Webster</t>
  </si>
  <si>
    <t>Rebecca Hughes</t>
  </si>
  <si>
    <t>Molly Rivera</t>
  </si>
  <si>
    <t>Jessica Baker</t>
  </si>
  <si>
    <t>Daniel Benitez</t>
  </si>
  <si>
    <t>Antonio Miller</t>
  </si>
  <si>
    <t>Jessica Stanley</t>
  </si>
  <si>
    <t>Henry Hill</t>
  </si>
  <si>
    <t>Paula Campbell</t>
  </si>
  <si>
    <t>Cynthia Potter</t>
  </si>
  <si>
    <t>Debbie Mueller</t>
  </si>
  <si>
    <t>Sue Thompson</t>
  </si>
  <si>
    <t>Bryan Allen</t>
  </si>
  <si>
    <t>Jorge Farley MD</t>
  </si>
  <si>
    <t>Brittney Jones</t>
  </si>
  <si>
    <t>Paul Smith</t>
  </si>
  <si>
    <t>Katherine Adkins PhD</t>
  </si>
  <si>
    <t>Linda Torres</t>
  </si>
  <si>
    <t>Christy Fox</t>
  </si>
  <si>
    <t>Frederick Hall</t>
  </si>
  <si>
    <t>Melissa Marshall</t>
  </si>
  <si>
    <t>David Palmer</t>
  </si>
  <si>
    <t>Kevin Larsen</t>
  </si>
  <si>
    <t>Victoria Elliott</t>
  </si>
  <si>
    <t>Rebecca Freeman</t>
  </si>
  <si>
    <t>Jessica Mejia</t>
  </si>
  <si>
    <t>Denise Horne</t>
  </si>
  <si>
    <t>Andrew Adkins</t>
  </si>
  <si>
    <t>Joseph Young</t>
  </si>
  <si>
    <t>Joe Shaffer</t>
  </si>
  <si>
    <t>Lori Sims</t>
  </si>
  <si>
    <t>Renee Brock</t>
  </si>
  <si>
    <t>Paula Chan</t>
  </si>
  <si>
    <t>Tammie Jones</t>
  </si>
  <si>
    <t>Brenda Davis</t>
  </si>
  <si>
    <t>Sarah Morrison</t>
  </si>
  <si>
    <t>Tyler Thomas</t>
  </si>
  <si>
    <t>Karen Moon</t>
  </si>
  <si>
    <t>Christopher Flores</t>
  </si>
  <si>
    <t>Matthew Riley</t>
  </si>
  <si>
    <t>Samantha Harrison</t>
  </si>
  <si>
    <t>Michael Brown</t>
  </si>
  <si>
    <t>Elizabeth Harris</t>
  </si>
  <si>
    <t>Susan Thompson</t>
  </si>
  <si>
    <t>Caitlin Moore</t>
  </si>
  <si>
    <t>Pedro Willis</t>
  </si>
  <si>
    <t>Eric Santiago</t>
  </si>
  <si>
    <t>Brandon Carpenter</t>
  </si>
  <si>
    <t>Erica Christensen</t>
  </si>
  <si>
    <t>Kelly Walker</t>
  </si>
  <si>
    <t>Michelle Harvey</t>
  </si>
  <si>
    <t>Lori Martin</t>
  </si>
  <si>
    <t>Lisa Rubio</t>
  </si>
  <si>
    <t>Karen Cabrera</t>
  </si>
  <si>
    <t>Jennifer Allen</t>
  </si>
  <si>
    <t>Robert Johnson</t>
  </si>
  <si>
    <t>Marcus Rodriguez</t>
  </si>
  <si>
    <t>Donald Johnson</t>
  </si>
  <si>
    <t>Erin Moore</t>
  </si>
  <si>
    <t>Victoria Wiggins</t>
  </si>
  <si>
    <t>Justin Burke</t>
  </si>
  <si>
    <t>Jose Rocha</t>
  </si>
  <si>
    <t>Molly Garrett</t>
  </si>
  <si>
    <t>Edward Chapman</t>
  </si>
  <si>
    <t>Jill White</t>
  </si>
  <si>
    <t>Andre Buchanan</t>
  </si>
  <si>
    <t>Laura Miller</t>
  </si>
  <si>
    <t>Jennifer Duran</t>
  </si>
  <si>
    <t>Daniel Mills</t>
  </si>
  <si>
    <t>Joshua Shaw</t>
  </si>
  <si>
    <t>Sean Chavez</t>
  </si>
  <si>
    <t>Tyler Miller</t>
  </si>
  <si>
    <t>George Walker</t>
  </si>
  <si>
    <t>Tina Perry</t>
  </si>
  <si>
    <t>Karina Gonzalez</t>
  </si>
  <si>
    <t>Bryan Miller</t>
  </si>
  <si>
    <t>Deborah Hernandez</t>
  </si>
  <si>
    <t>Carolyn Hodge</t>
  </si>
  <si>
    <t>Jeremiah Lopez</t>
  </si>
  <si>
    <t>Victoria Sparks</t>
  </si>
  <si>
    <t>Megan Ramirez</t>
  </si>
  <si>
    <t>Nicole Jones</t>
  </si>
  <si>
    <t>Michael Ramirez</t>
  </si>
  <si>
    <t>Jessica Garcia</t>
  </si>
  <si>
    <t>Christine Ray</t>
  </si>
  <si>
    <t>Michael Collins</t>
  </si>
  <si>
    <t>Vincent Mejia</t>
  </si>
  <si>
    <t>Thomas Bruce</t>
  </si>
  <si>
    <t>Frank Gomez</t>
  </si>
  <si>
    <t>Jason Cook</t>
  </si>
  <si>
    <t>Diana Trevino</t>
  </si>
  <si>
    <t>Brittany Aguilar</t>
  </si>
  <si>
    <t>Brandon Crawford</t>
  </si>
  <si>
    <t>Janet Powell</t>
  </si>
  <si>
    <t>Ryan Davis</t>
  </si>
  <si>
    <t>Paul Martinez</t>
  </si>
  <si>
    <t>Dustin Mcgrath</t>
  </si>
  <si>
    <t>Thomas Flores</t>
  </si>
  <si>
    <t>Christopher Brown</t>
  </si>
  <si>
    <t>Anthony Joseph</t>
  </si>
  <si>
    <t>Albert Gordon</t>
  </si>
  <si>
    <t>Tina Garrett</t>
  </si>
  <si>
    <t>Nicholas Chambers</t>
  </si>
  <si>
    <t>Michele Hardy</t>
  </si>
  <si>
    <t>Heather Davis</t>
  </si>
  <si>
    <t>Alexander Huerta</t>
  </si>
  <si>
    <t>Wendy Villanueva</t>
  </si>
  <si>
    <t>Taylor Wong</t>
  </si>
  <si>
    <t>Natalie Barnes</t>
  </si>
  <si>
    <t>Gail Baker</t>
  </si>
  <si>
    <t>Lucas Wright</t>
  </si>
  <si>
    <t>Danielle Ruiz</t>
  </si>
  <si>
    <t>Omar Mejia</t>
  </si>
  <si>
    <t>Michelle West</t>
  </si>
  <si>
    <t>Megan Murray</t>
  </si>
  <si>
    <t>Krystal Fisher</t>
  </si>
  <si>
    <t>Eric Flores</t>
  </si>
  <si>
    <t>Michelle Martin</t>
  </si>
  <si>
    <t>Steven Mathews</t>
  </si>
  <si>
    <t>David Richard</t>
  </si>
  <si>
    <t>Tyrone Compton</t>
  </si>
  <si>
    <t>Samuel Carpenter</t>
  </si>
  <si>
    <t>Pamela Martinez</t>
  </si>
  <si>
    <t>Christopher Nelson</t>
  </si>
  <si>
    <t>Daniel Fuller</t>
  </si>
  <si>
    <t>Michael Davis</t>
  </si>
  <si>
    <t>Juan Burns</t>
  </si>
  <si>
    <t>Jeffery Sparks</t>
  </si>
  <si>
    <t>Jessica Sexton</t>
  </si>
  <si>
    <t>Travis Cole</t>
  </si>
  <si>
    <t>Alicia Williams MD</t>
  </si>
  <si>
    <t>Matthew Mills</t>
  </si>
  <si>
    <t>Stephen Macdonald</t>
  </si>
  <si>
    <t>Robert Cooper</t>
  </si>
  <si>
    <t>Amy Meyer</t>
  </si>
  <si>
    <t>Shawn Patterson</t>
  </si>
  <si>
    <t>Allen Hall</t>
  </si>
  <si>
    <t>Erica Livingston</t>
  </si>
  <si>
    <t>Jennifer Rivas</t>
  </si>
  <si>
    <t>David Bowers</t>
  </si>
  <si>
    <t>Yolanda Williams</t>
  </si>
  <si>
    <t>Beth James</t>
  </si>
  <si>
    <t>Jennifer Roberts</t>
  </si>
  <si>
    <t>Nicole Phillips DVM</t>
  </si>
  <si>
    <t>Jennifer Faulkner</t>
  </si>
  <si>
    <t>Jessica Schaefer</t>
  </si>
  <si>
    <t>David Glass</t>
  </si>
  <si>
    <t>Margaret Greene</t>
  </si>
  <si>
    <t>Kristin Christensen</t>
  </si>
  <si>
    <t>James Hernandez</t>
  </si>
  <si>
    <t>Jordan Moss</t>
  </si>
  <si>
    <t>Jennifer Bradley</t>
  </si>
  <si>
    <t>Jennifer Harris</t>
  </si>
  <si>
    <t>Tom Wells</t>
  </si>
  <si>
    <t>Melissa Hunt</t>
  </si>
  <si>
    <t>Courtney West</t>
  </si>
  <si>
    <t>Travis Barnes</t>
  </si>
  <si>
    <t>Amanda Moss</t>
  </si>
  <si>
    <t>Alexander Gonzales</t>
  </si>
  <si>
    <t>Dominique Rogers</t>
  </si>
  <si>
    <t>Katelyn Jarvis</t>
  </si>
  <si>
    <t>Nathan Hernandez</t>
  </si>
  <si>
    <t>Robert Holt</t>
  </si>
  <si>
    <t>Edward Werner</t>
  </si>
  <si>
    <t>James Turner</t>
  </si>
  <si>
    <t>Katherine Shaffer</t>
  </si>
  <si>
    <t>Alexis Bowman</t>
  </si>
  <si>
    <t>Shawn Benitez</t>
  </si>
  <si>
    <t>Rachel Barnett</t>
  </si>
  <si>
    <t>Melissa Lopez</t>
  </si>
  <si>
    <t>Andrew Fowler</t>
  </si>
  <si>
    <t>April Wallace</t>
  </si>
  <si>
    <t>Daniel Benson</t>
  </si>
  <si>
    <t>Joseph Mitchell</t>
  </si>
  <si>
    <t>Mr. Lucas Cook</t>
  </si>
  <si>
    <t>Ian Johnson</t>
  </si>
  <si>
    <t>Andrew Taylor</t>
  </si>
  <si>
    <t>Colleen Taylor</t>
  </si>
  <si>
    <t>Gregory Robbins</t>
  </si>
  <si>
    <t>David Payne Jr.</t>
  </si>
  <si>
    <t>Mike Stephens</t>
  </si>
  <si>
    <t>Erica Deleon</t>
  </si>
  <si>
    <t>Amanda Garner</t>
  </si>
  <si>
    <t>Deanna Miller</t>
  </si>
  <si>
    <t>Jeremy Vance</t>
  </si>
  <si>
    <t>Tina Reyes</t>
  </si>
  <si>
    <t>Andrea Butler</t>
  </si>
  <si>
    <t>Brian Pierce</t>
  </si>
  <si>
    <t>Cynthia Davis</t>
  </si>
  <si>
    <t>Elizabeth Curry</t>
  </si>
  <si>
    <t>Sandy Simon</t>
  </si>
  <si>
    <t>Monique Coffey</t>
  </si>
  <si>
    <t>Colleen Gray</t>
  </si>
  <si>
    <t>Alfred Hayes</t>
  </si>
  <si>
    <t>Chad Edwards</t>
  </si>
  <si>
    <t>Michael Bradley</t>
  </si>
  <si>
    <t>William Wong</t>
  </si>
  <si>
    <t>Jeffrey Wood</t>
  </si>
  <si>
    <t>Mary Wong</t>
  </si>
  <si>
    <t>Aaron Duncan</t>
  </si>
  <si>
    <t>Randall Lewis</t>
  </si>
  <si>
    <t>Ryan Smith</t>
  </si>
  <si>
    <t>Debra Montes</t>
  </si>
  <si>
    <t>Robin Thomas</t>
  </si>
  <si>
    <t>Pamela Curry</t>
  </si>
  <si>
    <t>Susan Martin</t>
  </si>
  <si>
    <t>Lauren Moon</t>
  </si>
  <si>
    <t>Cory Washington</t>
  </si>
  <si>
    <t>Stacy Fry</t>
  </si>
  <si>
    <t>Jerome Braun</t>
  </si>
  <si>
    <t>Edwin Allen</t>
  </si>
  <si>
    <t>Ryan Fisher</t>
  </si>
  <si>
    <t>Joseph Clay</t>
  </si>
  <si>
    <t>Gloria Harvey</t>
  </si>
  <si>
    <t>John Swanson</t>
  </si>
  <si>
    <t>Monique Johnson</t>
  </si>
  <si>
    <t>Alicia Davis</t>
  </si>
  <si>
    <t>Kimberly Kennedy</t>
  </si>
  <si>
    <t>Rachael Martin</t>
  </si>
  <si>
    <t>Melissa Jones</t>
  </si>
  <si>
    <t>Douglas Ortiz</t>
  </si>
  <si>
    <t>Ethan Palmer</t>
  </si>
  <si>
    <t>Ronald Graham</t>
  </si>
  <si>
    <t>Maria Hall</t>
  </si>
  <si>
    <t>Miss Chelsey Stanton</t>
  </si>
  <si>
    <t>Keith Frank</t>
  </si>
  <si>
    <t>Thomas Cruz</t>
  </si>
  <si>
    <t>James Anderson</t>
  </si>
  <si>
    <t>John Collier</t>
  </si>
  <si>
    <t>Heather Weaver</t>
  </si>
  <si>
    <t>Richard Christian</t>
  </si>
  <si>
    <t>Megan Harper</t>
  </si>
  <si>
    <t>Maria Spencer</t>
  </si>
  <si>
    <t>Nicholas Evans</t>
  </si>
  <si>
    <t>Matthew Washington</t>
  </si>
  <si>
    <t>Richard Torres</t>
  </si>
  <si>
    <t>Sarah Williams</t>
  </si>
  <si>
    <t>Dennis Mcconnell</t>
  </si>
  <si>
    <t>Andrew House Jr.</t>
  </si>
  <si>
    <t>Sarah Gomez</t>
  </si>
  <si>
    <t>Kathleen Garcia</t>
  </si>
  <si>
    <t>Anthony Mills</t>
  </si>
  <si>
    <t>Wayne Rodriguez</t>
  </si>
  <si>
    <t>Theresa Miller</t>
  </si>
  <si>
    <t>Joshua Beard</t>
  </si>
  <si>
    <t>Mrs. Sabrina Barry</t>
  </si>
  <si>
    <t>Alexandra Morris</t>
  </si>
  <si>
    <t>Karina Allen</t>
  </si>
  <si>
    <t>Brian Pacheco</t>
  </si>
  <si>
    <t>Nicholas Lawson</t>
  </si>
  <si>
    <t>Matthew Buck</t>
  </si>
  <si>
    <t>Thomas Delgado</t>
  </si>
  <si>
    <t>Robert Foster</t>
  </si>
  <si>
    <t>Jessica Garner</t>
  </si>
  <si>
    <t>Christina Hunt</t>
  </si>
  <si>
    <t>Stephanie May</t>
  </si>
  <si>
    <t>John Curtis</t>
  </si>
  <si>
    <t>Megan Manning</t>
  </si>
  <si>
    <t>Mark Mcgrath</t>
  </si>
  <si>
    <t>Andrew Jensen</t>
  </si>
  <si>
    <t>Angela Cunningham</t>
  </si>
  <si>
    <t>Hannah Gonzales</t>
  </si>
  <si>
    <t>Stephanie Summers</t>
  </si>
  <si>
    <t>Kyle Thompson</t>
  </si>
  <si>
    <t>Dylan Weeks</t>
  </si>
  <si>
    <t>Breanna Lee</t>
  </si>
  <si>
    <t>Christine Riley</t>
  </si>
  <si>
    <t>Julie Dixon</t>
  </si>
  <si>
    <t>Sharon Nixon</t>
  </si>
  <si>
    <t>Janet Graves</t>
  </si>
  <si>
    <t>Jennifer Gallegos</t>
  </si>
  <si>
    <t>John Mosley</t>
  </si>
  <si>
    <t>Victoria Morgan</t>
  </si>
  <si>
    <t>Erin Hansen</t>
  </si>
  <si>
    <t>Erin Thomas</t>
  </si>
  <si>
    <t>Natalie Mcdowell</t>
  </si>
  <si>
    <t>Lindsay Gutierrez</t>
  </si>
  <si>
    <t>Mrs. Michelle Chen</t>
  </si>
  <si>
    <t>Elizabeth Martinez</t>
  </si>
  <si>
    <t>Angelica Hubbard</t>
  </si>
  <si>
    <t>Christopher Rivera</t>
  </si>
  <si>
    <t>Jennifer Hernandez DDS</t>
  </si>
  <si>
    <t>Jerry Herman</t>
  </si>
  <si>
    <t>Lauren Scott</t>
  </si>
  <si>
    <t>Dawn Lopez</t>
  </si>
  <si>
    <t>Michael Michael</t>
  </si>
  <si>
    <t>Terrence Carroll</t>
  </si>
  <si>
    <t>Jeffery Olson</t>
  </si>
  <si>
    <t>Brittany Schmidt</t>
  </si>
  <si>
    <t>Austin Nelson</t>
  </si>
  <si>
    <t>Dr. Robert Shepard</t>
  </si>
  <si>
    <t>Megan Smith</t>
  </si>
  <si>
    <t>Jack Patel</t>
  </si>
  <si>
    <t>Phillip Wright</t>
  </si>
  <si>
    <t>Daniel Gill</t>
  </si>
  <si>
    <t>Anna Moss</t>
  </si>
  <si>
    <t>Karen Poole</t>
  </si>
  <si>
    <t>Daniel Thomas</t>
  </si>
  <si>
    <t>Erin Williams</t>
  </si>
  <si>
    <t>Vincent Jones</t>
  </si>
  <si>
    <t>Samantha Stokes</t>
  </si>
  <si>
    <t>Dennis Gordon</t>
  </si>
  <si>
    <t>Evan Mcneil</t>
  </si>
  <si>
    <t>Whitney Anderson</t>
  </si>
  <si>
    <t>Ashley Hall</t>
  </si>
  <si>
    <t>Heather Parker</t>
  </si>
  <si>
    <t>Brittany Smith</t>
  </si>
  <si>
    <t>Joseph Mckinney</t>
  </si>
  <si>
    <t>Jackie Fernandez</t>
  </si>
  <si>
    <t>Frank Russell</t>
  </si>
  <si>
    <t>Lisa Adams</t>
  </si>
  <si>
    <t>Isaiah Bridges</t>
  </si>
  <si>
    <t>Charles Cook</t>
  </si>
  <si>
    <t>Tracy Vaughan</t>
  </si>
  <si>
    <t>David Yates</t>
  </si>
  <si>
    <t>Melanie Vargas</t>
  </si>
  <si>
    <t>Amy Pugh</t>
  </si>
  <si>
    <t>Joseph Weber</t>
  </si>
  <si>
    <t>Valerie Freeman</t>
  </si>
  <si>
    <t>Jasmin Rose</t>
  </si>
  <si>
    <t>Destiny Beasley</t>
  </si>
  <si>
    <t>Kelly Black</t>
  </si>
  <si>
    <t>Lisa Maldonado DDS</t>
  </si>
  <si>
    <t>Tamara Gardner</t>
  </si>
  <si>
    <t>Michelle Nash</t>
  </si>
  <si>
    <t>Linda Smith</t>
  </si>
  <si>
    <t>Dennis Waters</t>
  </si>
  <si>
    <t>Jonathan Hall</t>
  </si>
  <si>
    <t>Katherine Bailey</t>
  </si>
  <si>
    <t>Rebecca Norris</t>
  </si>
  <si>
    <t>Cheryl Tran</t>
  </si>
  <si>
    <t>Ryan Gutierrez</t>
  </si>
  <si>
    <t>Brittany Wilson</t>
  </si>
  <si>
    <t>Timothy Walton</t>
  </si>
  <si>
    <t>Lawrence Smith</t>
  </si>
  <si>
    <t>Sheila Hayden</t>
  </si>
  <si>
    <t>Christine Collins</t>
  </si>
  <si>
    <t>Donald Martinez</t>
  </si>
  <si>
    <t>Carrie Alvarado</t>
  </si>
  <si>
    <t>Eric Jones</t>
  </si>
  <si>
    <t>Brandi Moore</t>
  </si>
  <si>
    <t>Sarah Navarro</t>
  </si>
  <si>
    <t>Stephanie Travis</t>
  </si>
  <si>
    <t>Shannon Matthews</t>
  </si>
  <si>
    <t>David Reed</t>
  </si>
  <si>
    <t>Katie Wilson</t>
  </si>
  <si>
    <t>Sonya Anderson</t>
  </si>
  <si>
    <t>Krystal Horton</t>
  </si>
  <si>
    <t>Dr. Joshua Short</t>
  </si>
  <si>
    <t>Angelica Nguyen</t>
  </si>
  <si>
    <t>Jennifer Marshall</t>
  </si>
  <si>
    <t>Michael Burke</t>
  </si>
  <si>
    <t>Jacqueline White</t>
  </si>
  <si>
    <t>Mr. Jason Matthews</t>
  </si>
  <si>
    <t>Karen Villarreal</t>
  </si>
  <si>
    <t>Jason Coleman</t>
  </si>
  <si>
    <t>Jeffrey Turner</t>
  </si>
  <si>
    <t>Paul Barrera</t>
  </si>
  <si>
    <t>Jonathan Mosley</t>
  </si>
  <si>
    <t>Anita Foster</t>
  </si>
  <si>
    <t>Anthony Arnold</t>
  </si>
  <si>
    <t>Mr. William Bennett Jr.</t>
  </si>
  <si>
    <t>Amy Lee</t>
  </si>
  <si>
    <t>Michael Rios</t>
  </si>
  <si>
    <t>Christopher Alexander</t>
  </si>
  <si>
    <t>Kristina Jones</t>
  </si>
  <si>
    <t>Cynthia Delgado</t>
  </si>
  <si>
    <t>Richard Bailey</t>
  </si>
  <si>
    <t>Scott Mcdowell</t>
  </si>
  <si>
    <t>Brett Warren</t>
  </si>
  <si>
    <t>Brenda Reyes</t>
  </si>
  <si>
    <t>Andrew Ali</t>
  </si>
  <si>
    <t>Alexander Henderson</t>
  </si>
  <si>
    <t>Lisa Marks</t>
  </si>
  <si>
    <t>Charles Lee</t>
  </si>
  <si>
    <t>Kelly Castro</t>
  </si>
  <si>
    <t>Michelle Weaver</t>
  </si>
  <si>
    <t>Corey Hansen</t>
  </si>
  <si>
    <t>Erica Murphy</t>
  </si>
  <si>
    <t>James Walls</t>
  </si>
  <si>
    <t>James Hanson</t>
  </si>
  <si>
    <t>Jeffery Hart</t>
  </si>
  <si>
    <t>Kathryn Stark</t>
  </si>
  <si>
    <t>Donna Allison</t>
  </si>
  <si>
    <t>Elizabeth Santiago</t>
  </si>
  <si>
    <t>Jessica Rivera</t>
  </si>
  <si>
    <t>Mrs. Dorothy Myers</t>
  </si>
  <si>
    <t>Michael Hill</t>
  </si>
  <si>
    <t>Zachary Morris</t>
  </si>
  <si>
    <t>Rebecca Bradshaw</t>
  </si>
  <si>
    <t>Richard Wolf</t>
  </si>
  <si>
    <t>Sarah Green</t>
  </si>
  <si>
    <t>Barbara Roy</t>
  </si>
  <si>
    <t>Michelle Miller</t>
  </si>
  <si>
    <t>Sharon Sherman</t>
  </si>
  <si>
    <t>Anthony Walker</t>
  </si>
  <si>
    <t>Eric Sanchez MD</t>
  </si>
  <si>
    <t>Danielle Preston</t>
  </si>
  <si>
    <t>Christian French</t>
  </si>
  <si>
    <t>Maxwell Anderson</t>
  </si>
  <si>
    <t>Ronald Harding</t>
  </si>
  <si>
    <t>Sherry Baker</t>
  </si>
  <si>
    <t>Alicia Rivas</t>
  </si>
  <si>
    <t>Katie Weber</t>
  </si>
  <si>
    <t>Nancy Smith</t>
  </si>
  <si>
    <t>Scott Hall</t>
  </si>
  <si>
    <t>Tracy Miller</t>
  </si>
  <si>
    <t>Richard Gomez</t>
  </si>
  <si>
    <t>Heather Adams</t>
  </si>
  <si>
    <t>Mathew Walker</t>
  </si>
  <si>
    <t>Melissa Chase</t>
  </si>
  <si>
    <t>Theresa Johnson</t>
  </si>
  <si>
    <t>Jacqueline Ramos</t>
  </si>
  <si>
    <t>Teresa Mcgee</t>
  </si>
  <si>
    <t>Brandon Jones</t>
  </si>
  <si>
    <t>John George</t>
  </si>
  <si>
    <t>Derrick Scott</t>
  </si>
  <si>
    <t>Regina Mcdowell</t>
  </si>
  <si>
    <t>Eric Goodman</t>
  </si>
  <si>
    <t>Mary Kennedy</t>
  </si>
  <si>
    <t>Laura Hull</t>
  </si>
  <si>
    <t>Alyssa Shea</t>
  </si>
  <si>
    <t>Laura Henry</t>
  </si>
  <si>
    <t>Nicholas Phillips</t>
  </si>
  <si>
    <t>Loretta Smith</t>
  </si>
  <si>
    <t>Madison Wise</t>
  </si>
  <si>
    <t>Monica Jackson</t>
  </si>
  <si>
    <t>Scott Carroll</t>
  </si>
  <si>
    <t>Paul Williamson</t>
  </si>
  <si>
    <t>Jordan Zamora</t>
  </si>
  <si>
    <t>Jacqueline Holmes</t>
  </si>
  <si>
    <t>Brenda Ayers</t>
  </si>
  <si>
    <t>Kimberly Larson</t>
  </si>
  <si>
    <t>Vanessa Merritt</t>
  </si>
  <si>
    <t>Priscilla Davis</t>
  </si>
  <si>
    <t>Brian Velez</t>
  </si>
  <si>
    <t>Jason Jennings</t>
  </si>
  <si>
    <t>Jeanette Collins</t>
  </si>
  <si>
    <t>Nathan Duran</t>
  </si>
  <si>
    <t>Emma George</t>
  </si>
  <si>
    <t>Alexander Li</t>
  </si>
  <si>
    <t>Cody Cole</t>
  </si>
  <si>
    <t>Karen Ramirez</t>
  </si>
  <si>
    <t>Emily Luna</t>
  </si>
  <si>
    <t>Michael Stevens</t>
  </si>
  <si>
    <t>Randy Hodge</t>
  </si>
  <si>
    <t>Paula Hall</t>
  </si>
  <si>
    <t>Michael Esparza</t>
  </si>
  <si>
    <t>Andrew Bishop</t>
  </si>
  <si>
    <t>Julia Williams</t>
  </si>
  <si>
    <t>Sarah Riley</t>
  </si>
  <si>
    <t>Jared Brown</t>
  </si>
  <si>
    <t>Amy Smith</t>
  </si>
  <si>
    <t>Michelle Gilmore</t>
  </si>
  <si>
    <t>Heather Juarez</t>
  </si>
  <si>
    <t>Robert Gates</t>
  </si>
  <si>
    <t>Daniel Brown</t>
  </si>
  <si>
    <t>Albert Briggs</t>
  </si>
  <si>
    <t>Gina Pacheco</t>
  </si>
  <si>
    <t>Russell Nash</t>
  </si>
  <si>
    <t>Rebecca Carrillo</t>
  </si>
  <si>
    <t>Robert Smith</t>
  </si>
  <si>
    <t>Alexander Carr</t>
  </si>
  <si>
    <t>Christine Brown</t>
  </si>
  <si>
    <t>Cindy Lee</t>
  </si>
  <si>
    <t>Shannon Campbell</t>
  </si>
  <si>
    <t>Deborah Cain</t>
  </si>
  <si>
    <t>Brittany Jones</t>
  </si>
  <si>
    <t>Natalie Carter</t>
  </si>
  <si>
    <t>Albert Johnson</t>
  </si>
  <si>
    <t>Laura Nelson</t>
  </si>
  <si>
    <t>Mark Davis</t>
  </si>
  <si>
    <t>Gary Klein</t>
  </si>
  <si>
    <t>Tammy Davis</t>
  </si>
  <si>
    <t>Eddie Fox</t>
  </si>
  <si>
    <t>Elizabeth Knapp</t>
  </si>
  <si>
    <t>Sheila Franklin</t>
  </si>
  <si>
    <t>Elizabeth Castillo</t>
  </si>
  <si>
    <t>Jessica Holmes</t>
  </si>
  <si>
    <t>Jennifer Patterson</t>
  </si>
  <si>
    <t>Dr. Tami Farley</t>
  </si>
  <si>
    <t>Johnny Evans</t>
  </si>
  <si>
    <t>Christopher Pearson</t>
  </si>
  <si>
    <t>Darren Johnson</t>
  </si>
  <si>
    <t>Lisa Jensen</t>
  </si>
  <si>
    <t>Sheila Dalton</t>
  </si>
  <si>
    <t>Tonya Salas</t>
  </si>
  <si>
    <t>Heather Stewart</t>
  </si>
  <si>
    <t>Drew Howard</t>
  </si>
  <si>
    <t>Jennifer Martinez</t>
  </si>
  <si>
    <t>Brian Jones</t>
  </si>
  <si>
    <t>Beverly Gonzalez</t>
  </si>
  <si>
    <t>Veronica Hernandez</t>
  </si>
  <si>
    <t>Danny Gordon</t>
  </si>
  <si>
    <t>Bridget Park MD</t>
  </si>
  <si>
    <t>Heather Raymond</t>
  </si>
  <si>
    <t>Cody Flores</t>
  </si>
  <si>
    <t>Richard Smith</t>
  </si>
  <si>
    <t>Amber Mcconnell</t>
  </si>
  <si>
    <t>Johnny Castro</t>
  </si>
  <si>
    <t>Nicole Powell</t>
  </si>
  <si>
    <t>Thomas Harris</t>
  </si>
  <si>
    <t>Amber Copeland</t>
  </si>
  <si>
    <t>Mark Howard</t>
  </si>
  <si>
    <t>Christine Vasquez</t>
  </si>
  <si>
    <t>Benjamin Alvarado</t>
  </si>
  <si>
    <t>Michael Sanders</t>
  </si>
  <si>
    <t>Holly Singh</t>
  </si>
  <si>
    <t>Gary Lopez</t>
  </si>
  <si>
    <t>Steven Gonzalez</t>
  </si>
  <si>
    <t>Donald Moran</t>
  </si>
  <si>
    <t>Richard Berry</t>
  </si>
  <si>
    <t>Zachary Rogers</t>
  </si>
  <si>
    <t>Valerie Armstrong</t>
  </si>
  <si>
    <t>Bradley Mack</t>
  </si>
  <si>
    <t>Juan Walker</t>
  </si>
  <si>
    <t>Kristen Huff</t>
  </si>
  <si>
    <t>Carla Merritt</t>
  </si>
  <si>
    <t>Michelle Pham</t>
  </si>
  <si>
    <t>Linda Brown</t>
  </si>
  <si>
    <t>Timothy Arnold</t>
  </si>
  <si>
    <t>Terri Guerrero</t>
  </si>
  <si>
    <t>Brittany Austin</t>
  </si>
  <si>
    <t>Emily Rodriguez PhD</t>
  </si>
  <si>
    <t>Vickie Blevins</t>
  </si>
  <si>
    <t>Michelle Rich</t>
  </si>
  <si>
    <t>Mrs. Maria Powell</t>
  </si>
  <si>
    <t>Vanessa Rose</t>
  </si>
  <si>
    <t>David Harris MD</t>
  </si>
  <si>
    <t>Madison Montes</t>
  </si>
  <si>
    <t>Ashley Gould</t>
  </si>
  <si>
    <t>Johnathan Perry</t>
  </si>
  <si>
    <t>William Wyatt</t>
  </si>
  <si>
    <t>Kristen Johnson</t>
  </si>
  <si>
    <t>Michael Nguyen</t>
  </si>
  <si>
    <t>Jacqueline Pham</t>
  </si>
  <si>
    <t>Darin Haynes</t>
  </si>
  <si>
    <t>Jennifer Alvarez</t>
  </si>
  <si>
    <t>Alec Morgan</t>
  </si>
  <si>
    <t>Tracy Hernandez</t>
  </si>
  <si>
    <t>Angela Dyer</t>
  </si>
  <si>
    <t>Kelly Morris</t>
  </si>
  <si>
    <t>Wendy Cooper</t>
  </si>
  <si>
    <t>James Miller</t>
  </si>
  <si>
    <t>Eric Curtis</t>
  </si>
  <si>
    <t>Stacey Glenn</t>
  </si>
  <si>
    <t>Shane Little</t>
  </si>
  <si>
    <t>Holly Larson</t>
  </si>
  <si>
    <t>Tracy Cordova</t>
  </si>
  <si>
    <t>Shannon Ware</t>
  </si>
  <si>
    <t>Nicole Gomez</t>
  </si>
  <si>
    <t>Brandi Roberts</t>
  </si>
  <si>
    <t>Tyler Sullivan</t>
  </si>
  <si>
    <t>James Galvan</t>
  </si>
  <si>
    <t>Manuel Barton</t>
  </si>
  <si>
    <t>Gary Martinez</t>
  </si>
  <si>
    <t>Daniel Austin</t>
  </si>
  <si>
    <t>Richard Swanson</t>
  </si>
  <si>
    <t>Melissa Burns</t>
  </si>
  <si>
    <t>Donald Macdonald</t>
  </si>
  <si>
    <t>Dorothy Valentine</t>
  </si>
  <si>
    <t>Brian Ferguson</t>
  </si>
  <si>
    <t>Steven Tyler</t>
  </si>
  <si>
    <t>Carla Butler</t>
  </si>
  <si>
    <t>Carrie Flores</t>
  </si>
  <si>
    <t>Mary Black</t>
  </si>
  <si>
    <t>Matthew Alexander</t>
  </si>
  <si>
    <t>Alexis Johnson</t>
  </si>
  <si>
    <t>Daniel Campbell</t>
  </si>
  <si>
    <t>Michele Golden</t>
  </si>
  <si>
    <t>Peggy Vang</t>
  </si>
  <si>
    <t>Ivan Cowan</t>
  </si>
  <si>
    <t>Samantha Hebert</t>
  </si>
  <si>
    <t>Kyle Barber</t>
  </si>
  <si>
    <t>Deanna Kim</t>
  </si>
  <si>
    <t>Thomas Collins</t>
  </si>
  <si>
    <t>John Edwards</t>
  </si>
  <si>
    <t>Jeremy Thomas</t>
  </si>
  <si>
    <t>Noah Harris</t>
  </si>
  <si>
    <t>Mark Moore</t>
  </si>
  <si>
    <t>Tammy Mcknight</t>
  </si>
  <si>
    <t>Christina Sandoval</t>
  </si>
  <si>
    <t>Katie Davis</t>
  </si>
  <si>
    <t>Christopher Hughes</t>
  </si>
  <si>
    <t>Robert Daniels</t>
  </si>
  <si>
    <t>Chad Santos</t>
  </si>
  <si>
    <t>Sarah Wolfe</t>
  </si>
  <si>
    <t>Brian Sanders</t>
  </si>
  <si>
    <t>Michael Cohen</t>
  </si>
  <si>
    <t>Joshua Gonzalez</t>
  </si>
  <si>
    <t>Mrs. Marcia Clark DVM</t>
  </si>
  <si>
    <t>Christina Mckinney</t>
  </si>
  <si>
    <t>Melissa Valentine</t>
  </si>
  <si>
    <t>Joseph Fox</t>
  </si>
  <si>
    <t>Jeremy Griffin</t>
  </si>
  <si>
    <t>Jacqueline Wilson</t>
  </si>
  <si>
    <t>Sarah Mosley</t>
  </si>
  <si>
    <t>Sara Sutton</t>
  </si>
  <si>
    <t>Mary Mooney</t>
  </si>
  <si>
    <t>Amy Robinson</t>
  </si>
  <si>
    <t>Veronica Collins</t>
  </si>
  <si>
    <t>Stephanie Baker</t>
  </si>
  <si>
    <t>Cody Shelton</t>
  </si>
  <si>
    <t>Jamie Gutierrez</t>
  </si>
  <si>
    <t>Evan Miller</t>
  </si>
  <si>
    <t>Keith Turner</t>
  </si>
  <si>
    <t>Kaitlyn Carson</t>
  </si>
  <si>
    <t>Joshua Hamilton</t>
  </si>
  <si>
    <t>Joseph Taylor</t>
  </si>
  <si>
    <t>Katherine Baker</t>
  </si>
  <si>
    <t>Miss Rebekah Martinez</t>
  </si>
  <si>
    <t>Theresa Whitehead</t>
  </si>
  <si>
    <t>Joshua Bass</t>
  </si>
  <si>
    <t>Lauren Pittman</t>
  </si>
  <si>
    <t>Cynthia Perry</t>
  </si>
  <si>
    <t>Brian Cain</t>
  </si>
  <si>
    <t>Kelly Doyle</t>
  </si>
  <si>
    <t>Adam Evans</t>
  </si>
  <si>
    <t>Miss Martha Smith</t>
  </si>
  <si>
    <t>Darren Fitzpatrick</t>
  </si>
  <si>
    <t>David Coleman</t>
  </si>
  <si>
    <t>Clinton Keller</t>
  </si>
  <si>
    <t>Tyler Smith</t>
  </si>
  <si>
    <t>Angie Howard</t>
  </si>
  <si>
    <t>Julie Jarvis</t>
  </si>
  <si>
    <t>Emily Trujillo</t>
  </si>
  <si>
    <t>Kristine Cannon</t>
  </si>
  <si>
    <t>Jennifer Olsen</t>
  </si>
  <si>
    <t>William Keith</t>
  </si>
  <si>
    <t>Diana Garcia</t>
  </si>
  <si>
    <t>Gary Ford</t>
  </si>
  <si>
    <t>James Walker Jr.</t>
  </si>
  <si>
    <t>Sheila Lindsey</t>
  </si>
  <si>
    <t>Marilyn Suarez</t>
  </si>
  <si>
    <t>Jessica Sandoval</t>
  </si>
  <si>
    <t>Chelsea Mcclure</t>
  </si>
  <si>
    <t>William Tapia</t>
  </si>
  <si>
    <t>Erin Jensen</t>
  </si>
  <si>
    <t>Kristi Reese</t>
  </si>
  <si>
    <t>Danielle Scott</t>
  </si>
  <si>
    <t>John Palmer</t>
  </si>
  <si>
    <t>Nicole Weiss</t>
  </si>
  <si>
    <t>William Hinton</t>
  </si>
  <si>
    <t>Joshua Vargas</t>
  </si>
  <si>
    <t>Martha Diaz</t>
  </si>
  <si>
    <t>Yvette King</t>
  </si>
  <si>
    <t>Roy Jordan</t>
  </si>
  <si>
    <t>Peter Mills</t>
  </si>
  <si>
    <t>Shelia Hughes</t>
  </si>
  <si>
    <t>Julie Williamson</t>
  </si>
  <si>
    <t>Christine Guerra</t>
  </si>
  <si>
    <t>Claire Valenzuela</t>
  </si>
  <si>
    <t>Joseph Solomon</t>
  </si>
  <si>
    <t>Carolyn Diaz</t>
  </si>
  <si>
    <t>Rhonda Taylor</t>
  </si>
  <si>
    <t>Samantha Sanchez</t>
  </si>
  <si>
    <t>David Cook</t>
  </si>
  <si>
    <t>Kathleen Collins</t>
  </si>
  <si>
    <t>Jasmine Shaffer</t>
  </si>
  <si>
    <t>Michael Pittman</t>
  </si>
  <si>
    <t>Steven Andrade</t>
  </si>
  <si>
    <t>Gregory Cabrera</t>
  </si>
  <si>
    <t>Anthony Cole</t>
  </si>
  <si>
    <t>Kimberly Johnson</t>
  </si>
  <si>
    <t>Barbara Valentine</t>
  </si>
  <si>
    <t>Elizabeth Martin</t>
  </si>
  <si>
    <t>Dawn Webster</t>
  </si>
  <si>
    <t>Geoffrey Freeman</t>
  </si>
  <si>
    <t>Meghan Reed</t>
  </si>
  <si>
    <t>Edward Holmes</t>
  </si>
  <si>
    <t>Maria House MD</t>
  </si>
  <si>
    <t>Kevin Garcia</t>
  </si>
  <si>
    <t>Albert Munoz</t>
  </si>
  <si>
    <t>Anthony Smith</t>
  </si>
  <si>
    <t>John Eaton</t>
  </si>
  <si>
    <t>Katherine Daugherty</t>
  </si>
  <si>
    <t>Gabriel Brewer</t>
  </si>
  <si>
    <t>Angela Curry</t>
  </si>
  <si>
    <t>Heather Newton</t>
  </si>
  <si>
    <t>Eric Wells</t>
  </si>
  <si>
    <t>Martin Norris</t>
  </si>
  <si>
    <t>Nicholas Winters</t>
  </si>
  <si>
    <t>Robert Tanner</t>
  </si>
  <si>
    <t>David Stephens</t>
  </si>
  <si>
    <t>Sherry Brown</t>
  </si>
  <si>
    <t>Matthew Maxwell</t>
  </si>
  <si>
    <t>Carmen Woods</t>
  </si>
  <si>
    <t>Juan Cook</t>
  </si>
  <si>
    <t>Derek Valentine</t>
  </si>
  <si>
    <t>Andrew Gould</t>
  </si>
  <si>
    <t>Michael Dyer</t>
  </si>
  <si>
    <t>John Saunders</t>
  </si>
  <si>
    <t>Jessica Gonzales</t>
  </si>
  <si>
    <t>Jessica Williams</t>
  </si>
  <si>
    <t>Diana Underwood</t>
  </si>
  <si>
    <t>Tracey Garcia</t>
  </si>
  <si>
    <t>Janet Bowman</t>
  </si>
  <si>
    <t>Carrie Carter</t>
  </si>
  <si>
    <t>Stuart Morrow</t>
  </si>
  <si>
    <t>Amanda Smith</t>
  </si>
  <si>
    <t>David Ramirez</t>
  </si>
  <si>
    <t>Wesley Jacobs</t>
  </si>
  <si>
    <t>Margaret Boone</t>
  </si>
  <si>
    <t>Jonathan Owen</t>
  </si>
  <si>
    <t>Zachary Gross</t>
  </si>
  <si>
    <t>Melissa Pierce</t>
  </si>
  <si>
    <t>Breanna Freeman</t>
  </si>
  <si>
    <t>Adam West</t>
  </si>
  <si>
    <t>Anita Martinez</t>
  </si>
  <si>
    <t>Robert Gonzales</t>
  </si>
  <si>
    <t>Beth Hoffman</t>
  </si>
  <si>
    <t>Kathy Hernandez</t>
  </si>
  <si>
    <t>Robert Harris</t>
  </si>
  <si>
    <t>Heather David</t>
  </si>
  <si>
    <t>Paul Buck</t>
  </si>
  <si>
    <t>John King</t>
  </si>
  <si>
    <t>Gavin Liu</t>
  </si>
  <si>
    <t>Megan Perez</t>
  </si>
  <si>
    <t>Jesse Hale</t>
  </si>
  <si>
    <t>Natasha Johnson</t>
  </si>
  <si>
    <t>Patrick Sanders</t>
  </si>
  <si>
    <t>Marie Gonzalez</t>
  </si>
  <si>
    <t>Monica Fisher</t>
  </si>
  <si>
    <t>Cynthia Reynolds</t>
  </si>
  <si>
    <t>Sydney Mills</t>
  </si>
  <si>
    <t>Brenda Moore</t>
  </si>
  <si>
    <t>Mary Castro</t>
  </si>
  <si>
    <t>Thomas Novak</t>
  </si>
  <si>
    <t>Ryan Lopez</t>
  </si>
  <si>
    <t>Jared Morales</t>
  </si>
  <si>
    <t>Robert Sanchez</t>
  </si>
  <si>
    <t>Kevin Burke</t>
  </si>
  <si>
    <t>Ashley Patterson</t>
  </si>
  <si>
    <t>Joanna Lowery</t>
  </si>
  <si>
    <t>Andres Jones</t>
  </si>
  <si>
    <t>Heidi Craig</t>
  </si>
  <si>
    <t>Lee Jacobs</t>
  </si>
  <si>
    <t>Jennifer Jones</t>
  </si>
  <si>
    <t>Gregory Nichols</t>
  </si>
  <si>
    <t>Michelle Hill</t>
  </si>
  <si>
    <t>Tiffany Brown</t>
  </si>
  <si>
    <t>Crystal Cooper</t>
  </si>
  <si>
    <t>Sandy Ellis</t>
  </si>
  <si>
    <t>Jennifer Silva</t>
  </si>
  <si>
    <t>Erica Wilson</t>
  </si>
  <si>
    <t>Haley Baldwin</t>
  </si>
  <si>
    <t>Charles Macdonald</t>
  </si>
  <si>
    <t>Kimberly Rice</t>
  </si>
  <si>
    <t>Autumn Gallegos</t>
  </si>
  <si>
    <t>Joseph Lewis</t>
  </si>
  <si>
    <t>Donald Wagner</t>
  </si>
  <si>
    <t>Brooke Hawkins</t>
  </si>
  <si>
    <t>Michelle Williams</t>
  </si>
  <si>
    <t>Julie Duffy</t>
  </si>
  <si>
    <t>Amber Osborne</t>
  </si>
  <si>
    <t>Joy Taylor</t>
  </si>
  <si>
    <t>Crystal Turner</t>
  </si>
  <si>
    <t>Kyle Cox</t>
  </si>
  <si>
    <t>Angel Martinez</t>
  </si>
  <si>
    <t>Kelly Mccoy</t>
  </si>
  <si>
    <t>John Stewart</t>
  </si>
  <si>
    <t>Michelle Holland</t>
  </si>
  <si>
    <t>Cheyenne Woods</t>
  </si>
  <si>
    <t>Christopher Dixon</t>
  </si>
  <si>
    <t>Kayla Giles</t>
  </si>
  <si>
    <t>James Callahan</t>
  </si>
  <si>
    <t>Laurie Schwartz</t>
  </si>
  <si>
    <t>Matthew Le</t>
  </si>
  <si>
    <t>Dawn Moreno</t>
  </si>
  <si>
    <t>Monica Patrick</t>
  </si>
  <si>
    <t>Makayla Perry DDS</t>
  </si>
  <si>
    <t>Kimberly Hicks</t>
  </si>
  <si>
    <t>Thomas Aguirre</t>
  </si>
  <si>
    <t>Philip Walker</t>
  </si>
  <si>
    <t>Austin Byrd</t>
  </si>
  <si>
    <t>Nicholas Weaver</t>
  </si>
  <si>
    <t>Steven Pratt</t>
  </si>
  <si>
    <t>James Estes</t>
  </si>
  <si>
    <t>Mark Ray DVM</t>
  </si>
  <si>
    <t>Vincent Phillips</t>
  </si>
  <si>
    <t>Julie Porter</t>
  </si>
  <si>
    <t>Steven King</t>
  </si>
  <si>
    <t>Joseph Downs</t>
  </si>
  <si>
    <t>Stephen Morales</t>
  </si>
  <si>
    <t>Jason Klein</t>
  </si>
  <si>
    <t>Denise Maxwell</t>
  </si>
  <si>
    <t>Andrea Lopez</t>
  </si>
  <si>
    <t>Sean Clark</t>
  </si>
  <si>
    <t>Tom Phillips</t>
  </si>
  <si>
    <t>Roberto Wilson</t>
  </si>
  <si>
    <t>Katherine Brown</t>
  </si>
  <si>
    <t>Felicia Williams</t>
  </si>
  <si>
    <t>Richard Simmons</t>
  </si>
  <si>
    <t>Elaine Villa</t>
  </si>
  <si>
    <t>Amy Jimenez</t>
  </si>
  <si>
    <t>Morgan Lewis</t>
  </si>
  <si>
    <t>Jerry Warner</t>
  </si>
  <si>
    <t>Matthew Perez</t>
  </si>
  <si>
    <t>Andrew Greene</t>
  </si>
  <si>
    <t>Tammy Stewart</t>
  </si>
  <si>
    <t>Heidi Carpenter</t>
  </si>
  <si>
    <t>Deborah Malone</t>
  </si>
  <si>
    <t>Mr. Manuel Harper</t>
  </si>
  <si>
    <t>Aaron Barber</t>
  </si>
  <si>
    <t>Terri Tran</t>
  </si>
  <si>
    <t>April Watson</t>
  </si>
  <si>
    <t>Julian Lee</t>
  </si>
  <si>
    <t>Jeremy Simon</t>
  </si>
  <si>
    <t>Nicholas Roberts</t>
  </si>
  <si>
    <t>Jennifer Miller</t>
  </si>
  <si>
    <t>Tiffany West</t>
  </si>
  <si>
    <t>Robert Williams</t>
  </si>
  <si>
    <t>Jacob Vincent MD</t>
  </si>
  <si>
    <t>Rebecca Taylor</t>
  </si>
  <si>
    <t>Kimberly Collins</t>
  </si>
  <si>
    <t>Jason Tran</t>
  </si>
  <si>
    <t>Nathan Vasquez</t>
  </si>
  <si>
    <t>Brandon Cisneros</t>
  </si>
  <si>
    <t>Joshua Gordon</t>
  </si>
  <si>
    <t>Kenneth Taylor</t>
  </si>
  <si>
    <t>Matthew Smith</t>
  </si>
  <si>
    <t>Jane Duncan</t>
  </si>
  <si>
    <t>Christopher Haley</t>
  </si>
  <si>
    <t>Mathew Obrien</t>
  </si>
  <si>
    <t>Christian Tate</t>
  </si>
  <si>
    <t>Wendy Ochoa MD</t>
  </si>
  <si>
    <t>Dylan Fitzpatrick</t>
  </si>
  <si>
    <t>Elizabeth Meyer</t>
  </si>
  <si>
    <t>Brooke Ramirez</t>
  </si>
  <si>
    <t>Natasha Palmer</t>
  </si>
  <si>
    <t>Michael Donaldson</t>
  </si>
  <si>
    <t>Audrey Mitchell DVM</t>
  </si>
  <si>
    <t>Bradley Sanchez</t>
  </si>
  <si>
    <t>Tara Brown</t>
  </si>
  <si>
    <t>Michael Kelly</t>
  </si>
  <si>
    <t>Jason Sandoval</t>
  </si>
  <si>
    <t>Amy Nichols</t>
  </si>
  <si>
    <t>Peter Thomas</t>
  </si>
  <si>
    <t>Virginia Robertson DVM</t>
  </si>
  <si>
    <t>Kelly Carson</t>
  </si>
  <si>
    <t>Christopher Parker</t>
  </si>
  <si>
    <t>Amy Bell</t>
  </si>
  <si>
    <t>David Brown</t>
  </si>
  <si>
    <t>Judy Watts</t>
  </si>
  <si>
    <t>Shawn Martinez</t>
  </si>
  <si>
    <t>Dawn Phillips</t>
  </si>
  <si>
    <t>Justin Osborne</t>
  </si>
  <si>
    <t>Shannon Haney</t>
  </si>
  <si>
    <t>Rebecca Fry</t>
  </si>
  <si>
    <t>Jennifer Sherman</t>
  </si>
  <si>
    <t>David Mcclain</t>
  </si>
  <si>
    <t>Rodney Terry</t>
  </si>
  <si>
    <t>Daniel Davis</t>
  </si>
  <si>
    <t>James Frost</t>
  </si>
  <si>
    <t>Brandon Morris</t>
  </si>
  <si>
    <t>Lori Harrington</t>
  </si>
  <si>
    <t>Karen Bradshaw</t>
  </si>
  <si>
    <t>Kenneth Wilson</t>
  </si>
  <si>
    <t>Daniel Bush</t>
  </si>
  <si>
    <t>Dr. Alicia Mcmillan</t>
  </si>
  <si>
    <t>Pamela Jennings</t>
  </si>
  <si>
    <t>Mary Morris</t>
  </si>
  <si>
    <t>Jesse Hernandez</t>
  </si>
  <si>
    <t>Bruce Long</t>
  </si>
  <si>
    <t>Andrew Browning</t>
  </si>
  <si>
    <t>Justin Solomon</t>
  </si>
  <si>
    <t>Derrick Johns</t>
  </si>
  <si>
    <t>Angela Singleton</t>
  </si>
  <si>
    <t>Amanda Oconnor</t>
  </si>
  <si>
    <t>Lisa Huang</t>
  </si>
  <si>
    <t>Jessica Manning</t>
  </si>
  <si>
    <t>Richard Donaldson</t>
  </si>
  <si>
    <t>John Lopez</t>
  </si>
  <si>
    <t>Debra Knight</t>
  </si>
  <si>
    <t>Brandi Miller</t>
  </si>
  <si>
    <t>Sergio Acosta</t>
  </si>
  <si>
    <t>Candace Lawrence</t>
  </si>
  <si>
    <t>Jo Jones</t>
  </si>
  <si>
    <t>Danny Maldonado PhD</t>
  </si>
  <si>
    <t>Elizabeth Coleman</t>
  </si>
  <si>
    <t>Adam Simpson</t>
  </si>
  <si>
    <t>Mary Mitchell</t>
  </si>
  <si>
    <t>Jeremy Hernandez</t>
  </si>
  <si>
    <t>Christopher Hayden</t>
  </si>
  <si>
    <t>Joshua Young</t>
  </si>
  <si>
    <t>Emma Brandt</t>
  </si>
  <si>
    <t>Lauren Moore</t>
  </si>
  <si>
    <t>Cassandra Miller</t>
  </si>
  <si>
    <t>Paige Petersen</t>
  </si>
  <si>
    <t>Antonio Mccoy</t>
  </si>
  <si>
    <t>Kristi Ward</t>
  </si>
  <si>
    <t>Kevin Weiss</t>
  </si>
  <si>
    <t>Heidi Gray</t>
  </si>
  <si>
    <t>Ashley Martinez DDS</t>
  </si>
  <si>
    <t>Kimberly Stewart</t>
  </si>
  <si>
    <t>George Lee</t>
  </si>
  <si>
    <t>William Mcmillan</t>
  </si>
  <si>
    <t>Toni Morales</t>
  </si>
  <si>
    <t>Ibadan</t>
  </si>
  <si>
    <t>Gwarinpa</t>
  </si>
  <si>
    <t>Asokoro</t>
  </si>
  <si>
    <t>Port Harcourt</t>
  </si>
  <si>
    <t>Yaba</t>
  </si>
  <si>
    <t>Lekki</t>
  </si>
  <si>
    <t>Obio-Akpor</t>
  </si>
  <si>
    <t>Oyigbo</t>
  </si>
  <si>
    <t>Ogbomosho</t>
  </si>
  <si>
    <t>Eruwa</t>
  </si>
  <si>
    <t>Wuse</t>
  </si>
  <si>
    <t>Bonny</t>
  </si>
  <si>
    <t>Iseyin</t>
  </si>
  <si>
    <t>Surulere</t>
  </si>
  <si>
    <t>Ikeja</t>
  </si>
  <si>
    <t>Maitama</t>
  </si>
  <si>
    <t>Oyo</t>
  </si>
  <si>
    <t>Abuja</t>
  </si>
  <si>
    <t>Rivers</t>
  </si>
  <si>
    <t>Lagos</t>
  </si>
  <si>
    <t>Wristwatch</t>
  </si>
  <si>
    <t>T-shirt</t>
  </si>
  <si>
    <t>Electric Kettle</t>
  </si>
  <si>
    <t>Blender</t>
  </si>
  <si>
    <t>Bluetooth Speaker</t>
  </si>
  <si>
    <t>Water Dispenser</t>
  </si>
  <si>
    <t>Phone Charger</t>
  </si>
  <si>
    <t>Power Bank</t>
  </si>
  <si>
    <t>Jersey</t>
  </si>
  <si>
    <t>AirPods</t>
  </si>
  <si>
    <t>Gas Cylinder</t>
  </si>
  <si>
    <t>Sneakers</t>
  </si>
  <si>
    <t>Fashion</t>
  </si>
  <si>
    <t>Home</t>
  </si>
  <si>
    <t>Electronics</t>
  </si>
  <si>
    <t>Accessories</t>
  </si>
  <si>
    <t>Clothing</t>
  </si>
  <si>
    <t>Kitchen</t>
  </si>
  <si>
    <t>Audio</t>
  </si>
  <si>
    <t>Appliances</t>
  </si>
  <si>
    <t>Power</t>
  </si>
  <si>
    <t>ten</t>
  </si>
  <si>
    <t>Pay on Delivery</t>
  </si>
  <si>
    <t>Card</t>
  </si>
  <si>
    <t>Transfer</t>
  </si>
  <si>
    <t>In Transit</t>
  </si>
  <si>
    <t>Failed</t>
  </si>
  <si>
    <t>Delivered</t>
  </si>
  <si>
    <t>Good</t>
  </si>
  <si>
    <t>Excellent value</t>
  </si>
  <si>
    <t>Okay but delivery delayed</t>
  </si>
  <si>
    <t>No comment</t>
  </si>
  <si>
    <t>Great product!</t>
  </si>
  <si>
    <t>Would not buy again</t>
  </si>
  <si>
    <t>Product Category</t>
  </si>
  <si>
    <t>Delivery time</t>
  </si>
  <si>
    <t>Row Labels</t>
  </si>
  <si>
    <t>Grand Total</t>
  </si>
  <si>
    <t>Sum of Total Price (₦)</t>
  </si>
  <si>
    <t>Sum of Quantity</t>
  </si>
  <si>
    <t>Average of Discount %</t>
  </si>
  <si>
    <t>Column Labels</t>
  </si>
  <si>
    <t>Sum of Product Rating</t>
  </si>
  <si>
    <t>Average of Shipping Fee (₦)</t>
  </si>
  <si>
    <t>Average of Total Price (₦)</t>
  </si>
  <si>
    <t>Relationship btw Rating&amp;Total Price</t>
  </si>
  <si>
    <t>Count of Product Name</t>
  </si>
  <si>
    <t>no 10</t>
  </si>
  <si>
    <t>2024</t>
  </si>
  <si>
    <t>2025</t>
  </si>
  <si>
    <t>Dec</t>
  </si>
  <si>
    <t>Jan</t>
  </si>
  <si>
    <t>Feb</t>
  </si>
  <si>
    <t>Mar</t>
  </si>
  <si>
    <t>Apr</t>
  </si>
  <si>
    <t>May</t>
  </si>
  <si>
    <t>Jun</t>
  </si>
  <si>
    <t>order by year</t>
  </si>
  <si>
    <t>order by month</t>
  </si>
  <si>
    <t>Average of Delivery time</t>
  </si>
  <si>
    <t>Count of Order Date</t>
  </si>
  <si>
    <t>Average of Total Price (₦)2</t>
  </si>
  <si>
    <t>Total Price</t>
  </si>
  <si>
    <t>Avg Delivery time</t>
  </si>
  <si>
    <t>Avg Price</t>
  </si>
  <si>
    <t>Total Order</t>
  </si>
  <si>
    <t>Total Sales by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</si>
</sst>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yyyy\-mm\-dd"/>
    <numFmt numFmtId="165" formatCode="_-* #,##0_-;\-* #,##0_-;_-* &quot;-&quot;??_-;_-@_-"/>
    <numFmt numFmtId="166" formatCode="&quot;N&quot;0.00,,&quot;M&quot;"/>
    <numFmt numFmtId="167" formatCode="&quot;N&quot;#,##0"/>
  </numFmts>
  <fonts count="3" x14ac:knownFonts="1">
    <font>
      <sz val="11"/>
      <color theme="1"/>
      <name val="Calibri"/>
      <family val="2"/>
      <scheme val="minor"/>
    </font>
    <font>
      <b/>
      <sz val="11"/>
      <color theme="1"/>
      <name val="Calibri"/>
      <family val="2"/>
      <scheme val="minor"/>
    </font>
    <font>
      <sz val="12"/>
      <color theme="1"/>
      <name val="Arial Black"/>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1" fillId="0" borderId="2" xfId="0" applyFont="1" applyBorder="1" applyAlignment="1">
      <alignment horizontal="center" vertical="top"/>
    </xf>
    <xf numFmtId="0" fontId="0" fillId="0" borderId="1" xfId="0" applyBorder="1"/>
    <xf numFmtId="14" fontId="1" fillId="0" borderId="1" xfId="0" applyNumberFormat="1" applyFont="1" applyBorder="1" applyAlignment="1">
      <alignment horizontal="center" vertical="top"/>
    </xf>
    <xf numFmtId="14" fontId="0" fillId="0" borderId="0" xfId="0" applyNumberFormat="1"/>
    <xf numFmtId="2" fontId="1" fillId="0" borderId="0" xfId="0" applyNumberFormat="1" applyFont="1"/>
    <xf numFmtId="0" fontId="0" fillId="0" borderId="0" xfId="0" pivotButton="1"/>
    <xf numFmtId="0" fontId="0" fillId="0" borderId="0" xfId="0" applyAlignment="1">
      <alignment horizontal="left"/>
    </xf>
    <xf numFmtId="0" fontId="1" fillId="0" borderId="0" xfId="0" applyFont="1"/>
    <xf numFmtId="43"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0" applyFont="1"/>
    <xf numFmtId="165" fontId="0" fillId="0" borderId="0" xfId="0" applyNumberFormat="1" applyAlignment="1">
      <alignment horizontal="left" indent="15"/>
    </xf>
    <xf numFmtId="0" fontId="0" fillId="0" borderId="0" xfId="0" applyNumberFormat="1"/>
  </cellXfs>
  <cellStyles count="1">
    <cellStyle name="Normal" xfId="0" builtinId="0"/>
  </cellStyles>
  <dxfs count="462">
    <dxf>
      <numFmt numFmtId="35" formatCode="_-* #,##0.00_-;\-* #,##0.00_-;_-* &quot;-&quot;??_-;_-@_-"/>
    </dxf>
    <dxf>
      <numFmt numFmtId="165" formatCode="_-* #,##0_-;\-* #,##0_-;_-* &quot;-&quot;??_-;_-@_-"/>
    </dxf>
    <dxf>
      <numFmt numFmtId="1" formatCode="0"/>
    </dxf>
    <dxf>
      <numFmt numFmtId="1" formatCode="0"/>
    </dxf>
    <dxf>
      <numFmt numFmtId="1" formatCode="0"/>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35" formatCode="_-* #,##0.00_-;\-* #,##0.00_-;_-* &quot;-&quot;??_-;_-@_-"/>
    </dxf>
    <dxf>
      <numFmt numFmtId="165" formatCode="_-* #,##0_-;\-* #,##0_-;_-* &quot;-&quot;??_-;_-@_-"/>
    </dxf>
    <dxf>
      <numFmt numFmtId="1" formatCode="0"/>
    </dxf>
    <dxf>
      <numFmt numFmtId="1" formatCode="0"/>
    </dxf>
    <dxf>
      <numFmt numFmtId="1" formatCode="0"/>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 formatCode="0"/>
    </dxf>
    <dxf>
      <numFmt numFmtId="1" formatCode="0"/>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 formatCode="0"/>
    </dxf>
    <dxf>
      <numFmt numFmtId="1" formatCode="0"/>
    </dxf>
    <dxf>
      <numFmt numFmtId="1" formatCode="0"/>
    </dxf>
    <dxf>
      <numFmt numFmtId="165" formatCode="_-* #,##0_-;\-* #,##0_-;_-* &quot;-&quot;??_-;_-@_-"/>
    </dxf>
    <dxf>
      <numFmt numFmtId="165" formatCode="_-* #,##0_-;\-* #,##0_-;_-* &quot;-&quot;??_-;_-@_-"/>
    </dxf>
    <dxf>
      <numFmt numFmtId="165" formatCode="_-* #,##0_-;\-* #,##0_-;_-* &quot;-&quot;??_-;_-@_-"/>
    </dxf>
    <dxf>
      <numFmt numFmtId="165" formatCode="_-* #,##0_-;\-* #,##0_-;_-* &quot;-&quot;??_-;_-@_-"/>
    </dxf>
    <dxf>
      <numFmt numFmtId="35" formatCode="_-* #,##0.00_-;\-* #,##0.00_-;_-* &quot;-&quot;??_-;_-@_-"/>
    </dxf>
    <dxf>
      <numFmt numFmtId="35" formatCode="_-* #,##0.00_-;\-* #,##0.00_-;_-* &quot;-&quot;??_-;_-@_-"/>
    </dxf>
    <dxf>
      <numFmt numFmtId="35" formatCode="_-* #,##0.00_-;\-* #,##0.00_-;_-* &quot;-&quot;??_-;_-@_-"/>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5" formatCode="_-* #,##0_-;\-* #,##0_-;_-* &quot;-&quot;??_-;_-@_-"/>
    </dxf>
    <dxf>
      <numFmt numFmtId="35" formatCode="_-* #,##0.00_-;\-* #,##0.00_-;_-* &quot;-&quot;??_-;_-@_-"/>
    </dxf>
    <dxf>
      <numFmt numFmtId="1" formatCode="0"/>
    </dxf>
    <dxf>
      <numFmt numFmtId="165" formatCode="_-* #,##0_-;\-* #,##0_-;_-* &quot;-&quot;??_-;_-@_-"/>
    </dxf>
    <dxf>
      <numFmt numFmtId="35" formatCode="_-* #,##0.00_-;\-* #,##0.00_-;_-* &quot;-&quot;??_-;_-@_-"/>
    </dxf>
    <dxf>
      <numFmt numFmtId="1" formatCode="0"/>
    </dxf>
    <dxf>
      <numFmt numFmtId="165" formatCode="_-* #,##0_-;\-* #,##0_-;_-* &quot;-&quot;??_-;_-@_-"/>
    </dxf>
    <dxf>
      <numFmt numFmtId="165" formatCode="_-* #,##0_-;\-* #,##0_-;_-* &quot;-&quot;??_-;_-@_-"/>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35" formatCode="_-* #,##0.00_-;\-* #,##0.00_-;_-* &quot;-&quot;??_-;_-@_-"/>
    </dxf>
    <dxf>
      <numFmt numFmtId="165" formatCode="_-* #,##0_-;\-* #,##0_-;_-* &quot;-&quot;??_-;_-@_-"/>
    </dxf>
    <dxf>
      <numFmt numFmtId="35" formatCode="_-* #,##0.00_-;\-* #,##0.00_-;_-* &quot;-&quot;??_-;_-@_-"/>
    </dxf>
    <dxf>
      <numFmt numFmtId="1" formatCode="0"/>
    </dxf>
    <dxf>
      <numFmt numFmtId="165" formatCode="_-* #,##0_-;\-* #,##0_-;_-* &quot;-&quot;??_-;_-@_-"/>
    </dxf>
    <dxf>
      <numFmt numFmtId="165" formatCode="_-* #,##0_-;\-* #,##0_-;_-* &quot;-&quot;??_-;_-@_-"/>
    </dxf>
  </dxfs>
  <tableStyles count="0" defaultTableStyle="TableStyleMedium9" defaultPivotStyle="PivotStyleLight16"/>
  <colors>
    <mruColors>
      <color rgb="FF799339"/>
      <color rgb="FFD09E00"/>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Sheet6!$A$4:$A$10</c:f>
              <c:strCache>
                <c:ptCount val="6"/>
                <c:pt idx="0">
                  <c:v>Accessories</c:v>
                </c:pt>
                <c:pt idx="1">
                  <c:v>Kitchen</c:v>
                </c:pt>
                <c:pt idx="2">
                  <c:v>Clothing</c:v>
                </c:pt>
                <c:pt idx="3">
                  <c:v>Power</c:v>
                </c:pt>
                <c:pt idx="4">
                  <c:v>Appliances</c:v>
                </c:pt>
                <c:pt idx="5">
                  <c:v>Audio</c:v>
                </c:pt>
              </c:strCache>
            </c:strRef>
          </c:cat>
          <c:val>
            <c:numRef>
              <c:f>Sheet6!$B$4:$B$10</c:f>
              <c:numCache>
                <c:formatCode>_-* #,##0_-;\-* #,##0_-;_-* "-"??_-;_-@_-</c:formatCode>
                <c:ptCount val="6"/>
                <c:pt idx="0">
                  <c:v>20463723</c:v>
                </c:pt>
                <c:pt idx="1">
                  <c:v>20442987.250000007</c:v>
                </c:pt>
                <c:pt idx="2">
                  <c:v>20308562.349999994</c:v>
                </c:pt>
                <c:pt idx="3">
                  <c:v>19399426.75</c:v>
                </c:pt>
                <c:pt idx="4">
                  <c:v>18887529.050000001</c:v>
                </c:pt>
                <c:pt idx="5">
                  <c:v>18822645.800000001</c:v>
                </c:pt>
              </c:numCache>
            </c:numRef>
          </c:val>
          <c:extLst>
            <c:ext xmlns:c16="http://schemas.microsoft.com/office/drawing/2014/chart" uri="{C3380CC4-5D6E-409C-BE32-E72D297353CC}">
              <c16:uniqueId val="{00000000-4EF6-4C9B-B355-6D4B4C5D57E7}"/>
            </c:ext>
          </c:extLst>
        </c:ser>
        <c:dLbls>
          <c:showLegendKey val="0"/>
          <c:showVal val="0"/>
          <c:showCatName val="0"/>
          <c:showSerName val="0"/>
          <c:showPercent val="0"/>
          <c:showBubbleSize val="0"/>
        </c:dLbls>
        <c:gapWidth val="219"/>
        <c:overlap val="-27"/>
        <c:axId val="325097119"/>
        <c:axId val="325101919"/>
      </c:barChart>
      <c:catAx>
        <c:axId val="32509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101919"/>
        <c:crosses val="autoZero"/>
        <c:auto val="1"/>
        <c:lblAlgn val="ctr"/>
        <c:lblOffset val="100"/>
        <c:noMultiLvlLbl val="0"/>
      </c:catAx>
      <c:valAx>
        <c:axId val="3251019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Sheet6!$E$3</c:f>
              <c:strCache>
                <c:ptCount val="1"/>
                <c:pt idx="0">
                  <c:v>Total</c:v>
                </c:pt>
              </c:strCache>
            </c:strRef>
          </c:tx>
          <c:spPr>
            <a:solidFill>
              <a:schemeClr val="accent1"/>
            </a:solidFill>
            <a:ln>
              <a:noFill/>
            </a:ln>
            <a:effectLst/>
          </c:spPr>
          <c:invertIfNegative val="0"/>
          <c:cat>
            <c:strRef>
              <c:f>Sheet6!$D$4:$D$9</c:f>
              <c:strCache>
                <c:ptCount val="5"/>
                <c:pt idx="0">
                  <c:v>Power Bank</c:v>
                </c:pt>
                <c:pt idx="1">
                  <c:v>Electric Kettle</c:v>
                </c:pt>
                <c:pt idx="2">
                  <c:v>Sneakers</c:v>
                </c:pt>
                <c:pt idx="3">
                  <c:v>Gas Cylinder</c:v>
                </c:pt>
                <c:pt idx="4">
                  <c:v>Jersey</c:v>
                </c:pt>
              </c:strCache>
            </c:strRef>
          </c:cat>
          <c:val>
            <c:numRef>
              <c:f>Sheet6!$E$4:$E$9</c:f>
              <c:numCache>
                <c:formatCode>General</c:formatCode>
                <c:ptCount val="5"/>
                <c:pt idx="0">
                  <c:v>293</c:v>
                </c:pt>
                <c:pt idx="1">
                  <c:v>303</c:v>
                </c:pt>
                <c:pt idx="2">
                  <c:v>310</c:v>
                </c:pt>
                <c:pt idx="3">
                  <c:v>313</c:v>
                </c:pt>
                <c:pt idx="4">
                  <c:v>320</c:v>
                </c:pt>
              </c:numCache>
            </c:numRef>
          </c:val>
          <c:extLst>
            <c:ext xmlns:c16="http://schemas.microsoft.com/office/drawing/2014/chart" uri="{C3380CC4-5D6E-409C-BE32-E72D297353CC}">
              <c16:uniqueId val="{00000000-8A4F-46FE-A2D4-1C7AAA8D9C8D}"/>
            </c:ext>
          </c:extLst>
        </c:ser>
        <c:dLbls>
          <c:showLegendKey val="0"/>
          <c:showVal val="0"/>
          <c:showCatName val="0"/>
          <c:showSerName val="0"/>
          <c:showPercent val="0"/>
          <c:showBubbleSize val="0"/>
        </c:dLbls>
        <c:gapWidth val="182"/>
        <c:axId val="325078879"/>
        <c:axId val="325079359"/>
      </c:barChart>
      <c:catAx>
        <c:axId val="32507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79359"/>
        <c:crosses val="autoZero"/>
        <c:auto val="1"/>
        <c:lblAlgn val="ctr"/>
        <c:lblOffset val="100"/>
        <c:noMultiLvlLbl val="0"/>
      </c:catAx>
      <c:valAx>
        <c:axId val="32507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7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Sheet6!$X$20</c:f>
              <c:strCache>
                <c:ptCount val="1"/>
                <c:pt idx="0">
                  <c:v>Total</c:v>
                </c:pt>
              </c:strCache>
            </c:strRef>
          </c:tx>
          <c:spPr>
            <a:ln w="28575" cap="rnd">
              <a:solidFill>
                <a:schemeClr val="accent1"/>
              </a:solidFill>
              <a:round/>
            </a:ln>
            <a:effectLst/>
          </c:spPr>
          <c:marker>
            <c:symbol val="none"/>
          </c:marker>
          <c:cat>
            <c:strRef>
              <c:f>Sheet6!$W$21:$W$28</c:f>
              <c:strCache>
                <c:ptCount val="7"/>
                <c:pt idx="0">
                  <c:v>Jan</c:v>
                </c:pt>
                <c:pt idx="1">
                  <c:v>Feb</c:v>
                </c:pt>
                <c:pt idx="2">
                  <c:v>Mar</c:v>
                </c:pt>
                <c:pt idx="3">
                  <c:v>Apr</c:v>
                </c:pt>
                <c:pt idx="4">
                  <c:v>May</c:v>
                </c:pt>
                <c:pt idx="5">
                  <c:v>Jun</c:v>
                </c:pt>
                <c:pt idx="6">
                  <c:v>Dec</c:v>
                </c:pt>
              </c:strCache>
            </c:strRef>
          </c:cat>
          <c:val>
            <c:numRef>
              <c:f>Sheet6!$X$21:$X$28</c:f>
              <c:numCache>
                <c:formatCode>_-* #,##0_-;\-* #,##0_-;_-* "-"??_-;_-@_-</c:formatCode>
                <c:ptCount val="7"/>
                <c:pt idx="0">
                  <c:v>20502066.099999998</c:v>
                </c:pt>
                <c:pt idx="1">
                  <c:v>17845776.450000007</c:v>
                </c:pt>
                <c:pt idx="2">
                  <c:v>22879031.949999999</c:v>
                </c:pt>
                <c:pt idx="3">
                  <c:v>16962813.899999995</c:v>
                </c:pt>
                <c:pt idx="4">
                  <c:v>19098626.65000001</c:v>
                </c:pt>
                <c:pt idx="5">
                  <c:v>19942507.799999997</c:v>
                </c:pt>
                <c:pt idx="6">
                  <c:v>1094051.3500000001</c:v>
                </c:pt>
              </c:numCache>
            </c:numRef>
          </c:val>
          <c:smooth val="0"/>
          <c:extLst>
            <c:ext xmlns:c16="http://schemas.microsoft.com/office/drawing/2014/chart" uri="{C3380CC4-5D6E-409C-BE32-E72D297353CC}">
              <c16:uniqueId val="{00000000-01E1-419F-B7A1-1D14FC9699F1}"/>
            </c:ext>
          </c:extLst>
        </c:ser>
        <c:dLbls>
          <c:showLegendKey val="0"/>
          <c:showVal val="0"/>
          <c:showCatName val="0"/>
          <c:showSerName val="0"/>
          <c:showPercent val="0"/>
          <c:showBubbleSize val="0"/>
        </c:dLbls>
        <c:smooth val="0"/>
        <c:axId val="325096159"/>
        <c:axId val="325076479"/>
      </c:lineChart>
      <c:catAx>
        <c:axId val="3250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76479"/>
        <c:crosses val="autoZero"/>
        <c:auto val="1"/>
        <c:lblAlgn val="ctr"/>
        <c:lblOffset val="100"/>
        <c:noMultiLvlLbl val="0"/>
      </c:catAx>
      <c:valAx>
        <c:axId val="3250764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9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Sheet6!$U$3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E0-4847-A39A-BE41729DF9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E0-4847-A39A-BE41729DF9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E0-4847-A39A-BE41729DF9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E0-4847-A39A-BE41729DF95D}"/>
              </c:ext>
            </c:extLst>
          </c:dPt>
          <c:cat>
            <c:strRef>
              <c:f>Sheet6!$T$4:$T$8</c:f>
              <c:strCache>
                <c:ptCount val="4"/>
                <c:pt idx="0">
                  <c:v>Oyo</c:v>
                </c:pt>
                <c:pt idx="1">
                  <c:v>Rivers</c:v>
                </c:pt>
                <c:pt idx="2">
                  <c:v>Abuja</c:v>
                </c:pt>
                <c:pt idx="3">
                  <c:v>Lagos</c:v>
                </c:pt>
              </c:strCache>
            </c:strRef>
          </c:cat>
          <c:val>
            <c:numRef>
              <c:f>Sheet6!$U$4:$U$8</c:f>
              <c:numCache>
                <c:formatCode>_-* #,##0_-;\-* #,##0_-;_-* "-"??_-;_-@_-</c:formatCode>
                <c:ptCount val="4"/>
                <c:pt idx="0">
                  <c:v>30916161.20000001</c:v>
                </c:pt>
                <c:pt idx="1">
                  <c:v>30873253.89999998</c:v>
                </c:pt>
                <c:pt idx="2">
                  <c:v>28777030.349999998</c:v>
                </c:pt>
                <c:pt idx="3">
                  <c:v>27758428.75</c:v>
                </c:pt>
              </c:numCache>
            </c:numRef>
          </c:val>
          <c:extLst>
            <c:ext xmlns:c16="http://schemas.microsoft.com/office/drawing/2014/chart" uri="{C3380CC4-5D6E-409C-BE32-E72D297353CC}">
              <c16:uniqueId val="{00000000-CC1A-4FBD-9086-28988BEC47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Sheet6!$O$3:$O$4</c:f>
              <c:strCache>
                <c:ptCount val="1"/>
                <c:pt idx="0">
                  <c:v>1</c:v>
                </c:pt>
              </c:strCache>
            </c:strRef>
          </c:tx>
          <c:spPr>
            <a:solidFill>
              <a:schemeClr val="accent1"/>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Sheet6!$O$5:$O$17</c:f>
              <c:numCache>
                <c:formatCode>General</c:formatCode>
                <c:ptCount val="12"/>
                <c:pt idx="0">
                  <c:v>27</c:v>
                </c:pt>
                <c:pt idx="1">
                  <c:v>26</c:v>
                </c:pt>
                <c:pt idx="2">
                  <c:v>31</c:v>
                </c:pt>
                <c:pt idx="3">
                  <c:v>36</c:v>
                </c:pt>
                <c:pt idx="4">
                  <c:v>19</c:v>
                </c:pt>
                <c:pt idx="5">
                  <c:v>27</c:v>
                </c:pt>
                <c:pt idx="6">
                  <c:v>33</c:v>
                </c:pt>
                <c:pt idx="7">
                  <c:v>35</c:v>
                </c:pt>
                <c:pt idx="8">
                  <c:v>33</c:v>
                </c:pt>
                <c:pt idx="9">
                  <c:v>32</c:v>
                </c:pt>
                <c:pt idx="10">
                  <c:v>19</c:v>
                </c:pt>
                <c:pt idx="11">
                  <c:v>36</c:v>
                </c:pt>
              </c:numCache>
            </c:numRef>
          </c:val>
          <c:extLst>
            <c:ext xmlns:c16="http://schemas.microsoft.com/office/drawing/2014/chart" uri="{C3380CC4-5D6E-409C-BE32-E72D297353CC}">
              <c16:uniqueId val="{00000000-D746-4D20-B007-432F36E57CB9}"/>
            </c:ext>
          </c:extLst>
        </c:ser>
        <c:ser>
          <c:idx val="1"/>
          <c:order val="1"/>
          <c:tx>
            <c:strRef>
              <c:f>Sheet6!$P$3:$P$4</c:f>
              <c:strCache>
                <c:ptCount val="1"/>
                <c:pt idx="0">
                  <c:v>2</c:v>
                </c:pt>
              </c:strCache>
            </c:strRef>
          </c:tx>
          <c:spPr>
            <a:solidFill>
              <a:schemeClr val="accent2"/>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Sheet6!$P$5:$P$17</c:f>
              <c:numCache>
                <c:formatCode>General</c:formatCode>
                <c:ptCount val="12"/>
                <c:pt idx="0">
                  <c:v>42</c:v>
                </c:pt>
                <c:pt idx="1">
                  <c:v>64</c:v>
                </c:pt>
                <c:pt idx="2">
                  <c:v>72</c:v>
                </c:pt>
                <c:pt idx="3">
                  <c:v>80</c:v>
                </c:pt>
                <c:pt idx="4">
                  <c:v>86</c:v>
                </c:pt>
                <c:pt idx="5">
                  <c:v>100</c:v>
                </c:pt>
                <c:pt idx="6">
                  <c:v>42</c:v>
                </c:pt>
                <c:pt idx="7">
                  <c:v>68</c:v>
                </c:pt>
                <c:pt idx="8">
                  <c:v>50</c:v>
                </c:pt>
                <c:pt idx="9">
                  <c:v>86</c:v>
                </c:pt>
                <c:pt idx="10">
                  <c:v>46</c:v>
                </c:pt>
                <c:pt idx="11">
                  <c:v>68</c:v>
                </c:pt>
              </c:numCache>
            </c:numRef>
          </c:val>
          <c:extLst>
            <c:ext xmlns:c16="http://schemas.microsoft.com/office/drawing/2014/chart" uri="{C3380CC4-5D6E-409C-BE32-E72D297353CC}">
              <c16:uniqueId val="{00000002-A677-46B0-A7C3-9CE01CD6E2F2}"/>
            </c:ext>
          </c:extLst>
        </c:ser>
        <c:ser>
          <c:idx val="2"/>
          <c:order val="2"/>
          <c:tx>
            <c:strRef>
              <c:f>Sheet6!$Q$3:$Q$4</c:f>
              <c:strCache>
                <c:ptCount val="1"/>
                <c:pt idx="0">
                  <c:v>3</c:v>
                </c:pt>
              </c:strCache>
            </c:strRef>
          </c:tx>
          <c:spPr>
            <a:solidFill>
              <a:schemeClr val="accent3"/>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Sheet6!$Q$5:$Q$17</c:f>
              <c:numCache>
                <c:formatCode>General</c:formatCode>
                <c:ptCount val="12"/>
                <c:pt idx="0">
                  <c:v>84</c:v>
                </c:pt>
                <c:pt idx="1">
                  <c:v>75</c:v>
                </c:pt>
                <c:pt idx="2">
                  <c:v>102</c:v>
                </c:pt>
                <c:pt idx="3">
                  <c:v>90</c:v>
                </c:pt>
                <c:pt idx="4">
                  <c:v>108</c:v>
                </c:pt>
                <c:pt idx="5">
                  <c:v>81</c:v>
                </c:pt>
                <c:pt idx="6">
                  <c:v>66</c:v>
                </c:pt>
                <c:pt idx="7">
                  <c:v>93</c:v>
                </c:pt>
                <c:pt idx="8">
                  <c:v>114</c:v>
                </c:pt>
                <c:pt idx="9">
                  <c:v>54</c:v>
                </c:pt>
                <c:pt idx="10">
                  <c:v>126</c:v>
                </c:pt>
                <c:pt idx="11">
                  <c:v>72</c:v>
                </c:pt>
              </c:numCache>
            </c:numRef>
          </c:val>
          <c:extLst>
            <c:ext xmlns:c16="http://schemas.microsoft.com/office/drawing/2014/chart" uri="{C3380CC4-5D6E-409C-BE32-E72D297353CC}">
              <c16:uniqueId val="{00000003-A677-46B0-A7C3-9CE01CD6E2F2}"/>
            </c:ext>
          </c:extLst>
        </c:ser>
        <c:dLbls>
          <c:showLegendKey val="0"/>
          <c:showVal val="0"/>
          <c:showCatName val="0"/>
          <c:showSerName val="0"/>
          <c:showPercent val="0"/>
          <c:showBubbleSize val="0"/>
        </c:dLbls>
        <c:gapWidth val="219"/>
        <c:overlap val="-27"/>
        <c:axId val="325075039"/>
        <c:axId val="325063519"/>
      </c:barChart>
      <c:catAx>
        <c:axId val="3250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63519"/>
        <c:crosses val="autoZero"/>
        <c:auto val="1"/>
        <c:lblAlgn val="ctr"/>
        <c:lblOffset val="100"/>
        <c:noMultiLvlLbl val="0"/>
      </c:catAx>
      <c:valAx>
        <c:axId val="32506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507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ANALYSIS.xlsx]Sheet6!PivotTable3</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r>
              <a:rPr lang="en-US" sz="1400">
                <a:solidFill>
                  <a:schemeClr val="tx1">
                    <a:lumMod val="85000"/>
                    <a:lumOff val="15000"/>
                  </a:schemeClr>
                </a:solidFill>
                <a:latin typeface="Segoe UI Black" panose="020B0A02040204020203" pitchFamily="34" charset="0"/>
                <a:ea typeface="Segoe UI Black" panose="020B0A02040204020203" pitchFamily="34" charset="0"/>
              </a:rPr>
              <a:t>Total</a:t>
            </a:r>
            <a:r>
              <a:rPr lang="en-US" sz="1400" baseline="0">
                <a:solidFill>
                  <a:schemeClr val="tx1">
                    <a:lumMod val="85000"/>
                    <a:lumOff val="15000"/>
                  </a:schemeClr>
                </a:solidFill>
                <a:latin typeface="Segoe UI Black" panose="020B0A02040204020203" pitchFamily="34" charset="0"/>
                <a:ea typeface="Segoe UI Black" panose="020B0A02040204020203" pitchFamily="34" charset="0"/>
              </a:rPr>
              <a:t> Sales By Sub-Category</a:t>
            </a:r>
            <a:endParaRPr lang="en-US" sz="1400">
              <a:solidFill>
                <a:schemeClr val="tx1">
                  <a:lumMod val="85000"/>
                  <a:lumOff val="15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Accessories</c:v>
                </c:pt>
                <c:pt idx="1">
                  <c:v>Kitchen</c:v>
                </c:pt>
                <c:pt idx="2">
                  <c:v>Clothing</c:v>
                </c:pt>
                <c:pt idx="3">
                  <c:v>Power</c:v>
                </c:pt>
                <c:pt idx="4">
                  <c:v>Appliances</c:v>
                </c:pt>
                <c:pt idx="5">
                  <c:v>Audio</c:v>
                </c:pt>
              </c:strCache>
            </c:strRef>
          </c:cat>
          <c:val>
            <c:numRef>
              <c:f>Sheet6!$B$4:$B$10</c:f>
              <c:numCache>
                <c:formatCode>_-* #,##0_-;\-* #,##0_-;_-* "-"??_-;_-@_-</c:formatCode>
                <c:ptCount val="6"/>
                <c:pt idx="0">
                  <c:v>20463723</c:v>
                </c:pt>
                <c:pt idx="1">
                  <c:v>20442987.250000007</c:v>
                </c:pt>
                <c:pt idx="2">
                  <c:v>20308562.349999994</c:v>
                </c:pt>
                <c:pt idx="3">
                  <c:v>19399426.75</c:v>
                </c:pt>
                <c:pt idx="4">
                  <c:v>18887529.050000001</c:v>
                </c:pt>
                <c:pt idx="5">
                  <c:v>18822645.800000001</c:v>
                </c:pt>
              </c:numCache>
            </c:numRef>
          </c:val>
          <c:extLst>
            <c:ext xmlns:c16="http://schemas.microsoft.com/office/drawing/2014/chart" uri="{C3380CC4-5D6E-409C-BE32-E72D297353CC}">
              <c16:uniqueId val="{00000000-C9CC-4234-B288-52810CF2AC71}"/>
            </c:ext>
          </c:extLst>
        </c:ser>
        <c:dLbls>
          <c:dLblPos val="outEnd"/>
          <c:showLegendKey val="0"/>
          <c:showVal val="1"/>
          <c:showCatName val="0"/>
          <c:showSerName val="0"/>
          <c:showPercent val="0"/>
          <c:showBubbleSize val="0"/>
        </c:dLbls>
        <c:gapWidth val="219"/>
        <c:overlap val="-27"/>
        <c:axId val="325097119"/>
        <c:axId val="325101919"/>
      </c:barChart>
      <c:catAx>
        <c:axId val="32509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crossAx val="325101919"/>
        <c:crosses val="autoZero"/>
        <c:auto val="1"/>
        <c:lblAlgn val="ctr"/>
        <c:lblOffset val="100"/>
        <c:noMultiLvlLbl val="0"/>
      </c:catAx>
      <c:valAx>
        <c:axId val="325101919"/>
        <c:scaling>
          <c:orientation val="minMax"/>
        </c:scaling>
        <c:delete val="1"/>
        <c:axPos val="l"/>
        <c:numFmt formatCode="_-* #,##0_-;\-* #,##0_-;_-* &quot;-&quot;??_-;_-@_-" sourceLinked="1"/>
        <c:majorTickMark val="out"/>
        <c:minorTickMark val="none"/>
        <c:tickLblPos val="nextTo"/>
        <c:crossAx val="32509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r>
              <a:rPr lang="en-US">
                <a:solidFill>
                  <a:schemeClr val="tx1">
                    <a:lumMod val="85000"/>
                    <a:lumOff val="15000"/>
                  </a:schemeClr>
                </a:solidFill>
                <a:latin typeface="Segoe UI Black" panose="020B0A02040204020203" pitchFamily="34" charset="0"/>
                <a:ea typeface="Segoe UI Black" panose="020B0A02040204020203" pitchFamily="34" charset="0"/>
              </a:rPr>
              <a:t>Top</a:t>
            </a:r>
            <a:r>
              <a:rPr lang="en-US" baseline="0">
                <a:solidFill>
                  <a:schemeClr val="tx1">
                    <a:lumMod val="85000"/>
                    <a:lumOff val="15000"/>
                  </a:schemeClr>
                </a:solidFill>
                <a:latin typeface="Segoe UI Black" panose="020B0A02040204020203" pitchFamily="34" charset="0"/>
                <a:ea typeface="Segoe UI Black" panose="020B0A02040204020203" pitchFamily="34" charset="0"/>
              </a:rPr>
              <a:t> 5 Products By Quantity Sold</a:t>
            </a:r>
            <a:endParaRPr lang="en-US">
              <a:solidFill>
                <a:schemeClr val="tx1">
                  <a:lumMod val="85000"/>
                  <a:lumOff val="15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Sheet6!$E$3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Sheet6!$D$4:$D$9</c:f>
              <c:strCache>
                <c:ptCount val="5"/>
                <c:pt idx="0">
                  <c:v>Power Bank</c:v>
                </c:pt>
                <c:pt idx="1">
                  <c:v>Electric Kettle</c:v>
                </c:pt>
                <c:pt idx="2">
                  <c:v>Sneakers</c:v>
                </c:pt>
                <c:pt idx="3">
                  <c:v>Gas Cylinder</c:v>
                </c:pt>
                <c:pt idx="4">
                  <c:v>Jersey</c:v>
                </c:pt>
              </c:strCache>
            </c:strRef>
          </c:cat>
          <c:val>
            <c:numRef>
              <c:f>Sheet6!$E$4:$E$9</c:f>
              <c:numCache>
                <c:formatCode>General</c:formatCode>
                <c:ptCount val="5"/>
                <c:pt idx="0">
                  <c:v>293</c:v>
                </c:pt>
                <c:pt idx="1">
                  <c:v>303</c:v>
                </c:pt>
                <c:pt idx="2">
                  <c:v>310</c:v>
                </c:pt>
                <c:pt idx="3">
                  <c:v>313</c:v>
                </c:pt>
                <c:pt idx="4">
                  <c:v>320</c:v>
                </c:pt>
              </c:numCache>
            </c:numRef>
          </c:val>
          <c:extLst>
            <c:ext xmlns:c16="http://schemas.microsoft.com/office/drawing/2014/chart" uri="{C3380CC4-5D6E-409C-BE32-E72D297353CC}">
              <c16:uniqueId val="{00000000-5620-48A5-96DB-13FDC079F6E1}"/>
            </c:ext>
          </c:extLst>
        </c:ser>
        <c:dLbls>
          <c:dLblPos val="outEnd"/>
          <c:showLegendKey val="0"/>
          <c:showVal val="1"/>
          <c:showCatName val="0"/>
          <c:showSerName val="0"/>
          <c:showPercent val="0"/>
          <c:showBubbleSize val="0"/>
        </c:dLbls>
        <c:gapWidth val="182"/>
        <c:axId val="325078879"/>
        <c:axId val="325079359"/>
      </c:barChart>
      <c:catAx>
        <c:axId val="32507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crossAx val="325079359"/>
        <c:crosses val="autoZero"/>
        <c:auto val="1"/>
        <c:lblAlgn val="ctr"/>
        <c:lblOffset val="100"/>
        <c:noMultiLvlLbl val="0"/>
      </c:catAx>
      <c:valAx>
        <c:axId val="325079359"/>
        <c:scaling>
          <c:orientation val="minMax"/>
        </c:scaling>
        <c:delete val="1"/>
        <c:axPos val="b"/>
        <c:numFmt formatCode="General" sourceLinked="1"/>
        <c:majorTickMark val="none"/>
        <c:minorTickMark val="none"/>
        <c:tickLblPos val="nextTo"/>
        <c:crossAx val="32507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a:solidFill>
                  <a:schemeClr val="tx1">
                    <a:lumMod val="85000"/>
                    <a:lumOff val="15000"/>
                  </a:schemeClr>
                </a:solidFill>
                <a:latin typeface="Segoe UI Black" panose="020B0A02040204020203" pitchFamily="34" charset="0"/>
                <a:ea typeface="Segoe UI Black" panose="020B0A02040204020203" pitchFamily="34" charset="0"/>
              </a:rPr>
              <a:t>Monthly</a:t>
            </a:r>
            <a:r>
              <a:rPr lang="en-US" sz="1400" baseline="0">
                <a:solidFill>
                  <a:schemeClr val="tx1">
                    <a:lumMod val="85000"/>
                    <a:lumOff val="15000"/>
                  </a:schemeClr>
                </a:solidFill>
                <a:latin typeface="Segoe UI Black" panose="020B0A02040204020203" pitchFamily="34" charset="0"/>
                <a:ea typeface="Segoe UI Black" panose="020B0A02040204020203" pitchFamily="34" charset="0"/>
              </a:rPr>
              <a:t> Trend Of Revenue</a:t>
            </a:r>
            <a:endParaRPr lang="en-US" sz="1400">
              <a:solidFill>
                <a:schemeClr val="tx1">
                  <a:lumMod val="85000"/>
                  <a:lumOff val="15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Sheet6!$X$20</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Sheet6!$W$21:$W$28</c:f>
              <c:strCache>
                <c:ptCount val="7"/>
                <c:pt idx="0">
                  <c:v>Jan</c:v>
                </c:pt>
                <c:pt idx="1">
                  <c:v>Feb</c:v>
                </c:pt>
                <c:pt idx="2">
                  <c:v>Mar</c:v>
                </c:pt>
                <c:pt idx="3">
                  <c:v>Apr</c:v>
                </c:pt>
                <c:pt idx="4">
                  <c:v>May</c:v>
                </c:pt>
                <c:pt idx="5">
                  <c:v>Jun</c:v>
                </c:pt>
                <c:pt idx="6">
                  <c:v>Dec</c:v>
                </c:pt>
              </c:strCache>
            </c:strRef>
          </c:cat>
          <c:val>
            <c:numRef>
              <c:f>Sheet6!$X$21:$X$28</c:f>
              <c:numCache>
                <c:formatCode>_-* #,##0_-;\-* #,##0_-;_-* "-"??_-;_-@_-</c:formatCode>
                <c:ptCount val="7"/>
                <c:pt idx="0">
                  <c:v>20502066.099999998</c:v>
                </c:pt>
                <c:pt idx="1">
                  <c:v>17845776.450000007</c:v>
                </c:pt>
                <c:pt idx="2">
                  <c:v>22879031.949999999</c:v>
                </c:pt>
                <c:pt idx="3">
                  <c:v>16962813.899999995</c:v>
                </c:pt>
                <c:pt idx="4">
                  <c:v>19098626.65000001</c:v>
                </c:pt>
                <c:pt idx="5">
                  <c:v>19942507.799999997</c:v>
                </c:pt>
                <c:pt idx="6">
                  <c:v>1094051.3500000001</c:v>
                </c:pt>
              </c:numCache>
            </c:numRef>
          </c:val>
          <c:smooth val="0"/>
          <c:extLst>
            <c:ext xmlns:c16="http://schemas.microsoft.com/office/drawing/2014/chart" uri="{C3380CC4-5D6E-409C-BE32-E72D297353CC}">
              <c16:uniqueId val="{00000000-8987-4522-B182-E4488A9D5573}"/>
            </c:ext>
          </c:extLst>
        </c:ser>
        <c:dLbls>
          <c:dLblPos val="t"/>
          <c:showLegendKey val="0"/>
          <c:showVal val="1"/>
          <c:showCatName val="0"/>
          <c:showSerName val="0"/>
          <c:showPercent val="0"/>
          <c:showBubbleSize val="0"/>
        </c:dLbls>
        <c:smooth val="0"/>
        <c:axId val="325096159"/>
        <c:axId val="325076479"/>
      </c:lineChart>
      <c:catAx>
        <c:axId val="32509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crossAx val="325076479"/>
        <c:crosses val="autoZero"/>
        <c:auto val="1"/>
        <c:lblAlgn val="ctr"/>
        <c:lblOffset val="100"/>
        <c:noMultiLvlLbl val="0"/>
      </c:catAx>
      <c:valAx>
        <c:axId val="325076479"/>
        <c:scaling>
          <c:orientation val="minMax"/>
        </c:scaling>
        <c:delete val="1"/>
        <c:axPos val="l"/>
        <c:numFmt formatCode="_-* #,##0_-;\-* #,##0_-;_-* &quot;-&quot;??_-;_-@_-" sourceLinked="1"/>
        <c:majorTickMark val="out"/>
        <c:minorTickMark val="none"/>
        <c:tickLblPos val="nextTo"/>
        <c:crossAx val="3250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rPr>
              <a:t>Total</a:t>
            </a:r>
            <a:r>
              <a:rPr lang="en-US" baseline="0">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rPr>
              <a:t> Sales By State</a:t>
            </a:r>
            <a:endParaRPr lang="en-US">
              <a:solidFill>
                <a:schemeClr val="tx1">
                  <a:lumMod val="85000"/>
                  <a:lumOff val="15000"/>
                </a:schemeClr>
              </a:solidFill>
              <a:latin typeface="Segoe UI Black" panose="020B0A02040204020203" pitchFamily="34" charset="0"/>
              <a:ea typeface="Segoe UI Black" panose="020B0A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pivotFmt>
      <c:pivotFmt>
        <c:idx val="7"/>
        <c:spPr>
          <a:solidFill>
            <a:srgbClr val="799339"/>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1610380636444582"/>
          <c:y val="0.18107739806581258"/>
          <c:w val="0.66383359873170178"/>
          <c:h val="0.77356905688445987"/>
        </c:manualLayout>
      </c:layout>
      <c:doughnutChart>
        <c:varyColors val="1"/>
        <c:ser>
          <c:idx val="0"/>
          <c:order val="0"/>
          <c:tx>
            <c:strRef>
              <c:f>Sheet6!$U$3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567-4674-8C9B-4FCC790BB809}"/>
              </c:ext>
            </c:extLst>
          </c:dPt>
          <c:dPt>
            <c:idx val="1"/>
            <c:bubble3D val="0"/>
            <c:spPr>
              <a:solidFill>
                <a:srgbClr val="799339"/>
              </a:solidFill>
              <a:ln w="19050">
                <a:solidFill>
                  <a:schemeClr val="lt1"/>
                </a:solidFill>
              </a:ln>
              <a:effectLst/>
            </c:spPr>
            <c:extLst>
              <c:ext xmlns:c16="http://schemas.microsoft.com/office/drawing/2014/chart" uri="{C3380CC4-5D6E-409C-BE32-E72D297353CC}">
                <c16:uniqueId val="{00000003-6567-4674-8C9B-4FCC790BB8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67-4674-8C9B-4FCC790BB8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0B-4E92-BAC3-06AB88DB1AB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Sheet6!$T$4:$T$8</c:f>
              <c:strCache>
                <c:ptCount val="4"/>
                <c:pt idx="0">
                  <c:v>Oyo</c:v>
                </c:pt>
                <c:pt idx="1">
                  <c:v>Rivers</c:v>
                </c:pt>
                <c:pt idx="2">
                  <c:v>Abuja</c:v>
                </c:pt>
                <c:pt idx="3">
                  <c:v>Lagos</c:v>
                </c:pt>
              </c:strCache>
            </c:strRef>
          </c:cat>
          <c:val>
            <c:numRef>
              <c:f>Sheet6!$U$4:$U$8</c:f>
              <c:numCache>
                <c:formatCode>_-* #,##0_-;\-* #,##0_-;_-* "-"??_-;_-@_-</c:formatCode>
                <c:ptCount val="4"/>
                <c:pt idx="0">
                  <c:v>30916161.20000001</c:v>
                </c:pt>
                <c:pt idx="1">
                  <c:v>30873253.89999998</c:v>
                </c:pt>
                <c:pt idx="2">
                  <c:v>28777030.349999998</c:v>
                </c:pt>
                <c:pt idx="3">
                  <c:v>27758428.75</c:v>
                </c:pt>
              </c:numCache>
            </c:numRef>
          </c:val>
          <c:extLst>
            <c:ext xmlns:c16="http://schemas.microsoft.com/office/drawing/2014/chart" uri="{C3380CC4-5D6E-409C-BE32-E72D297353CC}">
              <c16:uniqueId val="{00000006-6567-4674-8C9B-4FCC790BB8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[MR'DYWS E-COMMERCE ORDER ANALYSIS.xlsx]Sheet6!PivotTable7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r>
              <a:rPr lang="en-US" sz="1600">
                <a:solidFill>
                  <a:schemeClr val="tx1">
                    <a:lumMod val="85000"/>
                    <a:lumOff val="15000"/>
                  </a:schemeClr>
                </a:solidFill>
                <a:latin typeface="Segoe UI Black" panose="020B0A02040204020203" pitchFamily="34" charset="0"/>
                <a:ea typeface="Segoe UI Black" panose="020B0A02040204020203" pitchFamily="34" charset="0"/>
              </a:rPr>
              <a:t>Product</a:t>
            </a:r>
            <a:r>
              <a:rPr lang="en-US" sz="1600" baseline="0">
                <a:solidFill>
                  <a:schemeClr val="tx1">
                    <a:lumMod val="85000"/>
                    <a:lumOff val="15000"/>
                  </a:schemeClr>
                </a:solidFill>
                <a:latin typeface="Segoe UI Black" panose="020B0A02040204020203" pitchFamily="34" charset="0"/>
                <a:ea typeface="Segoe UI Black" panose="020B0A02040204020203" pitchFamily="34" charset="0"/>
              </a:rPr>
              <a:t> Ratings</a:t>
            </a:r>
            <a:endParaRPr lang="en-US" sz="1600">
              <a:solidFill>
                <a:schemeClr val="tx1">
                  <a:lumMod val="85000"/>
                  <a:lumOff val="15000"/>
                </a:schemeClr>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Sheet6!$O$3:$O$4</c:f>
              <c:strCache>
                <c:ptCount val="1"/>
                <c:pt idx="0">
                  <c:v>1</c:v>
                </c:pt>
              </c:strCache>
            </c:strRef>
          </c:tx>
          <c:spPr>
            <a:solidFill>
              <a:srgbClr val="C00000"/>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Sheet6!$O$5:$O$17</c:f>
              <c:numCache>
                <c:formatCode>General</c:formatCode>
                <c:ptCount val="12"/>
                <c:pt idx="0">
                  <c:v>27</c:v>
                </c:pt>
                <c:pt idx="1">
                  <c:v>26</c:v>
                </c:pt>
                <c:pt idx="2">
                  <c:v>31</c:v>
                </c:pt>
                <c:pt idx="3">
                  <c:v>36</c:v>
                </c:pt>
                <c:pt idx="4">
                  <c:v>19</c:v>
                </c:pt>
                <c:pt idx="5">
                  <c:v>27</c:v>
                </c:pt>
                <c:pt idx="6">
                  <c:v>33</c:v>
                </c:pt>
                <c:pt idx="7">
                  <c:v>35</c:v>
                </c:pt>
                <c:pt idx="8">
                  <c:v>33</c:v>
                </c:pt>
                <c:pt idx="9">
                  <c:v>32</c:v>
                </c:pt>
                <c:pt idx="10">
                  <c:v>19</c:v>
                </c:pt>
                <c:pt idx="11">
                  <c:v>36</c:v>
                </c:pt>
              </c:numCache>
            </c:numRef>
          </c:val>
          <c:extLst>
            <c:ext xmlns:c16="http://schemas.microsoft.com/office/drawing/2014/chart" uri="{C3380CC4-5D6E-409C-BE32-E72D297353CC}">
              <c16:uniqueId val="{00000000-BA15-4CDA-BEFF-1935ED2A0B99}"/>
            </c:ext>
          </c:extLst>
        </c:ser>
        <c:ser>
          <c:idx val="1"/>
          <c:order val="1"/>
          <c:tx>
            <c:strRef>
              <c:f>Sheet6!$P$3:$P$4</c:f>
              <c:strCache>
                <c:ptCount val="1"/>
                <c:pt idx="0">
                  <c:v>2</c:v>
                </c:pt>
              </c:strCache>
            </c:strRef>
          </c:tx>
          <c:spPr>
            <a:solidFill>
              <a:srgbClr val="D09E00"/>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Sheet6!$P$5:$P$17</c:f>
              <c:numCache>
                <c:formatCode>General</c:formatCode>
                <c:ptCount val="12"/>
                <c:pt idx="0">
                  <c:v>42</c:v>
                </c:pt>
                <c:pt idx="1">
                  <c:v>64</c:v>
                </c:pt>
                <c:pt idx="2">
                  <c:v>72</c:v>
                </c:pt>
                <c:pt idx="3">
                  <c:v>80</c:v>
                </c:pt>
                <c:pt idx="4">
                  <c:v>86</c:v>
                </c:pt>
                <c:pt idx="5">
                  <c:v>100</c:v>
                </c:pt>
                <c:pt idx="6">
                  <c:v>42</c:v>
                </c:pt>
                <c:pt idx="7">
                  <c:v>68</c:v>
                </c:pt>
                <c:pt idx="8">
                  <c:v>50</c:v>
                </c:pt>
                <c:pt idx="9">
                  <c:v>86</c:v>
                </c:pt>
                <c:pt idx="10">
                  <c:v>46</c:v>
                </c:pt>
                <c:pt idx="11">
                  <c:v>68</c:v>
                </c:pt>
              </c:numCache>
            </c:numRef>
          </c:val>
          <c:extLst>
            <c:ext xmlns:c16="http://schemas.microsoft.com/office/drawing/2014/chart" uri="{C3380CC4-5D6E-409C-BE32-E72D297353CC}">
              <c16:uniqueId val="{00000003-80CF-4F9E-A995-0039ADA8FDFF}"/>
            </c:ext>
          </c:extLst>
        </c:ser>
        <c:ser>
          <c:idx val="2"/>
          <c:order val="2"/>
          <c:tx>
            <c:strRef>
              <c:f>Sheet6!$Q$3:$Q$4</c:f>
              <c:strCache>
                <c:ptCount val="1"/>
                <c:pt idx="0">
                  <c:v>3</c:v>
                </c:pt>
              </c:strCache>
            </c:strRef>
          </c:tx>
          <c:spPr>
            <a:solidFill>
              <a:schemeClr val="accent3"/>
            </a:solidFill>
            <a:ln>
              <a:noFill/>
            </a:ln>
            <a:effectLst/>
          </c:spPr>
          <c:invertIfNegative val="0"/>
          <c:cat>
            <c:strRef>
              <c:f>Sheet6!$N$5:$N$17</c:f>
              <c:strCache>
                <c:ptCount val="12"/>
                <c:pt idx="0">
                  <c:v>AirPods</c:v>
                </c:pt>
                <c:pt idx="1">
                  <c:v>Blender</c:v>
                </c:pt>
                <c:pt idx="2">
                  <c:v>Bluetooth Speaker</c:v>
                </c:pt>
                <c:pt idx="3">
                  <c:v>Electric Kettle</c:v>
                </c:pt>
                <c:pt idx="4">
                  <c:v>Gas Cylinder</c:v>
                </c:pt>
                <c:pt idx="5">
                  <c:v>Jersey</c:v>
                </c:pt>
                <c:pt idx="6">
                  <c:v>Phone Charger</c:v>
                </c:pt>
                <c:pt idx="7">
                  <c:v>Power Bank</c:v>
                </c:pt>
                <c:pt idx="8">
                  <c:v>Sneakers</c:v>
                </c:pt>
                <c:pt idx="9">
                  <c:v>T-shirt</c:v>
                </c:pt>
                <c:pt idx="10">
                  <c:v>Water Dispenser</c:v>
                </c:pt>
                <c:pt idx="11">
                  <c:v>Wristwatch</c:v>
                </c:pt>
              </c:strCache>
            </c:strRef>
          </c:cat>
          <c:val>
            <c:numRef>
              <c:f>Sheet6!$Q$5:$Q$17</c:f>
              <c:numCache>
                <c:formatCode>General</c:formatCode>
                <c:ptCount val="12"/>
                <c:pt idx="0">
                  <c:v>84</c:v>
                </c:pt>
                <c:pt idx="1">
                  <c:v>75</c:v>
                </c:pt>
                <c:pt idx="2">
                  <c:v>102</c:v>
                </c:pt>
                <c:pt idx="3">
                  <c:v>90</c:v>
                </c:pt>
                <c:pt idx="4">
                  <c:v>108</c:v>
                </c:pt>
                <c:pt idx="5">
                  <c:v>81</c:v>
                </c:pt>
                <c:pt idx="6">
                  <c:v>66</c:v>
                </c:pt>
                <c:pt idx="7">
                  <c:v>93</c:v>
                </c:pt>
                <c:pt idx="8">
                  <c:v>114</c:v>
                </c:pt>
                <c:pt idx="9">
                  <c:v>54</c:v>
                </c:pt>
                <c:pt idx="10">
                  <c:v>126</c:v>
                </c:pt>
                <c:pt idx="11">
                  <c:v>72</c:v>
                </c:pt>
              </c:numCache>
            </c:numRef>
          </c:val>
          <c:extLst>
            <c:ext xmlns:c16="http://schemas.microsoft.com/office/drawing/2014/chart" uri="{C3380CC4-5D6E-409C-BE32-E72D297353CC}">
              <c16:uniqueId val="{00000004-80CF-4F9E-A995-0039ADA8FDFF}"/>
            </c:ext>
          </c:extLst>
        </c:ser>
        <c:dLbls>
          <c:showLegendKey val="0"/>
          <c:showVal val="0"/>
          <c:showCatName val="0"/>
          <c:showSerName val="0"/>
          <c:showPercent val="0"/>
          <c:showBubbleSize val="0"/>
        </c:dLbls>
        <c:gapWidth val="219"/>
        <c:overlap val="-27"/>
        <c:axId val="325075039"/>
        <c:axId val="325063519"/>
      </c:barChart>
      <c:catAx>
        <c:axId val="325075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NG"/>
          </a:p>
        </c:txPr>
        <c:crossAx val="325063519"/>
        <c:crosses val="autoZero"/>
        <c:auto val="1"/>
        <c:lblAlgn val="ctr"/>
        <c:lblOffset val="100"/>
        <c:noMultiLvlLbl val="0"/>
      </c:catAx>
      <c:valAx>
        <c:axId val="325063519"/>
        <c:scaling>
          <c:orientation val="minMax"/>
        </c:scaling>
        <c:delete val="1"/>
        <c:axPos val="l"/>
        <c:numFmt formatCode="General" sourceLinked="1"/>
        <c:majorTickMark val="out"/>
        <c:minorTickMark val="none"/>
        <c:tickLblPos val="nextTo"/>
        <c:crossAx val="32507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image" Target="../media/image5.emf"/><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872145</xdr:colOff>
      <xdr:row>19</xdr:row>
      <xdr:rowOff>12700</xdr:rowOff>
    </xdr:from>
    <xdr:to>
      <xdr:col>6</xdr:col>
      <xdr:colOff>533186</xdr:colOff>
      <xdr:row>26</xdr:row>
      <xdr:rowOff>127000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BFE64DD-72D5-23A8-C59C-4A2DF151222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10910" y="3367001"/>
              <a:ext cx="1824990" cy="25342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84629</xdr:colOff>
      <xdr:row>18</xdr:row>
      <xdr:rowOff>112106</xdr:rowOff>
    </xdr:from>
    <xdr:to>
      <xdr:col>7</xdr:col>
      <xdr:colOff>1889991</xdr:colOff>
      <xdr:row>24</xdr:row>
      <xdr:rowOff>165100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AD1E392B-849E-67FB-F6AA-128D8D63372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996844" y="3354070"/>
              <a:ext cx="1823720" cy="25419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54725</xdr:colOff>
      <xdr:row>18</xdr:row>
      <xdr:rowOff>118687</xdr:rowOff>
    </xdr:from>
    <xdr:to>
      <xdr:col>10</xdr:col>
      <xdr:colOff>190070</xdr:colOff>
      <xdr:row>29</xdr:row>
      <xdr:rowOff>50800</xdr:rowOff>
    </xdr:to>
    <mc:AlternateContent xmlns:mc="http://schemas.openxmlformats.org/markup-compatibility/2006" xmlns:a14="http://schemas.microsoft.com/office/drawing/2010/main">
      <mc:Choice Requires="a14">
        <xdr:graphicFrame macro="">
          <xdr:nvGraphicFramePr>
            <xdr:cNvPr id="4" name="Sub Category">
              <a:extLst>
                <a:ext uri="{FF2B5EF4-FFF2-40B4-BE49-F238E27FC236}">
                  <a16:creationId xmlns:a16="http://schemas.microsoft.com/office/drawing/2014/main" id="{AFEC6551-F431-4375-70D0-CB43787BB773}"/>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9957608" y="3361921"/>
              <a:ext cx="1828800" cy="25380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854826</xdr:colOff>
      <xdr:row>18</xdr:row>
      <xdr:rowOff>136005</xdr:rowOff>
    </xdr:from>
    <xdr:to>
      <xdr:col>11</xdr:col>
      <xdr:colOff>532969</xdr:colOff>
      <xdr:row>26</xdr:row>
      <xdr:rowOff>127000</xdr:rowOff>
    </xdr:to>
    <mc:AlternateContent xmlns:mc="http://schemas.openxmlformats.org/markup-compatibility/2006" xmlns:a14="http://schemas.microsoft.com/office/drawing/2010/main">
      <mc:Choice Requires="a14">
        <xdr:graphicFrame macro="">
          <xdr:nvGraphicFramePr>
            <xdr:cNvPr id="5" name="Years (Order Date)">
              <a:extLst>
                <a:ext uri="{FF2B5EF4-FFF2-40B4-BE49-F238E27FC236}">
                  <a16:creationId xmlns:a16="http://schemas.microsoft.com/office/drawing/2014/main" id="{DD977512-3067-3A81-BB28-F84D7F95706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900709" y="3381779"/>
              <a:ext cx="1826260" cy="25165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438150</xdr:colOff>
      <xdr:row>34</xdr:row>
      <xdr:rowOff>88900</xdr:rowOff>
    </xdr:from>
    <xdr:to>
      <xdr:col>11</xdr:col>
      <xdr:colOff>1174750</xdr:colOff>
      <xdr:row>49</xdr:row>
      <xdr:rowOff>165100</xdr:rowOff>
    </xdr:to>
    <xdr:graphicFrame macro="">
      <xdr:nvGraphicFramePr>
        <xdr:cNvPr id="11" name="Chart 10">
          <a:extLst>
            <a:ext uri="{FF2B5EF4-FFF2-40B4-BE49-F238E27FC236}">
              <a16:creationId xmlns:a16="http://schemas.microsoft.com/office/drawing/2014/main" id="{FA81C71A-2930-7234-08E4-5C30F1AF8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247650</xdr:colOff>
      <xdr:row>31</xdr:row>
      <xdr:rowOff>139700</xdr:rowOff>
    </xdr:from>
    <xdr:to>
      <xdr:col>16</xdr:col>
      <xdr:colOff>361950</xdr:colOff>
      <xdr:row>47</xdr:row>
      <xdr:rowOff>38100</xdr:rowOff>
    </xdr:to>
    <xdr:graphicFrame macro="">
      <xdr:nvGraphicFramePr>
        <xdr:cNvPr id="12" name="Chart 11">
          <a:extLst>
            <a:ext uri="{FF2B5EF4-FFF2-40B4-BE49-F238E27FC236}">
              <a16:creationId xmlns:a16="http://schemas.microsoft.com/office/drawing/2014/main" id="{AE0F25C1-B8B1-8456-05EF-C4674B601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133350</xdr:colOff>
      <xdr:row>29</xdr:row>
      <xdr:rowOff>114300</xdr:rowOff>
    </xdr:from>
    <xdr:to>
      <xdr:col>26</xdr:col>
      <xdr:colOff>222250</xdr:colOff>
      <xdr:row>45</xdr:row>
      <xdr:rowOff>12700</xdr:rowOff>
    </xdr:to>
    <xdr:graphicFrame macro="">
      <xdr:nvGraphicFramePr>
        <xdr:cNvPr id="13" name="Chart 12">
          <a:extLst>
            <a:ext uri="{FF2B5EF4-FFF2-40B4-BE49-F238E27FC236}">
              <a16:creationId xmlns:a16="http://schemas.microsoft.com/office/drawing/2014/main" id="{CCBB0774-A44F-9CFD-2C7B-2A0A9F012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450850</xdr:colOff>
      <xdr:row>38</xdr:row>
      <xdr:rowOff>50800</xdr:rowOff>
    </xdr:from>
    <xdr:to>
      <xdr:col>29</xdr:col>
      <xdr:colOff>654050</xdr:colOff>
      <xdr:row>53</xdr:row>
      <xdr:rowOff>127000</xdr:rowOff>
    </xdr:to>
    <xdr:graphicFrame macro="">
      <xdr:nvGraphicFramePr>
        <xdr:cNvPr id="14" name="Chart 13">
          <a:extLst>
            <a:ext uri="{FF2B5EF4-FFF2-40B4-BE49-F238E27FC236}">
              <a16:creationId xmlns:a16="http://schemas.microsoft.com/office/drawing/2014/main" id="{9FE8EB43-DA56-38A9-1735-5EFD3AB3E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158750</xdr:colOff>
      <xdr:row>15</xdr:row>
      <xdr:rowOff>88900</xdr:rowOff>
    </xdr:from>
    <xdr:to>
      <xdr:col>16</xdr:col>
      <xdr:colOff>273050</xdr:colOff>
      <xdr:row>30</xdr:row>
      <xdr:rowOff>165100</xdr:rowOff>
    </xdr:to>
    <xdr:graphicFrame macro="">
      <xdr:nvGraphicFramePr>
        <xdr:cNvPr id="15" name="Chart 14">
          <a:extLst>
            <a:ext uri="{FF2B5EF4-FFF2-40B4-BE49-F238E27FC236}">
              <a16:creationId xmlns:a16="http://schemas.microsoft.com/office/drawing/2014/main" id="{96F4746A-6A58-D065-00CA-94079C74B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13138</xdr:colOff>
      <xdr:row>0</xdr:row>
      <xdr:rowOff>0</xdr:rowOff>
    </xdr:from>
    <xdr:to>
      <xdr:col>27</xdr:col>
      <xdr:colOff>287548</xdr:colOff>
      <xdr:row>44</xdr:row>
      <xdr:rowOff>0</xdr:rowOff>
    </xdr:to>
    <xdr:sp macro="" textlink="">
      <xdr:nvSpPr>
        <xdr:cNvPr id="2" name="Rectangle 1">
          <a:extLst>
            <a:ext uri="{FF2B5EF4-FFF2-40B4-BE49-F238E27FC236}">
              <a16:creationId xmlns:a16="http://schemas.microsoft.com/office/drawing/2014/main" id="{E0E1C21F-A990-2A24-885C-0EE6114B1169}"/>
            </a:ext>
          </a:extLst>
        </xdr:cNvPr>
        <xdr:cNvSpPr/>
      </xdr:nvSpPr>
      <xdr:spPr>
        <a:xfrm>
          <a:off x="616987" y="0"/>
          <a:ext cx="15974486" cy="822384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125555</xdr:colOff>
      <xdr:row>0</xdr:row>
      <xdr:rowOff>138547</xdr:rowOff>
    </xdr:from>
    <xdr:to>
      <xdr:col>4</xdr:col>
      <xdr:colOff>246528</xdr:colOff>
      <xdr:row>42</xdr:row>
      <xdr:rowOff>127000</xdr:rowOff>
    </xdr:to>
    <xdr:sp macro="" textlink="">
      <xdr:nvSpPr>
        <xdr:cNvPr id="4" name="Rectangle: Top Corners Rounded 3">
          <a:extLst>
            <a:ext uri="{FF2B5EF4-FFF2-40B4-BE49-F238E27FC236}">
              <a16:creationId xmlns:a16="http://schemas.microsoft.com/office/drawing/2014/main" id="{12FD04A1-DE99-BE69-6EF5-D7F67141154F}"/>
            </a:ext>
          </a:extLst>
        </xdr:cNvPr>
        <xdr:cNvSpPr/>
      </xdr:nvSpPr>
      <xdr:spPr>
        <a:xfrm rot="5400000">
          <a:off x="-2159874" y="3028321"/>
          <a:ext cx="7713556" cy="1934007"/>
        </a:xfrm>
        <a:prstGeom prst="round2SameRect">
          <a:avLst/>
        </a:prstGeom>
        <a:solidFill>
          <a:srgbClr val="D09E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NG" sz="1100"/>
        </a:p>
      </xdr:txBody>
    </xdr:sp>
    <xdr:clientData/>
  </xdr:twoCellAnchor>
  <xdr:twoCellAnchor>
    <xdr:from>
      <xdr:col>1</xdr:col>
      <xdr:colOff>129152</xdr:colOff>
      <xdr:row>1</xdr:row>
      <xdr:rowOff>77491</xdr:rowOff>
    </xdr:from>
    <xdr:to>
      <xdr:col>4</xdr:col>
      <xdr:colOff>309966</xdr:colOff>
      <xdr:row>3</xdr:row>
      <xdr:rowOff>129152</xdr:rowOff>
    </xdr:to>
    <xdr:sp macro="" textlink="">
      <xdr:nvSpPr>
        <xdr:cNvPr id="5" name="TextBox 4">
          <a:extLst>
            <a:ext uri="{FF2B5EF4-FFF2-40B4-BE49-F238E27FC236}">
              <a16:creationId xmlns:a16="http://schemas.microsoft.com/office/drawing/2014/main" id="{D0B1D6F7-9059-4DF8-3F24-A6DD4A196182}"/>
            </a:ext>
          </a:extLst>
        </xdr:cNvPr>
        <xdr:cNvSpPr txBox="1"/>
      </xdr:nvSpPr>
      <xdr:spPr>
        <a:xfrm>
          <a:off x="736169" y="258305"/>
          <a:ext cx="2001865" cy="41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Segoe UI Black" panose="020B0A02040204020203" pitchFamily="34" charset="0"/>
              <a:ea typeface="Segoe UI Black" panose="020B0A02040204020203" pitchFamily="34" charset="0"/>
            </a:rPr>
            <a:t>MR'D</a:t>
          </a:r>
          <a:r>
            <a:rPr lang="en-US" sz="2800">
              <a:solidFill>
                <a:schemeClr val="accent3">
                  <a:lumMod val="50000"/>
                </a:schemeClr>
              </a:solidFill>
              <a:latin typeface="Segoe UI Black" panose="020B0A02040204020203" pitchFamily="34" charset="0"/>
              <a:ea typeface="Segoe UI Black" panose="020B0A02040204020203" pitchFamily="34" charset="0"/>
            </a:rPr>
            <a:t>YWS</a:t>
          </a:r>
          <a:endParaRPr lang="en-NG" sz="2800">
            <a:solidFill>
              <a:schemeClr val="accent3">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30</xdr:col>
      <xdr:colOff>349089</xdr:colOff>
      <xdr:row>19</xdr:row>
      <xdr:rowOff>162655</xdr:rowOff>
    </xdr:from>
    <xdr:to>
      <xdr:col>33</xdr:col>
      <xdr:colOff>438737</xdr:colOff>
      <xdr:row>22</xdr:row>
      <xdr:rowOff>106626</xdr:rowOff>
    </xdr:to>
    <xdr:sp macro="" textlink="">
      <xdr:nvSpPr>
        <xdr:cNvPr id="6" name="TextBox 5">
          <a:extLst>
            <a:ext uri="{FF2B5EF4-FFF2-40B4-BE49-F238E27FC236}">
              <a16:creationId xmlns:a16="http://schemas.microsoft.com/office/drawing/2014/main" id="{30D766B1-A424-4F77-9A17-781D8CD4B133}"/>
            </a:ext>
          </a:extLst>
        </xdr:cNvPr>
        <xdr:cNvSpPr txBox="1"/>
      </xdr:nvSpPr>
      <xdr:spPr>
        <a:xfrm>
          <a:off x="18479434" y="3657345"/>
          <a:ext cx="1902682" cy="49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NG" sz="2800">
            <a:solidFill>
              <a:schemeClr val="accent3">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163128</xdr:colOff>
      <xdr:row>4</xdr:row>
      <xdr:rowOff>100311</xdr:rowOff>
    </xdr:from>
    <xdr:to>
      <xdr:col>4</xdr:col>
      <xdr:colOff>252776</xdr:colOff>
      <xdr:row>5</xdr:row>
      <xdr:rowOff>131620</xdr:rowOff>
    </xdr:to>
    <xdr:sp macro="" textlink="">
      <xdr:nvSpPr>
        <xdr:cNvPr id="7" name="TextBox 6">
          <a:extLst>
            <a:ext uri="{FF2B5EF4-FFF2-40B4-BE49-F238E27FC236}">
              <a16:creationId xmlns:a16="http://schemas.microsoft.com/office/drawing/2014/main" id="{56C1E05D-FB57-4033-BFAB-EE36331C1893}"/>
            </a:ext>
          </a:extLst>
        </xdr:cNvPr>
        <xdr:cNvSpPr txBox="1"/>
      </xdr:nvSpPr>
      <xdr:spPr>
        <a:xfrm>
          <a:off x="772728" y="811511"/>
          <a:ext cx="1918448" cy="20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Arial Narrow" panose="020B0606020202030204" pitchFamily="34" charset="0"/>
              <a:ea typeface="Segoe UI Black" panose="020B0A02040204020203" pitchFamily="34" charset="0"/>
            </a:rPr>
            <a:t>E-Commerce</a:t>
          </a:r>
          <a:r>
            <a:rPr lang="en-US" sz="1800" b="1" baseline="0">
              <a:solidFill>
                <a:schemeClr val="dk1"/>
              </a:solidFill>
              <a:latin typeface="Arial Narrow" panose="020B0606020202030204" pitchFamily="34" charset="0"/>
              <a:ea typeface="Segoe UI Black" panose="020B0A02040204020203" pitchFamily="34" charset="0"/>
            </a:rPr>
            <a:t> Order </a:t>
          </a:r>
          <a:endParaRPr lang="en-NG" sz="1800" b="1">
            <a:solidFill>
              <a:schemeClr val="accent3">
                <a:lumMod val="50000"/>
              </a:schemeClr>
            </a:solidFill>
            <a:latin typeface="Arial Narrow" panose="020B0606020202030204" pitchFamily="34" charset="0"/>
            <a:ea typeface="Segoe UI Black" panose="020B0A02040204020203" pitchFamily="34" charset="0"/>
          </a:endParaRPr>
        </a:p>
      </xdr:txBody>
    </xdr:sp>
    <xdr:clientData/>
  </xdr:twoCellAnchor>
  <xdr:twoCellAnchor>
    <xdr:from>
      <xdr:col>4</xdr:col>
      <xdr:colOff>398319</xdr:colOff>
      <xdr:row>1</xdr:row>
      <xdr:rowOff>87744</xdr:rowOff>
    </xdr:from>
    <xdr:to>
      <xdr:col>13</xdr:col>
      <xdr:colOff>152400</xdr:colOff>
      <xdr:row>11</xdr:row>
      <xdr:rowOff>3464</xdr:rowOff>
    </xdr:to>
    <xdr:grpSp>
      <xdr:nvGrpSpPr>
        <xdr:cNvPr id="12" name="Group 11">
          <a:extLst>
            <a:ext uri="{FF2B5EF4-FFF2-40B4-BE49-F238E27FC236}">
              <a16:creationId xmlns:a16="http://schemas.microsoft.com/office/drawing/2014/main" id="{F01359E1-2D4D-0D7A-5654-BF56E615221E}"/>
            </a:ext>
          </a:extLst>
        </xdr:cNvPr>
        <xdr:cNvGrpSpPr/>
      </xdr:nvGrpSpPr>
      <xdr:grpSpPr>
        <a:xfrm>
          <a:off x="2826387" y="268558"/>
          <a:ext cx="5217233" cy="1723855"/>
          <a:chOff x="2845955" y="272471"/>
          <a:chExt cx="5064991" cy="1762993"/>
        </a:xfrm>
      </xdr:grpSpPr>
      <xdr:sp macro="" textlink="">
        <xdr:nvSpPr>
          <xdr:cNvPr id="8" name="Rectangle: Rounded Corners 7">
            <a:extLst>
              <a:ext uri="{FF2B5EF4-FFF2-40B4-BE49-F238E27FC236}">
                <a16:creationId xmlns:a16="http://schemas.microsoft.com/office/drawing/2014/main" id="{DBDB18DF-B5FC-0C06-F4B2-12C3C662F80B}"/>
              </a:ext>
            </a:extLst>
          </xdr:cNvPr>
          <xdr:cNvSpPr/>
        </xdr:nvSpPr>
        <xdr:spPr>
          <a:xfrm>
            <a:off x="5484092" y="272471"/>
            <a:ext cx="2426854" cy="78509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9" name="Rectangle: Rounded Corners 8">
            <a:extLst>
              <a:ext uri="{FF2B5EF4-FFF2-40B4-BE49-F238E27FC236}">
                <a16:creationId xmlns:a16="http://schemas.microsoft.com/office/drawing/2014/main" id="{9E5A5FCC-AD8A-4716-B1F8-65011D6FA47C}"/>
              </a:ext>
            </a:extLst>
          </xdr:cNvPr>
          <xdr:cNvSpPr/>
        </xdr:nvSpPr>
        <xdr:spPr>
          <a:xfrm>
            <a:off x="2845955" y="272471"/>
            <a:ext cx="2426854" cy="785092"/>
          </a:xfrm>
          <a:prstGeom prst="roundRect">
            <a:avLst/>
          </a:prstGeom>
          <a:gradFill flip="none" rotWithShape="1">
            <a:gsLst>
              <a:gs pos="0">
                <a:srgbClr val="FFD200">
                  <a:alpha val="60000"/>
                </a:srgbClr>
              </a:gs>
              <a:gs pos="71000">
                <a:schemeClr val="accent3">
                  <a:lumMod val="50000"/>
                  <a:alpha val="45000"/>
                </a:schemeClr>
              </a:gs>
              <a:gs pos="33000">
                <a:schemeClr val="accent3">
                  <a:lumMod val="50000"/>
                  <a:alpha val="45000"/>
                </a:schemeClr>
              </a:gs>
              <a:gs pos="100000">
                <a:schemeClr val="accent3">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0" name="Rectangle: Rounded Corners 9">
            <a:extLst>
              <a:ext uri="{FF2B5EF4-FFF2-40B4-BE49-F238E27FC236}">
                <a16:creationId xmlns:a16="http://schemas.microsoft.com/office/drawing/2014/main" id="{997FC49B-EF11-4369-9F26-D83999C27BEB}"/>
              </a:ext>
            </a:extLst>
          </xdr:cNvPr>
          <xdr:cNvSpPr/>
        </xdr:nvSpPr>
        <xdr:spPr>
          <a:xfrm>
            <a:off x="2845955" y="1250372"/>
            <a:ext cx="2426854" cy="78509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1" name="Rectangle: Rounded Corners 10">
            <a:extLst>
              <a:ext uri="{FF2B5EF4-FFF2-40B4-BE49-F238E27FC236}">
                <a16:creationId xmlns:a16="http://schemas.microsoft.com/office/drawing/2014/main" id="{5EF17622-FD2A-4ACA-BAE6-D6E56075B8C4}"/>
              </a:ext>
            </a:extLst>
          </xdr:cNvPr>
          <xdr:cNvSpPr/>
        </xdr:nvSpPr>
        <xdr:spPr>
          <a:xfrm>
            <a:off x="5484092" y="1250372"/>
            <a:ext cx="2426854" cy="78509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4</xdr:col>
      <xdr:colOff>404091</xdr:colOff>
      <xdr:row>1</xdr:row>
      <xdr:rowOff>126999</xdr:rowOff>
    </xdr:from>
    <xdr:to>
      <xdr:col>6</xdr:col>
      <xdr:colOff>392546</xdr:colOff>
      <xdr:row>4</xdr:row>
      <xdr:rowOff>11545</xdr:rowOff>
    </xdr:to>
    <xdr:sp macro="" textlink="Sheet6!AF22">
      <xdr:nvSpPr>
        <xdr:cNvPr id="15" name="TextBox 14">
          <a:extLst>
            <a:ext uri="{FF2B5EF4-FFF2-40B4-BE49-F238E27FC236}">
              <a16:creationId xmlns:a16="http://schemas.microsoft.com/office/drawing/2014/main" id="{A655A2B6-EB76-69F8-1075-FF0598D329B5}"/>
            </a:ext>
          </a:extLst>
        </xdr:cNvPr>
        <xdr:cNvSpPr txBox="1"/>
      </xdr:nvSpPr>
      <xdr:spPr>
        <a:xfrm>
          <a:off x="2851727" y="311726"/>
          <a:ext cx="121227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F16619-9818-44E5-9867-6DEDF072B15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1111</a:t>
          </a:fld>
          <a:endParaRPr lang="en-NG" sz="2400">
            <a:latin typeface="Segoe UI Black" panose="020B0A02040204020203" pitchFamily="34" charset="0"/>
            <a:ea typeface="Segoe UI Black" panose="020B0A02040204020203" pitchFamily="34" charset="0"/>
          </a:endParaRPr>
        </a:p>
      </xdr:txBody>
    </xdr:sp>
    <xdr:clientData/>
  </xdr:twoCellAnchor>
  <xdr:twoCellAnchor>
    <xdr:from>
      <xdr:col>4</xdr:col>
      <xdr:colOff>482600</xdr:colOff>
      <xdr:row>3</xdr:row>
      <xdr:rowOff>101601</xdr:rowOff>
    </xdr:from>
    <xdr:to>
      <xdr:col>6</xdr:col>
      <xdr:colOff>469900</xdr:colOff>
      <xdr:row>5</xdr:row>
      <xdr:rowOff>88900</xdr:rowOff>
    </xdr:to>
    <xdr:sp macro="" textlink="">
      <xdr:nvSpPr>
        <xdr:cNvPr id="16" name="TextBox 15">
          <a:extLst>
            <a:ext uri="{FF2B5EF4-FFF2-40B4-BE49-F238E27FC236}">
              <a16:creationId xmlns:a16="http://schemas.microsoft.com/office/drawing/2014/main" id="{D0EBFAA2-80BC-5E59-BC74-AA7EFDABE028}"/>
            </a:ext>
          </a:extLst>
        </xdr:cNvPr>
        <xdr:cNvSpPr txBox="1"/>
      </xdr:nvSpPr>
      <xdr:spPr>
        <a:xfrm>
          <a:off x="2921000" y="635001"/>
          <a:ext cx="1206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TOTAL</a:t>
          </a:r>
          <a:r>
            <a:rPr lang="en-US" sz="1200" baseline="0">
              <a:latin typeface="Segoe UI Semibold" panose="020B0702040204020203" pitchFamily="34" charset="0"/>
              <a:cs typeface="Segoe UI Semibold" panose="020B0702040204020203" pitchFamily="34" charset="0"/>
            </a:rPr>
            <a:t> ORDER</a:t>
          </a:r>
          <a:endParaRPr lang="en-NG"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36944</xdr:colOff>
      <xdr:row>1</xdr:row>
      <xdr:rowOff>115453</xdr:rowOff>
    </xdr:from>
    <xdr:to>
      <xdr:col>11</xdr:col>
      <xdr:colOff>173181</xdr:colOff>
      <xdr:row>4</xdr:row>
      <xdr:rowOff>57727</xdr:rowOff>
    </xdr:to>
    <xdr:sp macro="" textlink="Sheet6!AG22">
      <xdr:nvSpPr>
        <xdr:cNvPr id="19" name="TextBox 18">
          <a:extLst>
            <a:ext uri="{FF2B5EF4-FFF2-40B4-BE49-F238E27FC236}">
              <a16:creationId xmlns:a16="http://schemas.microsoft.com/office/drawing/2014/main" id="{3DE6A5D7-DE32-4EE8-A20B-79E470376F5F}"/>
            </a:ext>
          </a:extLst>
        </xdr:cNvPr>
        <xdr:cNvSpPr txBox="1"/>
      </xdr:nvSpPr>
      <xdr:spPr>
        <a:xfrm>
          <a:off x="5544126" y="300180"/>
          <a:ext cx="1360055" cy="49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460898-2FC5-47F8-995B-1C4DFE0777B3}"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N118.32M</a:t>
          </a:fld>
          <a:endParaRPr lang="en-NG"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84959</xdr:colOff>
      <xdr:row>3</xdr:row>
      <xdr:rowOff>165537</xdr:rowOff>
    </xdr:from>
    <xdr:to>
      <xdr:col>11</xdr:col>
      <xdr:colOff>72259</xdr:colOff>
      <xdr:row>5</xdr:row>
      <xdr:rowOff>102037</xdr:rowOff>
    </xdr:to>
    <xdr:sp macro="" textlink="">
      <xdr:nvSpPr>
        <xdr:cNvPr id="25" name="TextBox 24">
          <a:extLst>
            <a:ext uri="{FF2B5EF4-FFF2-40B4-BE49-F238E27FC236}">
              <a16:creationId xmlns:a16="http://schemas.microsoft.com/office/drawing/2014/main" id="{9F6A60BA-71F8-B1DF-2B9B-CE67DC841204}"/>
            </a:ext>
          </a:extLst>
        </xdr:cNvPr>
        <xdr:cNvSpPr txBox="1"/>
      </xdr:nvSpPr>
      <xdr:spPr>
        <a:xfrm>
          <a:off x="5524062" y="717330"/>
          <a:ext cx="1195990" cy="30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TOTAL</a:t>
          </a:r>
          <a:r>
            <a:rPr lang="en-US" sz="1200" baseline="0">
              <a:latin typeface="Segoe UI Semibold" panose="020B0702040204020203" pitchFamily="34" charset="0"/>
              <a:cs typeface="Segoe UI Semibold" panose="020B0702040204020203" pitchFamily="34" charset="0"/>
            </a:rPr>
            <a:t> SALES</a:t>
          </a:r>
        </a:p>
      </xdr:txBody>
    </xdr:sp>
    <xdr:clientData/>
  </xdr:twoCellAnchor>
  <xdr:twoCellAnchor>
    <xdr:from>
      <xdr:col>5</xdr:col>
      <xdr:colOff>25829</xdr:colOff>
      <xdr:row>6</xdr:row>
      <xdr:rowOff>147701</xdr:rowOff>
    </xdr:from>
    <xdr:to>
      <xdr:col>7</xdr:col>
      <xdr:colOff>12914</xdr:colOff>
      <xdr:row>8</xdr:row>
      <xdr:rowOff>129154</xdr:rowOff>
    </xdr:to>
    <xdr:sp macro="" textlink="Sheet6!AH22">
      <xdr:nvSpPr>
        <xdr:cNvPr id="26" name="TextBox 25">
          <a:extLst>
            <a:ext uri="{FF2B5EF4-FFF2-40B4-BE49-F238E27FC236}">
              <a16:creationId xmlns:a16="http://schemas.microsoft.com/office/drawing/2014/main" id="{018FED0A-66F0-4E49-B1D2-EC955500A6AD}"/>
            </a:ext>
          </a:extLst>
        </xdr:cNvPr>
        <xdr:cNvSpPr txBox="1"/>
      </xdr:nvSpPr>
      <xdr:spPr>
        <a:xfrm>
          <a:off x="3060914" y="1232582"/>
          <a:ext cx="1201119" cy="343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D463EC-8AD9-4081-A556-B56F97FB1483}"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a:t>
          </a:fld>
          <a:r>
            <a:rPr lang="en-US" sz="1800" b="0" i="0" u="none" strike="noStrike">
              <a:solidFill>
                <a:srgbClr val="000000"/>
              </a:solidFill>
              <a:latin typeface="Segoe UI Black" panose="020B0A02040204020203" pitchFamily="34" charset="0"/>
              <a:ea typeface="Segoe UI Black" panose="020B0A02040204020203" pitchFamily="34" charset="0"/>
              <a:cs typeface="Calibri"/>
            </a:rPr>
            <a:t> DAYS</a:t>
          </a:r>
          <a:endParaRPr lang="en-NG"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431800</xdr:colOff>
      <xdr:row>9</xdr:row>
      <xdr:rowOff>0</xdr:rowOff>
    </xdr:from>
    <xdr:to>
      <xdr:col>7</xdr:col>
      <xdr:colOff>393699</xdr:colOff>
      <xdr:row>10</xdr:row>
      <xdr:rowOff>101600</xdr:rowOff>
    </xdr:to>
    <xdr:sp macro="" textlink="">
      <xdr:nvSpPr>
        <xdr:cNvPr id="28" name="TextBox 27">
          <a:extLst>
            <a:ext uri="{FF2B5EF4-FFF2-40B4-BE49-F238E27FC236}">
              <a16:creationId xmlns:a16="http://schemas.microsoft.com/office/drawing/2014/main" id="{EBE5B72B-C5CB-81A8-CB90-09116229C507}"/>
            </a:ext>
          </a:extLst>
        </xdr:cNvPr>
        <xdr:cNvSpPr txBox="1"/>
      </xdr:nvSpPr>
      <xdr:spPr>
        <a:xfrm>
          <a:off x="2870200" y="1600200"/>
          <a:ext cx="179069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DELIVERY TIME</a:t>
          </a:r>
          <a:endParaRPr lang="en-NG"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77073</xdr:colOff>
      <xdr:row>6</xdr:row>
      <xdr:rowOff>157654</xdr:rowOff>
    </xdr:from>
    <xdr:to>
      <xdr:col>11</xdr:col>
      <xdr:colOff>367862</xdr:colOff>
      <xdr:row>9</xdr:row>
      <xdr:rowOff>12262</xdr:rowOff>
    </xdr:to>
    <xdr:sp macro="" textlink="Sheet6!AI22">
      <xdr:nvSpPr>
        <xdr:cNvPr id="29" name="TextBox 28">
          <a:extLst>
            <a:ext uri="{FF2B5EF4-FFF2-40B4-BE49-F238E27FC236}">
              <a16:creationId xmlns:a16="http://schemas.microsoft.com/office/drawing/2014/main" id="{8E6E6CDB-B870-4757-9F08-0DBC4F3AE64A}"/>
            </a:ext>
          </a:extLst>
        </xdr:cNvPr>
        <xdr:cNvSpPr txBox="1"/>
      </xdr:nvSpPr>
      <xdr:spPr>
        <a:xfrm>
          <a:off x="5516176" y="1261240"/>
          <a:ext cx="1499479" cy="4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78B970-EBB7-4BCF-A574-8A582B6A3A69}"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N106,503</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128752</xdr:colOff>
      <xdr:row>9</xdr:row>
      <xdr:rowOff>12701</xdr:rowOff>
    </xdr:from>
    <xdr:to>
      <xdr:col>11</xdr:col>
      <xdr:colOff>141451</xdr:colOff>
      <xdr:row>10</xdr:row>
      <xdr:rowOff>88901</xdr:rowOff>
    </xdr:to>
    <xdr:sp macro="" textlink="">
      <xdr:nvSpPr>
        <xdr:cNvPr id="32" name="TextBox 31">
          <a:extLst>
            <a:ext uri="{FF2B5EF4-FFF2-40B4-BE49-F238E27FC236}">
              <a16:creationId xmlns:a16="http://schemas.microsoft.com/office/drawing/2014/main" id="{28E7C445-FE09-B2F3-C106-783FB812729D}"/>
            </a:ext>
          </a:extLst>
        </xdr:cNvPr>
        <xdr:cNvSpPr txBox="1"/>
      </xdr:nvSpPr>
      <xdr:spPr>
        <a:xfrm>
          <a:off x="5567855" y="1668080"/>
          <a:ext cx="1221389" cy="26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SALES</a:t>
          </a:r>
          <a:endParaRPr lang="en-NG" sz="1200">
            <a:latin typeface="Segoe UI Semibold" panose="020B0702040204020203" pitchFamily="34" charset="0"/>
            <a:cs typeface="Segoe UI Semibold" panose="020B0702040204020203" pitchFamily="34" charset="0"/>
          </a:endParaRPr>
        </a:p>
      </xdr:txBody>
    </xdr:sp>
    <xdr:clientData/>
  </xdr:twoCellAnchor>
  <xdr:twoCellAnchor editAs="oneCell">
    <xdr:from>
      <xdr:col>7</xdr:col>
      <xdr:colOff>283687</xdr:colOff>
      <xdr:row>6</xdr:row>
      <xdr:rowOff>161637</xdr:rowOff>
    </xdr:from>
    <xdr:to>
      <xdr:col>8</xdr:col>
      <xdr:colOff>242452</xdr:colOff>
      <xdr:row>9</xdr:row>
      <xdr:rowOff>103909</xdr:rowOff>
    </xdr:to>
    <xdr:pic>
      <xdr:nvPicPr>
        <xdr:cNvPr id="34" name="Picture 33">
          <a:extLst>
            <a:ext uri="{FF2B5EF4-FFF2-40B4-BE49-F238E27FC236}">
              <a16:creationId xmlns:a16="http://schemas.microsoft.com/office/drawing/2014/main" id="{85EAC02D-16BF-1217-DF5B-A7F864DCDA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67051" y="1270001"/>
          <a:ext cx="570674" cy="496453"/>
        </a:xfrm>
        <a:prstGeom prst="rect">
          <a:avLst/>
        </a:prstGeom>
        <a:ln>
          <a:noFill/>
        </a:ln>
      </xdr:spPr>
    </xdr:pic>
    <xdr:clientData/>
  </xdr:twoCellAnchor>
  <xdr:twoCellAnchor editAs="oneCell">
    <xdr:from>
      <xdr:col>7</xdr:col>
      <xdr:colOff>415636</xdr:colOff>
      <xdr:row>1</xdr:row>
      <xdr:rowOff>173183</xdr:rowOff>
    </xdr:from>
    <xdr:to>
      <xdr:col>8</xdr:col>
      <xdr:colOff>144885</xdr:colOff>
      <xdr:row>3</xdr:row>
      <xdr:rowOff>141172</xdr:rowOff>
    </xdr:to>
    <xdr:pic>
      <xdr:nvPicPr>
        <xdr:cNvPr id="36" name="Picture 35">
          <a:extLst>
            <a:ext uri="{FF2B5EF4-FFF2-40B4-BE49-F238E27FC236}">
              <a16:creationId xmlns:a16="http://schemas.microsoft.com/office/drawing/2014/main" id="{45634910-6608-D54E-D2B7-AAD5A83519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99000" y="357910"/>
          <a:ext cx="341158" cy="337444"/>
        </a:xfrm>
        <a:prstGeom prst="rect">
          <a:avLst/>
        </a:prstGeom>
        <a:ln>
          <a:noFill/>
        </a:ln>
        <a:effectLst>
          <a:outerShdw blurRad="50800" dist="38100" dir="8100000" algn="tr" rotWithShape="0">
            <a:prstClr val="black">
              <a:alpha val="40000"/>
            </a:prstClr>
          </a:outerShdw>
        </a:effectLst>
      </xdr:spPr>
    </xdr:pic>
    <xdr:clientData/>
  </xdr:twoCellAnchor>
  <xdr:twoCellAnchor editAs="oneCell">
    <xdr:from>
      <xdr:col>11</xdr:col>
      <xdr:colOff>577272</xdr:colOff>
      <xdr:row>1</xdr:row>
      <xdr:rowOff>103910</xdr:rowOff>
    </xdr:from>
    <xdr:to>
      <xdr:col>12</xdr:col>
      <xdr:colOff>461772</xdr:colOff>
      <xdr:row>4</xdr:row>
      <xdr:rowOff>111239</xdr:rowOff>
    </xdr:to>
    <xdr:pic>
      <xdr:nvPicPr>
        <xdr:cNvPr id="38" name="Picture 37">
          <a:extLst>
            <a:ext uri="{FF2B5EF4-FFF2-40B4-BE49-F238E27FC236}">
              <a16:creationId xmlns:a16="http://schemas.microsoft.com/office/drawing/2014/main" id="{ACFAD26C-D92C-201C-B0A0-37AF271101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08272" y="288637"/>
          <a:ext cx="496409" cy="561511"/>
        </a:xfrm>
        <a:prstGeom prst="rect">
          <a:avLst/>
        </a:prstGeom>
      </xdr:spPr>
    </xdr:pic>
    <xdr:clientData/>
  </xdr:twoCellAnchor>
  <xdr:twoCellAnchor editAs="oneCell">
    <xdr:from>
      <xdr:col>11</xdr:col>
      <xdr:colOff>484909</xdr:colOff>
      <xdr:row>6</xdr:row>
      <xdr:rowOff>173181</xdr:rowOff>
    </xdr:from>
    <xdr:to>
      <xdr:col>12</xdr:col>
      <xdr:colOff>423098</xdr:colOff>
      <xdr:row>9</xdr:row>
      <xdr:rowOff>124495</xdr:rowOff>
    </xdr:to>
    <xdr:pic>
      <xdr:nvPicPr>
        <xdr:cNvPr id="40" name="Picture 39">
          <a:extLst>
            <a:ext uri="{FF2B5EF4-FFF2-40B4-BE49-F238E27FC236}">
              <a16:creationId xmlns:a16="http://schemas.microsoft.com/office/drawing/2014/main" id="{F10D0F67-7180-0143-A262-CC7A258207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15909" y="1281545"/>
          <a:ext cx="550098" cy="505495"/>
        </a:xfrm>
        <a:prstGeom prst="rect">
          <a:avLst/>
        </a:prstGeom>
        <a:ln>
          <a:noFill/>
        </a:ln>
      </xdr:spPr>
    </xdr:pic>
    <xdr:clientData/>
  </xdr:twoCellAnchor>
  <xdr:twoCellAnchor>
    <xdr:from>
      <xdr:col>4</xdr:col>
      <xdr:colOff>444500</xdr:colOff>
      <xdr:row>11</xdr:row>
      <xdr:rowOff>139700</xdr:rowOff>
    </xdr:from>
    <xdr:to>
      <xdr:col>13</xdr:col>
      <xdr:colOff>282865</xdr:colOff>
      <xdr:row>42</xdr:row>
      <xdr:rowOff>152399</xdr:rowOff>
    </xdr:to>
    <xdr:sp macro="" textlink="">
      <xdr:nvSpPr>
        <xdr:cNvPr id="41" name="Rectangle: Rounded Corners 40">
          <a:extLst>
            <a:ext uri="{FF2B5EF4-FFF2-40B4-BE49-F238E27FC236}">
              <a16:creationId xmlns:a16="http://schemas.microsoft.com/office/drawing/2014/main" id="{521721F1-1727-43FA-A6C9-D42725A01480}"/>
            </a:ext>
          </a:extLst>
        </xdr:cNvPr>
        <xdr:cNvSpPr/>
      </xdr:nvSpPr>
      <xdr:spPr>
        <a:xfrm>
          <a:off x="2882900" y="2095500"/>
          <a:ext cx="5324765" cy="552449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520700</xdr:colOff>
      <xdr:row>38</xdr:row>
      <xdr:rowOff>12700</xdr:rowOff>
    </xdr:from>
    <xdr:to>
      <xdr:col>24</xdr:col>
      <xdr:colOff>241300</xdr:colOff>
      <xdr:row>39</xdr:row>
      <xdr:rowOff>152400</xdr:rowOff>
    </xdr:to>
    <xdr:sp macro="" textlink="">
      <xdr:nvSpPr>
        <xdr:cNvPr id="46" name="TextBox 45">
          <a:extLst>
            <a:ext uri="{FF2B5EF4-FFF2-40B4-BE49-F238E27FC236}">
              <a16:creationId xmlns:a16="http://schemas.microsoft.com/office/drawing/2014/main" id="{0843A88F-D085-37ED-2D87-C20E17503AC1}"/>
            </a:ext>
          </a:extLst>
        </xdr:cNvPr>
        <xdr:cNvSpPr txBox="1"/>
      </xdr:nvSpPr>
      <xdr:spPr>
        <a:xfrm>
          <a:off x="12712700" y="6769100"/>
          <a:ext cx="2159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NG" sz="11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571500</xdr:colOff>
      <xdr:row>28</xdr:row>
      <xdr:rowOff>139700</xdr:rowOff>
    </xdr:from>
    <xdr:to>
      <xdr:col>13</xdr:col>
      <xdr:colOff>241300</xdr:colOff>
      <xdr:row>28</xdr:row>
      <xdr:rowOff>152400</xdr:rowOff>
    </xdr:to>
    <xdr:cxnSp macro="">
      <xdr:nvCxnSpPr>
        <xdr:cNvPr id="49" name="Straight Connector 48">
          <a:extLst>
            <a:ext uri="{FF2B5EF4-FFF2-40B4-BE49-F238E27FC236}">
              <a16:creationId xmlns:a16="http://schemas.microsoft.com/office/drawing/2014/main" id="{CC0E3F42-41B6-48EF-AD1B-0C410E1C7FF5}"/>
            </a:ext>
          </a:extLst>
        </xdr:cNvPr>
        <xdr:cNvCxnSpPr/>
      </xdr:nvCxnSpPr>
      <xdr:spPr>
        <a:xfrm flipV="1">
          <a:off x="3009900" y="5118100"/>
          <a:ext cx="5156200" cy="12700"/>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512619</xdr:colOff>
      <xdr:row>1</xdr:row>
      <xdr:rowOff>26276</xdr:rowOff>
    </xdr:from>
    <xdr:to>
      <xdr:col>27</xdr:col>
      <xdr:colOff>105104</xdr:colOff>
      <xdr:row>43</xdr:row>
      <xdr:rowOff>38100</xdr:rowOff>
    </xdr:to>
    <xdr:sp macro="" textlink="">
      <xdr:nvSpPr>
        <xdr:cNvPr id="73" name="Rectangle: Rounded Corners 72">
          <a:extLst>
            <a:ext uri="{FF2B5EF4-FFF2-40B4-BE49-F238E27FC236}">
              <a16:creationId xmlns:a16="http://schemas.microsoft.com/office/drawing/2014/main" id="{A01FDBAD-92B0-4517-B890-EC728B7214FA}"/>
            </a:ext>
          </a:extLst>
        </xdr:cNvPr>
        <xdr:cNvSpPr/>
      </xdr:nvSpPr>
      <xdr:spPr>
        <a:xfrm>
          <a:off x="8369102" y="210207"/>
          <a:ext cx="8053312" cy="7736927"/>
        </a:xfrm>
        <a:prstGeom prst="roundRect">
          <a:avLst/>
        </a:prstGeom>
        <a:solidFill>
          <a:srgbClr val="FAFAF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29</xdr:col>
      <xdr:colOff>0</xdr:colOff>
      <xdr:row>34</xdr:row>
      <xdr:rowOff>0</xdr:rowOff>
    </xdr:from>
    <xdr:to>
      <xdr:col>30</xdr:col>
      <xdr:colOff>7620</xdr:colOff>
      <xdr:row>35</xdr:row>
      <xdr:rowOff>7620</xdr:rowOff>
    </xdr:to>
    <xdr:pic>
      <xdr:nvPicPr>
        <xdr:cNvPr id="74" name="Picture 73">
          <a:extLst>
            <a:ext uri="{FF2B5EF4-FFF2-40B4-BE49-F238E27FC236}">
              <a16:creationId xmlns:a16="http://schemas.microsoft.com/office/drawing/2014/main" id="{3C370363-D605-9FE8-2391-F16F6B54A2D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678400" y="62179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34</xdr:row>
      <xdr:rowOff>0</xdr:rowOff>
    </xdr:from>
    <xdr:to>
      <xdr:col>30</xdr:col>
      <xdr:colOff>7620</xdr:colOff>
      <xdr:row>35</xdr:row>
      <xdr:rowOff>7620</xdr:rowOff>
    </xdr:to>
    <xdr:pic>
      <xdr:nvPicPr>
        <xdr:cNvPr id="75" name="Picture 74">
          <a:extLst>
            <a:ext uri="{FF2B5EF4-FFF2-40B4-BE49-F238E27FC236}">
              <a16:creationId xmlns:a16="http://schemas.microsoft.com/office/drawing/2014/main" id="{1CC29D24-F646-0AD7-C388-BEC15954193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678400" y="62179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63500</xdr:colOff>
      <xdr:row>13</xdr:row>
      <xdr:rowOff>114300</xdr:rowOff>
    </xdr:from>
    <xdr:to>
      <xdr:col>13</xdr:col>
      <xdr:colOff>177800</xdr:colOff>
      <xdr:row>28</xdr:row>
      <xdr:rowOff>25400</xdr:rowOff>
    </xdr:to>
    <xdr:graphicFrame macro="">
      <xdr:nvGraphicFramePr>
        <xdr:cNvPr id="76" name="Chart 75">
          <a:extLst>
            <a:ext uri="{FF2B5EF4-FFF2-40B4-BE49-F238E27FC236}">
              <a16:creationId xmlns:a16="http://schemas.microsoft.com/office/drawing/2014/main" id="{B69FD48C-E35A-4DD4-A727-9F62111B4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310055</xdr:colOff>
      <xdr:row>2</xdr:row>
      <xdr:rowOff>179114</xdr:rowOff>
    </xdr:from>
    <xdr:to>
      <xdr:col>19</xdr:col>
      <xdr:colOff>381000</xdr:colOff>
      <xdr:row>20</xdr:row>
      <xdr:rowOff>153714</xdr:rowOff>
    </xdr:to>
    <xdr:graphicFrame macro="">
      <xdr:nvGraphicFramePr>
        <xdr:cNvPr id="77" name="Chart 76">
          <a:extLst>
            <a:ext uri="{FF2B5EF4-FFF2-40B4-BE49-F238E27FC236}">
              <a16:creationId xmlns:a16="http://schemas.microsoft.com/office/drawing/2014/main" id="{B09D6292-4C3E-4DCA-8FC3-363A5E6DB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177800</xdr:colOff>
      <xdr:row>29</xdr:row>
      <xdr:rowOff>76200</xdr:rowOff>
    </xdr:from>
    <xdr:to>
      <xdr:col>13</xdr:col>
      <xdr:colOff>127000</xdr:colOff>
      <xdr:row>40</xdr:row>
      <xdr:rowOff>152400</xdr:rowOff>
    </xdr:to>
    <xdr:graphicFrame macro="">
      <xdr:nvGraphicFramePr>
        <xdr:cNvPr id="80" name="Chart 79">
          <a:extLst>
            <a:ext uri="{FF2B5EF4-FFF2-40B4-BE49-F238E27FC236}">
              <a16:creationId xmlns:a16="http://schemas.microsoft.com/office/drawing/2014/main" id="{591A151F-4160-4814-BB45-23BA42444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20583</xdr:colOff>
      <xdr:row>3</xdr:row>
      <xdr:rowOff>105104</xdr:rowOff>
    </xdr:from>
    <xdr:to>
      <xdr:col>25</xdr:col>
      <xdr:colOff>561428</xdr:colOff>
      <xdr:row>20</xdr:row>
      <xdr:rowOff>35473</xdr:rowOff>
    </xdr:to>
    <xdr:graphicFrame macro="">
      <xdr:nvGraphicFramePr>
        <xdr:cNvPr id="81" name="Chart 80">
          <a:extLst>
            <a:ext uri="{FF2B5EF4-FFF2-40B4-BE49-F238E27FC236}">
              <a16:creationId xmlns:a16="http://schemas.microsoft.com/office/drawing/2014/main" id="{64AA5774-530D-40D7-BDAB-0F2C3487D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266700</xdr:colOff>
      <xdr:row>20</xdr:row>
      <xdr:rowOff>63500</xdr:rowOff>
    </xdr:from>
    <xdr:to>
      <xdr:col>26</xdr:col>
      <xdr:colOff>144517</xdr:colOff>
      <xdr:row>40</xdr:row>
      <xdr:rowOff>165100</xdr:rowOff>
    </xdr:to>
    <xdr:graphicFrame macro="">
      <xdr:nvGraphicFramePr>
        <xdr:cNvPr id="84" name="Chart 83">
          <a:extLst>
            <a:ext uri="{FF2B5EF4-FFF2-40B4-BE49-F238E27FC236}">
              <a16:creationId xmlns:a16="http://schemas.microsoft.com/office/drawing/2014/main" id="{B0BE7351-1408-4B43-93CB-B9CDC01A4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52551</xdr:colOff>
      <xdr:row>2</xdr:row>
      <xdr:rowOff>28755</xdr:rowOff>
    </xdr:from>
    <xdr:to>
      <xdr:col>20</xdr:col>
      <xdr:colOff>86264</xdr:colOff>
      <xdr:row>20</xdr:row>
      <xdr:rowOff>0</xdr:rowOff>
    </xdr:to>
    <xdr:cxnSp macro="">
      <xdr:nvCxnSpPr>
        <xdr:cNvPr id="86" name="Straight Connector 85">
          <a:extLst>
            <a:ext uri="{FF2B5EF4-FFF2-40B4-BE49-F238E27FC236}">
              <a16:creationId xmlns:a16="http://schemas.microsoft.com/office/drawing/2014/main" id="{968D8FDD-7D7C-7DB2-327E-7C5E4F61573E}"/>
            </a:ext>
          </a:extLst>
        </xdr:cNvPr>
        <xdr:cNvCxnSpPr/>
      </xdr:nvCxnSpPr>
      <xdr:spPr>
        <a:xfrm flipH="1">
          <a:off x="12129532" y="402566"/>
          <a:ext cx="33713" cy="3335547"/>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571500</xdr:colOff>
      <xdr:row>20</xdr:row>
      <xdr:rowOff>152400</xdr:rowOff>
    </xdr:from>
    <xdr:to>
      <xdr:col>26</xdr:col>
      <xdr:colOff>480646</xdr:colOff>
      <xdr:row>21</xdr:row>
      <xdr:rowOff>11723</xdr:rowOff>
    </xdr:to>
    <xdr:cxnSp macro="">
      <xdr:nvCxnSpPr>
        <xdr:cNvPr id="92" name="Straight Connector 91">
          <a:extLst>
            <a:ext uri="{FF2B5EF4-FFF2-40B4-BE49-F238E27FC236}">
              <a16:creationId xmlns:a16="http://schemas.microsoft.com/office/drawing/2014/main" id="{31F00DF6-ECD1-8C32-3B5A-F1444BE8763B}"/>
            </a:ext>
          </a:extLst>
        </xdr:cNvPr>
        <xdr:cNvCxnSpPr/>
      </xdr:nvCxnSpPr>
      <xdr:spPr>
        <a:xfrm>
          <a:off x="8496300" y="3903785"/>
          <a:ext cx="7833946" cy="46892"/>
        </a:xfrm>
        <a:prstGeom prst="line">
          <a:avLst/>
        </a:prstGeom>
        <a:ln>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245919</xdr:colOff>
      <xdr:row>8</xdr:row>
      <xdr:rowOff>96982</xdr:rowOff>
    </xdr:from>
    <xdr:to>
      <xdr:col>4</xdr:col>
      <xdr:colOff>38793</xdr:colOff>
      <xdr:row>13</xdr:row>
      <xdr:rowOff>55419</xdr:rowOff>
    </xdr:to>
    <mc:AlternateContent xmlns:mc="http://schemas.openxmlformats.org/markup-compatibility/2006" xmlns:a14="http://schemas.microsoft.com/office/drawing/2010/main">
      <mc:Choice Requires="a14">
        <xdr:graphicFrame macro="">
          <xdr:nvGraphicFramePr>
            <xdr:cNvPr id="98" name="Years (Order Date) 1">
              <a:extLst>
                <a:ext uri="{FF2B5EF4-FFF2-40B4-BE49-F238E27FC236}">
                  <a16:creationId xmlns:a16="http://schemas.microsoft.com/office/drawing/2014/main" id="{EAD1FF0A-19EC-4E0D-A874-A0C125FE52B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852936" y="1543490"/>
              <a:ext cx="1613925" cy="8625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279400</xdr:colOff>
      <xdr:row>5</xdr:row>
      <xdr:rowOff>165100</xdr:rowOff>
    </xdr:from>
    <xdr:to>
      <xdr:col>4</xdr:col>
      <xdr:colOff>139700</xdr:colOff>
      <xdr:row>7</xdr:row>
      <xdr:rowOff>127000</xdr:rowOff>
    </xdr:to>
    <xdr:sp macro="" textlink="">
      <xdr:nvSpPr>
        <xdr:cNvPr id="101" name="TextBox 100">
          <a:extLst>
            <a:ext uri="{FF2B5EF4-FFF2-40B4-BE49-F238E27FC236}">
              <a16:creationId xmlns:a16="http://schemas.microsoft.com/office/drawing/2014/main" id="{AA291477-446E-D5F6-72CF-D345CC8F2EF8}"/>
            </a:ext>
          </a:extLst>
        </xdr:cNvPr>
        <xdr:cNvSpPr txBox="1"/>
      </xdr:nvSpPr>
      <xdr:spPr>
        <a:xfrm>
          <a:off x="889000" y="1054100"/>
          <a:ext cx="1689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lumMod val="95000"/>
                  <a:lumOff val="5000"/>
                </a:schemeClr>
              </a:solidFill>
              <a:latin typeface="Segoe UI Semibold" panose="020B0702040204020203" pitchFamily="34" charset="0"/>
              <a:cs typeface="Segoe UI Semibold" panose="020B0702040204020203" pitchFamily="34" charset="0"/>
            </a:rPr>
            <a:t>Analysis</a:t>
          </a:r>
          <a:endParaRPr lang="en-NG" sz="18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167899</xdr:colOff>
      <xdr:row>14</xdr:row>
      <xdr:rowOff>90406</xdr:rowOff>
    </xdr:from>
    <xdr:to>
      <xdr:col>4</xdr:col>
      <xdr:colOff>180814</xdr:colOff>
      <xdr:row>20</xdr:row>
      <xdr:rowOff>167899</xdr:rowOff>
    </xdr:to>
    <xdr:sp macro="" textlink="">
      <xdr:nvSpPr>
        <xdr:cNvPr id="113" name="Rectangle: Rounded Corners 112">
          <a:extLst>
            <a:ext uri="{FF2B5EF4-FFF2-40B4-BE49-F238E27FC236}">
              <a16:creationId xmlns:a16="http://schemas.microsoft.com/office/drawing/2014/main" id="{6A7EEE1B-876F-740F-20FF-6DC2CA6A4EB6}"/>
            </a:ext>
          </a:extLst>
        </xdr:cNvPr>
        <xdr:cNvSpPr/>
      </xdr:nvSpPr>
      <xdr:spPr>
        <a:xfrm>
          <a:off x="774916" y="2621796"/>
          <a:ext cx="1833966" cy="1162374"/>
        </a:xfrm>
        <a:prstGeom prst="roundRect">
          <a:avLst/>
        </a:prstGeom>
        <a:gradFill flip="none" rotWithShape="1">
          <a:gsLst>
            <a:gs pos="0">
              <a:srgbClr val="FFD200">
                <a:alpha val="60000"/>
              </a:srgbClr>
            </a:gs>
            <a:gs pos="71000">
              <a:schemeClr val="accent3">
                <a:lumMod val="50000"/>
                <a:alpha val="45000"/>
              </a:schemeClr>
            </a:gs>
            <a:gs pos="33000">
              <a:schemeClr val="accent3">
                <a:lumMod val="50000"/>
                <a:alpha val="45000"/>
              </a:schemeClr>
            </a:gs>
            <a:gs pos="100000">
              <a:schemeClr val="accent3">
                <a:lumMod val="50000"/>
                <a:alpha val="50000"/>
              </a:schemeClr>
            </a:gs>
          </a:gsLst>
          <a:lin ang="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xdr:col>
      <xdr:colOff>490778</xdr:colOff>
      <xdr:row>14</xdr:row>
      <xdr:rowOff>180812</xdr:rowOff>
    </xdr:from>
    <xdr:to>
      <xdr:col>3</xdr:col>
      <xdr:colOff>413287</xdr:colOff>
      <xdr:row>17</xdr:row>
      <xdr:rowOff>51660</xdr:rowOff>
    </xdr:to>
    <xdr:sp macro="" textlink="Sheet6!Y4">
      <xdr:nvSpPr>
        <xdr:cNvPr id="114" name="TextBox 113">
          <a:extLst>
            <a:ext uri="{FF2B5EF4-FFF2-40B4-BE49-F238E27FC236}">
              <a16:creationId xmlns:a16="http://schemas.microsoft.com/office/drawing/2014/main" id="{8D235841-E1F9-9CC2-448B-76C1F0FB62CF}"/>
            </a:ext>
          </a:extLst>
        </xdr:cNvPr>
        <xdr:cNvSpPr txBox="1"/>
      </xdr:nvSpPr>
      <xdr:spPr>
        <a:xfrm>
          <a:off x="1097795" y="2712202"/>
          <a:ext cx="1136543" cy="41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C65166-77B9-4085-8DEB-6C517AD9EEF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33.73%</a:t>
          </a:fld>
          <a:endParaRPr lang="en-NG" sz="2000">
            <a:latin typeface="Segoe UI Black" panose="020B0A02040204020203" pitchFamily="34" charset="0"/>
            <a:ea typeface="Segoe UI Black" panose="020B0A02040204020203" pitchFamily="34" charset="0"/>
          </a:endParaRPr>
        </a:p>
      </xdr:txBody>
    </xdr:sp>
    <xdr:clientData/>
  </xdr:twoCellAnchor>
  <xdr:twoCellAnchor>
    <xdr:from>
      <xdr:col>1</xdr:col>
      <xdr:colOff>232475</xdr:colOff>
      <xdr:row>17</xdr:row>
      <xdr:rowOff>90406</xdr:rowOff>
    </xdr:from>
    <xdr:to>
      <xdr:col>4</xdr:col>
      <xdr:colOff>0</xdr:colOff>
      <xdr:row>20</xdr:row>
      <xdr:rowOff>116237</xdr:rowOff>
    </xdr:to>
    <xdr:sp macro="" textlink="">
      <xdr:nvSpPr>
        <xdr:cNvPr id="115" name="TextBox 114">
          <a:extLst>
            <a:ext uri="{FF2B5EF4-FFF2-40B4-BE49-F238E27FC236}">
              <a16:creationId xmlns:a16="http://schemas.microsoft.com/office/drawing/2014/main" id="{F885459A-AAFF-F8F8-E7C1-011625AB2C29}"/>
            </a:ext>
          </a:extLst>
        </xdr:cNvPr>
        <xdr:cNvSpPr txBox="1"/>
      </xdr:nvSpPr>
      <xdr:spPr>
        <a:xfrm>
          <a:off x="839492" y="3164237"/>
          <a:ext cx="1588576" cy="568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aseline="0">
              <a:latin typeface="Segoe UI Semibold" panose="020B0702040204020203" pitchFamily="34" charset="0"/>
              <a:ea typeface="Segoe UI Black" panose="020B0A02040204020203" pitchFamily="34" charset="0"/>
              <a:cs typeface="Segoe UI Semibold" panose="020B0702040204020203" pitchFamily="34" charset="0"/>
            </a:rPr>
            <a:t>ORDERS PAID BY CARD</a:t>
          </a:r>
          <a:endParaRPr lang="en-NG"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xdr:col>
      <xdr:colOff>191146</xdr:colOff>
      <xdr:row>22</xdr:row>
      <xdr:rowOff>61992</xdr:rowOff>
    </xdr:from>
    <xdr:to>
      <xdr:col>4</xdr:col>
      <xdr:colOff>204061</xdr:colOff>
      <xdr:row>29</xdr:row>
      <xdr:rowOff>129152</xdr:rowOff>
    </xdr:to>
    <xdr:sp macro="" textlink="">
      <xdr:nvSpPr>
        <xdr:cNvPr id="116" name="Rectangle: Rounded Corners 115">
          <a:extLst>
            <a:ext uri="{FF2B5EF4-FFF2-40B4-BE49-F238E27FC236}">
              <a16:creationId xmlns:a16="http://schemas.microsoft.com/office/drawing/2014/main" id="{D644A18F-9368-486F-9221-5563E96B299E}"/>
            </a:ext>
          </a:extLst>
        </xdr:cNvPr>
        <xdr:cNvSpPr/>
      </xdr:nvSpPr>
      <xdr:spPr>
        <a:xfrm>
          <a:off x="798163" y="4039890"/>
          <a:ext cx="1833966" cy="1332855"/>
        </a:xfrm>
        <a:prstGeom prst="roundRect">
          <a:avLst/>
        </a:prstGeom>
        <a:gradFill flip="none" rotWithShape="1">
          <a:gsLst>
            <a:gs pos="0">
              <a:srgbClr val="FFD200">
                <a:alpha val="60000"/>
              </a:srgbClr>
            </a:gs>
            <a:gs pos="71000">
              <a:schemeClr val="accent3">
                <a:lumMod val="50000"/>
                <a:alpha val="45000"/>
              </a:schemeClr>
            </a:gs>
            <a:gs pos="33000">
              <a:schemeClr val="accent3">
                <a:lumMod val="50000"/>
                <a:alpha val="45000"/>
              </a:schemeClr>
            </a:gs>
            <a:gs pos="100000">
              <a:schemeClr val="accent3">
                <a:lumMod val="50000"/>
                <a:alpha val="50000"/>
              </a:schemeClr>
            </a:gs>
          </a:gsLst>
          <a:lin ang="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xdr:col>
      <xdr:colOff>514026</xdr:colOff>
      <xdr:row>23</xdr:row>
      <xdr:rowOff>23247</xdr:rowOff>
    </xdr:from>
    <xdr:to>
      <xdr:col>3</xdr:col>
      <xdr:colOff>436535</xdr:colOff>
      <xdr:row>25</xdr:row>
      <xdr:rowOff>74909</xdr:rowOff>
    </xdr:to>
    <xdr:sp macro="" textlink="Sheet6!Y5">
      <xdr:nvSpPr>
        <xdr:cNvPr id="117" name="TextBox 116">
          <a:extLst>
            <a:ext uri="{FF2B5EF4-FFF2-40B4-BE49-F238E27FC236}">
              <a16:creationId xmlns:a16="http://schemas.microsoft.com/office/drawing/2014/main" id="{7BC024A9-85AF-46F9-AFE5-2C75573C1A0C}"/>
            </a:ext>
          </a:extLst>
        </xdr:cNvPr>
        <xdr:cNvSpPr txBox="1"/>
      </xdr:nvSpPr>
      <xdr:spPr>
        <a:xfrm>
          <a:off x="1121043" y="4181959"/>
          <a:ext cx="1136543" cy="41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70CA31-AD81-4E85-8D11-416D7E3775CD}"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32.88%</a:t>
          </a:fld>
          <a:endParaRPr lang="en-NG"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xdr:col>
      <xdr:colOff>284135</xdr:colOff>
      <xdr:row>25</xdr:row>
      <xdr:rowOff>167898</xdr:rowOff>
    </xdr:from>
    <xdr:to>
      <xdr:col>4</xdr:col>
      <xdr:colOff>116237</xdr:colOff>
      <xdr:row>29</xdr:row>
      <xdr:rowOff>51661</xdr:rowOff>
    </xdr:to>
    <xdr:sp macro="" textlink="">
      <xdr:nvSpPr>
        <xdr:cNvPr id="123" name="TextBox 122">
          <a:extLst>
            <a:ext uri="{FF2B5EF4-FFF2-40B4-BE49-F238E27FC236}">
              <a16:creationId xmlns:a16="http://schemas.microsoft.com/office/drawing/2014/main" id="{26C7CFA4-7388-11E1-A3F5-78875FA94777}"/>
            </a:ext>
          </a:extLst>
        </xdr:cNvPr>
        <xdr:cNvSpPr txBox="1"/>
      </xdr:nvSpPr>
      <xdr:spPr>
        <a:xfrm>
          <a:off x="891152" y="4688237"/>
          <a:ext cx="1653153" cy="607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Segoe UI Semibold" panose="020B0702040204020203" pitchFamily="34" charset="0"/>
              <a:cs typeface="Segoe UI Semibold" panose="020B0702040204020203" pitchFamily="34" charset="0"/>
            </a:rPr>
            <a:t>ORDERS PAID ON DELIVERY</a:t>
          </a:r>
          <a:endParaRPr lang="en-NG" sz="1400">
            <a:latin typeface="Segoe UI Semibold" panose="020B0702040204020203" pitchFamily="34" charset="0"/>
            <a:cs typeface="Segoe UI Semibold" panose="020B0702040204020203" pitchFamily="34" charset="0"/>
          </a:endParaRPr>
        </a:p>
      </xdr:txBody>
    </xdr:sp>
    <xdr:clientData/>
  </xdr:twoCellAnchor>
  <xdr:twoCellAnchor>
    <xdr:from>
      <xdr:col>1</xdr:col>
      <xdr:colOff>191147</xdr:colOff>
      <xdr:row>31</xdr:row>
      <xdr:rowOff>61992</xdr:rowOff>
    </xdr:from>
    <xdr:to>
      <xdr:col>4</xdr:col>
      <xdr:colOff>204062</xdr:colOff>
      <xdr:row>38</xdr:row>
      <xdr:rowOff>116238</xdr:rowOff>
    </xdr:to>
    <xdr:sp macro="" textlink="">
      <xdr:nvSpPr>
        <xdr:cNvPr id="124" name="Rectangle: Rounded Corners 123">
          <a:extLst>
            <a:ext uri="{FF2B5EF4-FFF2-40B4-BE49-F238E27FC236}">
              <a16:creationId xmlns:a16="http://schemas.microsoft.com/office/drawing/2014/main" id="{41A10D69-E07E-41D1-B96D-19FCC47999FE}"/>
            </a:ext>
          </a:extLst>
        </xdr:cNvPr>
        <xdr:cNvSpPr/>
      </xdr:nvSpPr>
      <xdr:spPr>
        <a:xfrm>
          <a:off x="798164" y="5667212"/>
          <a:ext cx="1833966" cy="1319941"/>
        </a:xfrm>
        <a:prstGeom prst="roundRect">
          <a:avLst/>
        </a:prstGeom>
        <a:gradFill flip="none" rotWithShape="1">
          <a:gsLst>
            <a:gs pos="0">
              <a:srgbClr val="FFD200">
                <a:alpha val="60000"/>
              </a:srgbClr>
            </a:gs>
            <a:gs pos="71000">
              <a:schemeClr val="accent3">
                <a:lumMod val="50000"/>
                <a:alpha val="45000"/>
              </a:schemeClr>
            </a:gs>
            <a:gs pos="33000">
              <a:schemeClr val="accent3">
                <a:lumMod val="50000"/>
                <a:alpha val="45000"/>
              </a:schemeClr>
            </a:gs>
            <a:gs pos="100000">
              <a:schemeClr val="accent3">
                <a:lumMod val="50000"/>
                <a:alpha val="50000"/>
              </a:schemeClr>
            </a:gs>
          </a:gsLst>
          <a:lin ang="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xdr:col>
      <xdr:colOff>565686</xdr:colOff>
      <xdr:row>31</xdr:row>
      <xdr:rowOff>178229</xdr:rowOff>
    </xdr:from>
    <xdr:to>
      <xdr:col>3</xdr:col>
      <xdr:colOff>488195</xdr:colOff>
      <xdr:row>34</xdr:row>
      <xdr:rowOff>49077</xdr:rowOff>
    </xdr:to>
    <xdr:sp macro="" textlink="Sheet6!Y6">
      <xdr:nvSpPr>
        <xdr:cNvPr id="125" name="TextBox 124">
          <a:extLst>
            <a:ext uri="{FF2B5EF4-FFF2-40B4-BE49-F238E27FC236}">
              <a16:creationId xmlns:a16="http://schemas.microsoft.com/office/drawing/2014/main" id="{3965556E-469C-403B-8C72-BAFFA6E6C503}"/>
            </a:ext>
          </a:extLst>
        </xdr:cNvPr>
        <xdr:cNvSpPr txBox="1"/>
      </xdr:nvSpPr>
      <xdr:spPr>
        <a:xfrm>
          <a:off x="1172703" y="5783449"/>
          <a:ext cx="1136543" cy="41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547CED-1791-44C9-805F-1D8094BD06FF}"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33.39%</a:t>
          </a:fld>
          <a:endParaRPr lang="en-NG" sz="2000">
            <a:latin typeface="Segoe UI Black" panose="020B0A02040204020203" pitchFamily="34" charset="0"/>
            <a:ea typeface="Segoe UI Black" panose="020B0A02040204020203" pitchFamily="34" charset="0"/>
          </a:endParaRPr>
        </a:p>
      </xdr:txBody>
    </xdr:sp>
    <xdr:clientData/>
  </xdr:twoCellAnchor>
  <xdr:twoCellAnchor>
    <xdr:from>
      <xdr:col>1</xdr:col>
      <xdr:colOff>219558</xdr:colOff>
      <xdr:row>34</xdr:row>
      <xdr:rowOff>167899</xdr:rowOff>
    </xdr:from>
    <xdr:to>
      <xdr:col>4</xdr:col>
      <xdr:colOff>180814</xdr:colOff>
      <xdr:row>38</xdr:row>
      <xdr:rowOff>12917</xdr:rowOff>
    </xdr:to>
    <xdr:sp macro="" textlink="">
      <xdr:nvSpPr>
        <xdr:cNvPr id="127" name="TextBox 126">
          <a:extLst>
            <a:ext uri="{FF2B5EF4-FFF2-40B4-BE49-F238E27FC236}">
              <a16:creationId xmlns:a16="http://schemas.microsoft.com/office/drawing/2014/main" id="{8000FCD6-D4C6-1525-4611-72D9F7F92496}"/>
            </a:ext>
          </a:extLst>
        </xdr:cNvPr>
        <xdr:cNvSpPr txBox="1"/>
      </xdr:nvSpPr>
      <xdr:spPr>
        <a:xfrm>
          <a:off x="826575" y="6315560"/>
          <a:ext cx="1782307" cy="56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Segoe UI Semibold" panose="020B0702040204020203" pitchFamily="34" charset="0"/>
              <a:cs typeface="Segoe UI Semibold" panose="020B0702040204020203" pitchFamily="34" charset="0"/>
            </a:rPr>
            <a:t>ORDERS PAID BY TRANSFER</a:t>
          </a:r>
          <a:endParaRPr lang="en-NG" sz="1400">
            <a:latin typeface="Segoe UI Semibold" panose="020B0702040204020203" pitchFamily="34" charset="0"/>
            <a:cs typeface="Segoe UI Semibold" panose="020B0702040204020203" pitchFamily="34" charset="0"/>
          </a:endParaRPr>
        </a:p>
      </xdr:txBody>
    </xdr:sp>
    <xdr:clientData/>
  </xdr:twoCellAnchor>
  <xdr:twoCellAnchor editAs="oneCell">
    <xdr:from>
      <xdr:col>28</xdr:col>
      <xdr:colOff>46764</xdr:colOff>
      <xdr:row>3</xdr:row>
      <xdr:rowOff>154982</xdr:rowOff>
    </xdr:from>
    <xdr:to>
      <xdr:col>30</xdr:col>
      <xdr:colOff>309966</xdr:colOff>
      <xdr:row>8</xdr:row>
      <xdr:rowOff>103322</xdr:rowOff>
    </xdr:to>
    <mc:AlternateContent xmlns:mc="http://schemas.openxmlformats.org/markup-compatibility/2006">
      <mc:Choice xmlns:a14="http://schemas.microsoft.com/office/drawing/2010/main" Requires="a14">
        <xdr:graphicFrame macro="">
          <xdr:nvGraphicFramePr>
            <xdr:cNvPr id="128" name="State 1">
              <a:extLst>
                <a:ext uri="{FF2B5EF4-FFF2-40B4-BE49-F238E27FC236}">
                  <a16:creationId xmlns:a16="http://schemas.microsoft.com/office/drawing/2014/main" id="{AB9A2AFA-6D77-4FF7-9740-1B0110A3B03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7043239" y="697423"/>
              <a:ext cx="1477235" cy="85240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58.944303240743" createdVersion="8" refreshedVersion="8" minRefreshableVersion="3" recordCount="1111" xr:uid="{42EF253F-B3A5-4681-A606-31C8C2AC9978}">
  <cacheSource type="worksheet">
    <worksheetSource ref="A1:S1112" sheet="Sheet2"/>
  </cacheSource>
  <cacheFields count="22">
    <cacheField name="Order Date" numFmtId="14">
      <sharedItems containsSemiMixedTypes="0" containsNonDate="0" containsDate="1" containsString="0" minDate="2024-12-30T00:00:00" maxDate="2025-07-01T00:00:00" count="183">
        <d v="2025-03-29T00:00:00"/>
        <d v="2025-05-08T00:00:00"/>
        <d v="2025-03-13T00:00:00"/>
        <d v="2025-05-10T00:00:00"/>
        <d v="2025-03-06T00:00:00"/>
        <d v="2025-02-13T00:00:00"/>
        <d v="2025-04-16T00:00:00"/>
        <d v="2025-01-07T00:00:00"/>
        <d v="2025-03-28T00:00:00"/>
        <d v="2025-05-14T00:00:00"/>
        <d v="2025-02-07T00:00:00"/>
        <d v="2025-02-02T00:00:00"/>
        <d v="2025-03-22T00:00:00"/>
        <d v="2025-02-15T00:00:00"/>
        <d v="2025-03-16T00:00:00"/>
        <d v="2025-02-14T00:00:00"/>
        <d v="2025-01-24T00:00:00"/>
        <d v="2025-06-03T00:00:00"/>
        <d v="2025-05-09T00:00:00"/>
        <d v="2025-03-25T00:00:00"/>
        <d v="2025-03-03T00:00:00"/>
        <d v="2025-01-20T00:00:00"/>
        <d v="2025-06-23T00:00:00"/>
        <d v="2025-05-21T00:00:00"/>
        <d v="2025-06-26T00:00:00"/>
        <d v="2025-05-23T00:00:00"/>
        <d v="2025-05-02T00:00:00"/>
        <d v="2025-06-16T00:00:00"/>
        <d v="2025-03-11T00:00:00"/>
        <d v="2025-02-03T00:00:00"/>
        <d v="2025-06-28T00:00:00"/>
        <d v="2025-02-11T00:00:00"/>
        <d v="2025-04-01T00:00:00"/>
        <d v="2025-03-05T00:00:00"/>
        <d v="2025-06-02T00:00:00"/>
        <d v="2025-01-08T00:00:00"/>
        <d v="2025-04-18T00:00:00"/>
        <d v="2025-02-09T00:00:00"/>
        <d v="2025-01-15T00:00:00"/>
        <d v="2025-02-12T00:00:00"/>
        <d v="2025-06-18T00:00:00"/>
        <d v="2025-03-08T00:00:00"/>
        <d v="2025-03-10T00:00:00"/>
        <d v="2025-03-02T00:00:00"/>
        <d v="2025-02-28T00:00:00"/>
        <d v="2025-01-29T00:00:00"/>
        <d v="2025-03-01T00:00:00"/>
        <d v="2025-02-20T00:00:00"/>
        <d v="2025-05-18T00:00:00"/>
        <d v="2025-02-25T00:00:00"/>
        <d v="2025-06-27T00:00:00"/>
        <d v="2025-05-17T00:00:00"/>
        <d v="2025-06-22T00:00:00"/>
        <d v="2025-02-23T00:00:00"/>
        <d v="2025-05-26T00:00:00"/>
        <d v="2025-05-01T00:00:00"/>
        <d v="2025-01-01T00:00:00"/>
        <d v="2025-03-09T00:00:00"/>
        <d v="2025-04-28T00:00:00"/>
        <d v="2025-03-07T00:00:00"/>
        <d v="2025-01-26T00:00:00"/>
        <d v="2025-03-15T00:00:00"/>
        <d v="2025-06-11T00:00:00"/>
        <d v="2025-01-02T00:00:00"/>
        <d v="2025-04-24T00:00:00"/>
        <d v="2025-03-31T00:00:00"/>
        <d v="2025-06-10T00:00:00"/>
        <d v="2025-02-04T00:00:00"/>
        <d v="2025-06-04T00:00:00"/>
        <d v="2025-06-24T00:00:00"/>
        <d v="2025-04-20T00:00:00"/>
        <d v="2025-02-26T00:00:00"/>
        <d v="2025-04-13T00:00:00"/>
        <d v="2025-02-16T00:00:00"/>
        <d v="2025-03-26T00:00:00"/>
        <d v="2025-02-01T00:00:00"/>
        <d v="2025-03-21T00:00:00"/>
        <d v="2025-06-07T00:00:00"/>
        <d v="2025-04-12T00:00:00"/>
        <d v="2025-03-14T00:00:00"/>
        <d v="2025-04-21T00:00:00"/>
        <d v="2025-02-22T00:00:00"/>
        <d v="2025-05-25T00:00:00"/>
        <d v="2025-06-17T00:00:00"/>
        <d v="2025-05-15T00:00:00"/>
        <d v="2025-05-11T00:00:00"/>
        <d v="2025-04-11T00:00:00"/>
        <d v="2025-03-18T00:00:00"/>
        <d v="2025-01-17T00:00:00"/>
        <d v="2025-04-30T00:00:00"/>
        <d v="2025-04-15T00:00:00"/>
        <d v="2025-06-09T00:00:00"/>
        <d v="2025-01-28T00:00:00"/>
        <d v="2025-06-06T00:00:00"/>
        <d v="2025-06-01T00:00:00"/>
        <d v="2025-05-22T00:00:00"/>
        <d v="2025-01-03T00:00:00"/>
        <d v="2025-02-19T00:00:00"/>
        <d v="2025-01-19T00:00:00"/>
        <d v="2025-01-25T00:00:00"/>
        <d v="2025-06-05T00:00:00"/>
        <d v="2025-02-06T00:00:00"/>
        <d v="2025-02-21T00:00:00"/>
        <d v="2025-05-07T00:00:00"/>
        <d v="2025-05-13T00:00:00"/>
        <d v="2025-01-14T00:00:00"/>
        <d v="2025-05-05T00:00:00"/>
        <d v="2025-03-20T00:00:00"/>
        <d v="2025-05-24T00:00:00"/>
        <d v="2025-03-12T00:00:00"/>
        <d v="2025-04-04T00:00:00"/>
        <d v="2025-04-06T00:00:00"/>
        <d v="2025-02-05T00:00:00"/>
        <d v="2025-02-18T00:00:00"/>
        <d v="2025-01-10T00:00:00"/>
        <d v="2025-04-05T00:00:00"/>
        <d v="2025-04-23T00:00:00"/>
        <d v="2025-03-04T00:00:00"/>
        <d v="2025-06-25T00:00:00"/>
        <d v="2025-01-18T00:00:00"/>
        <d v="2025-01-22T00:00:00"/>
        <d v="2025-04-14T00:00:00"/>
        <d v="2025-01-11T00:00:00"/>
        <d v="2025-04-02T00:00:00"/>
        <d v="2025-01-16T00:00:00"/>
        <d v="2025-01-27T00:00:00"/>
        <d v="2025-06-12T00:00:00"/>
        <d v="2025-02-24T00:00:00"/>
        <d v="2025-04-17T00:00:00"/>
        <d v="2025-05-19T00:00:00"/>
        <d v="2025-05-03T00:00:00"/>
        <d v="2025-06-20T00:00:00"/>
        <d v="2025-06-29T00:00:00"/>
        <d v="2025-06-13T00:00:00"/>
        <d v="2025-06-14T00:00:00"/>
        <d v="2025-05-31T00:00:00"/>
        <d v="2025-04-27T00:00:00"/>
        <d v="2025-03-23T00:00:00"/>
        <d v="2025-05-12T00:00:00"/>
        <d v="2025-04-07T00:00:00"/>
        <d v="2025-03-30T00:00:00"/>
        <d v="2025-02-17T00:00:00"/>
        <d v="2025-04-22T00:00:00"/>
        <d v="2025-01-31T00:00:00"/>
        <d v="2025-03-27T00:00:00"/>
        <d v="2025-05-06T00:00:00"/>
        <d v="2025-05-29T00:00:00"/>
        <d v="2025-06-08T00:00:00"/>
        <d v="2025-04-29T00:00:00"/>
        <d v="2025-01-30T00:00:00"/>
        <d v="2025-06-30T00:00:00"/>
        <d v="2024-12-31T00:00:00"/>
        <d v="2024-12-30T00:00:00"/>
        <d v="2025-02-27T00:00:00"/>
        <d v="2025-05-20T00:00:00"/>
        <d v="2025-04-19T00:00:00"/>
        <d v="2025-01-04T00:00:00"/>
        <d v="2025-01-21T00:00:00"/>
        <d v="2025-01-12T00:00:00"/>
        <d v="2025-01-13T00:00:00"/>
        <d v="2025-03-19T00:00:00"/>
        <d v="2025-05-16T00:00:00"/>
        <d v="2025-06-21T00:00:00"/>
        <d v="2025-04-09T00:00:00"/>
        <d v="2025-01-06T00:00:00"/>
        <d v="2025-02-08T00:00:00"/>
        <d v="2025-04-03T00:00:00"/>
        <d v="2025-01-23T00:00:00"/>
        <d v="2025-05-30T00:00:00"/>
        <d v="2025-04-10T00:00:00"/>
        <d v="2025-05-27T00:00:00"/>
        <d v="2025-04-25T00:00:00"/>
        <d v="2025-03-17T00:00:00"/>
        <d v="2025-03-24T00:00:00"/>
        <d v="2025-04-08T00:00:00"/>
        <d v="2025-06-15T00:00:00"/>
        <d v="2025-05-28T00:00:00"/>
        <d v="2025-02-10T00:00:00"/>
        <d v="2025-01-05T00:00:00"/>
        <d v="2025-04-26T00:00:00"/>
        <d v="2025-06-19T00:00:00"/>
        <d v="2025-01-09T00:00:00"/>
        <d v="2025-05-04T00:00:00"/>
      </sharedItems>
      <fieldGroup par="21"/>
    </cacheField>
    <cacheField name="Customer Name" numFmtId="0">
      <sharedItems count="1099">
        <s v="Victoria Mccall"/>
        <s v="James Hood"/>
        <s v="Brandon Williams"/>
        <s v="Marie Simpson"/>
        <s v="Mrs. Haley Stevenson"/>
        <s v="Lisa Thomas"/>
        <s v="Sara Clements"/>
        <s v="Kyle Walker"/>
        <s v="Mark Moreno"/>
        <s v="Kathy Diaz"/>
        <s v="Aaron Munoz"/>
        <s v="Mark Tate"/>
        <s v="Linda Frederick"/>
        <s v="Stephanie Cannon"/>
        <s v="Earl Salazar"/>
        <s v="Randy Lopez"/>
        <s v="Sara Mann"/>
        <s v="Adam Conner"/>
        <s v="Danielle Shepard"/>
        <s v="Kristin Ramirez"/>
        <s v="Jonathan Dean"/>
        <s v="Matthew Thompson"/>
        <s v="Amanda Schultz"/>
        <s v="Jason Huber"/>
        <s v="Michael Garcia"/>
        <s v="Sharon Mills"/>
        <s v="Natasha Oneal"/>
        <s v="Katrina Blair"/>
        <s v="Laurie Strickland"/>
        <s v="Kenneth Thomas"/>
        <s v="Alec Jimenez"/>
        <s v="Evan Alexander"/>
        <s v="Nathaniel Johnston"/>
        <s v="Teresa Payne"/>
        <s v="Dana Watson"/>
        <s v="Megan Baker"/>
        <s v="Daniel Mccoy"/>
        <s v="Tiffany Johnson"/>
        <s v="Raymond Griffin"/>
        <s v="Angela Marshall"/>
        <s v="Ashley Holmes"/>
        <s v="David Chan"/>
        <s v="Jeremy Chen"/>
        <s v="Sheila Hill DVM"/>
        <s v="John Russell"/>
        <s v="Howard Robertson"/>
        <s v="Kyle Smith"/>
        <s v="Antonio Thomas"/>
        <s v="Scott Sullivan"/>
        <s v="Charles Ruiz"/>
        <s v="Jose Stewart"/>
        <s v="James Scott"/>
        <s v="Abigail Love"/>
        <s v="Susan Johnson"/>
        <s v="Timothy Ross"/>
        <s v="Gregory Fernandez"/>
        <s v="Heidi Cobb"/>
        <s v="David Cruz"/>
        <s v="Craig Russell"/>
        <s v="Debbie Weaver"/>
        <s v="Debra Gillespie"/>
        <s v="James Larson"/>
        <s v="Andrew Hernandez"/>
        <s v="Brandy Diaz"/>
        <s v="Karina Anderson"/>
        <s v="Heather Christensen"/>
        <s v="Alexandra Miller"/>
        <s v="Jodi Wilson"/>
        <s v="Travis Silva"/>
        <s v="Wendy White"/>
        <s v="Jason Johnson"/>
        <s v="Michael Shannon"/>
        <s v="David Jones"/>
        <s v="Richard Dennis"/>
        <s v="Kimberly Davis"/>
        <s v="Mark Marquez"/>
        <s v="Tammy Scott"/>
        <s v="Mark Reese"/>
        <s v="Karen Conley"/>
        <s v="John Braun"/>
        <s v="Tabitha Jones"/>
        <s v="Jacob Gray"/>
        <s v="Teresa Jackson"/>
        <s v="Elizabeth Ramsey"/>
        <s v="Brittany Miller"/>
        <s v="Candice Mitchell"/>
        <s v="Traci Gonzalez"/>
        <s v="Terry Howard"/>
        <s v="Madison Maldonado"/>
        <s v="Victor Wheeler"/>
        <s v="Angela Bruce"/>
        <s v="Laura Simmons"/>
        <s v="Matthew Henry"/>
        <s v="Kimberly Hebert"/>
        <s v="Loretta Torres"/>
        <s v="Rhonda Villarreal"/>
        <s v="Jason Craig"/>
        <s v="Brandon Burns"/>
        <s v="Dylan Bright"/>
        <s v="Alyssa Johnson"/>
        <s v="Casey Hinton"/>
        <s v="Kevin Pruitt"/>
        <s v="Oscar Jones"/>
        <s v="Kenneth Richardson"/>
        <s v="Jason Mckinney"/>
        <s v="Amy Ross"/>
        <s v="Hannah Montoya"/>
        <s v="Tiffany Scott"/>
        <s v="Michael Gonzales"/>
        <s v="Matthew Jordan"/>
        <s v="Stephanie Scott"/>
        <s v="Robin Lopez"/>
        <s v="Christopher Fields"/>
        <s v="Adam Hall"/>
        <s v="Clayton Lucas"/>
        <s v="Corey Hernandez"/>
        <s v="Rachel Thomas"/>
        <s v="Aaron Williams"/>
        <s v="Jeffrey Hall"/>
        <s v="Zachary Gallagher"/>
        <s v="Randy Garrett"/>
        <s v="Stephanie Perkins"/>
        <s v="Lauren Baker"/>
        <s v="Joshua Lynn"/>
        <s v="Wanda Harvey"/>
        <s v="Robin Porter"/>
        <s v="Jason Clay"/>
        <s v="Erica Hampton"/>
        <s v="Joshua Mann"/>
        <s v="Jonathan Floyd"/>
        <s v="Patricia Sloan"/>
        <s v="Nicholas Crawford"/>
        <s v="Jennifer Alexander"/>
        <s v="Brian Powell DVM"/>
        <s v="Angel Benton"/>
        <s v="Anthony Miller"/>
        <s v="Russell Cooper"/>
        <s v="Becky Blake"/>
        <s v="Brian Rodriguez"/>
        <s v="Clinton Moore"/>
        <s v="Donna Moore"/>
        <s v="Kelly Parsons"/>
        <s v="Stephen Reynolds"/>
        <s v="Rachel Holland"/>
        <s v="Christine Wilson"/>
        <s v="Susan Randolph"/>
        <s v="Philip Taylor"/>
        <s v="Lisa Hill"/>
        <s v="Kelly Woods"/>
        <s v="Thomas Gonzalez"/>
        <s v="Nina Hill"/>
        <s v="Ana Villegas"/>
        <s v="Nathaniel Dorsey"/>
        <s v="Melanie Fox"/>
        <s v="Rebecca Henderson MD"/>
        <s v="Dustin Palmer"/>
        <s v="Shelby Waller"/>
        <s v="William Washington"/>
        <s v="Robert Levy"/>
        <s v="Katherine Hunt"/>
        <s v="Carl Hooper"/>
        <s v="Nicole Bennett"/>
        <s v="Tasha Hernandez"/>
        <s v="Mathew Henderson"/>
        <s v="Timothy Chapman"/>
        <s v="Edward Jones"/>
        <s v="Lisa Ryan"/>
        <s v="Melinda Alexander"/>
        <s v="Andrea King"/>
        <s v="Elizabeth Mcintosh"/>
        <s v="Arthur Mclaughlin"/>
        <s v="Autumn Jordan"/>
        <s v="Kristina Miles"/>
        <s v="Steven King MD"/>
        <s v="Jose Norman"/>
        <s v="Timothy Woods"/>
        <s v="Steven Dickerson DDS"/>
        <s v="Wendy Wright"/>
        <s v="Anthony Harrell"/>
        <s v="John Cooper"/>
        <s v="Alex Zuniga"/>
        <s v="Anne Murphy"/>
        <s v="Stephen Chambers"/>
        <s v="Darrell Caldwell"/>
        <s v="Michaela Serrano"/>
        <s v="Sandra Kerr"/>
        <s v="Cindy Perez"/>
        <s v="Pamela Rubio"/>
        <s v="Benjamin Levy"/>
        <s v="Tiffany Reid"/>
        <s v="Mr. Richard Serrano MD"/>
        <s v="Angela Dickson"/>
        <s v="Bobby Rodriguez"/>
        <s v="David Madden"/>
        <s v="Christopher Davis"/>
        <s v="Amy Allison"/>
        <s v="Sandra Allen"/>
        <s v="Reginald Becker"/>
        <s v="Nathaniel Calderon"/>
        <s v="Robert Snyder"/>
        <s v="Michael Hobbs"/>
        <s v="Brent Webster"/>
        <s v="Rebecca Hughes"/>
        <s v="Molly Rivera"/>
        <s v="Jessica Baker"/>
        <s v="Daniel Benitez"/>
        <s v="Antonio Miller"/>
        <s v="Jessica Stanley"/>
        <s v="Henry Hill"/>
        <s v="Paula Campbell"/>
        <s v="Cynthia Potter"/>
        <s v="Debbie Mueller"/>
        <s v="Sue Thompson"/>
        <s v="Bryan Allen"/>
        <s v="Jorge Farley MD"/>
        <s v="Brittney Jones"/>
        <s v="Paul Smith"/>
        <s v="Katherine Adkins PhD"/>
        <s v="Linda Torres"/>
        <s v="Christy Fox"/>
        <s v="Frederick Hall"/>
        <s v="Melissa Marshall"/>
        <s v="David Palmer"/>
        <s v="Kevin Larsen"/>
        <s v="Victoria Elliott"/>
        <s v="Rebecca Freeman"/>
        <s v="Jessica Mejia"/>
        <s v="Denise Horne"/>
        <s v="Andrew Adkins"/>
        <s v="Joseph Young"/>
        <s v="Joe Shaffer"/>
        <s v="Lori Sims"/>
        <s v="Renee Brock"/>
        <s v="Paula Chan"/>
        <s v="Tammie Jones"/>
        <s v="Brenda Davis"/>
        <s v="Sarah Morrison"/>
        <s v="Tyler Thomas"/>
        <s v="Karen Moon"/>
        <s v="Christopher Flores"/>
        <s v="Matthew Riley"/>
        <s v="Samantha Harrison"/>
        <s v="Michael Brown"/>
        <s v="Elizabeth Harris"/>
        <s v="Susan Thompson"/>
        <s v="Caitlin Moore"/>
        <s v="Pedro Willis"/>
        <s v="Eric Santiago"/>
        <s v="Brandon Carpenter"/>
        <s v="Erica Christensen"/>
        <s v="Kelly Walker"/>
        <s v="Michelle Harvey"/>
        <s v="Lori Martin"/>
        <s v="Lisa Rubio"/>
        <s v="Karen Cabrera"/>
        <s v="Jennifer Allen"/>
        <s v="Robert Johnson"/>
        <s v="Marcus Rodriguez"/>
        <s v="Donald Johnson"/>
        <s v="Erin Moore"/>
        <s v="Victoria Wiggins"/>
        <s v="Justin Burke"/>
        <s v="Jose Rocha"/>
        <s v="Molly Garrett"/>
        <s v="Edward Chapman"/>
        <s v="Jill White"/>
        <s v="Andre Buchanan"/>
        <s v="Laura Miller"/>
        <s v="Jennifer Duran"/>
        <s v="Daniel Mills"/>
        <s v="Joshua Shaw"/>
        <s v="Sean Chavez"/>
        <s v="Tyler Miller"/>
        <s v="George Walker"/>
        <s v="Tina Perry"/>
        <s v="Karina Gonzalez"/>
        <s v="Bryan Miller"/>
        <s v="Deborah Hernandez"/>
        <s v="Carolyn Hodge"/>
        <s v="Jeremiah Lopez"/>
        <s v="Victoria Sparks"/>
        <s v="Megan Ramirez"/>
        <s v="Nicole Jones"/>
        <s v="Michael Ramirez"/>
        <s v="Jessica Garcia"/>
        <s v="Christine Ray"/>
        <s v="Michael Collins"/>
        <s v="Vincent Mejia"/>
        <s v="Thomas Bruce"/>
        <s v="Frank Gomez"/>
        <s v="Jason Cook"/>
        <s v="Diana Trevino"/>
        <s v="Brittany Aguilar"/>
        <s v="Brandon Crawford"/>
        <s v="Janet Powell"/>
        <s v="Ryan Davis"/>
        <s v="Paul Martinez"/>
        <s v="Dustin Mcgrath"/>
        <s v="Thomas Flores"/>
        <s v="Christopher Brown"/>
        <s v="Anthony Joseph"/>
        <s v="Albert Gordon"/>
        <s v="Tina Garrett"/>
        <s v="Nicholas Chambers"/>
        <s v="Michele Hardy"/>
        <s v="Heather Davis"/>
        <s v="Alexander Huerta"/>
        <s v="Wendy Villanueva"/>
        <s v="Taylor Wong"/>
        <s v="Natalie Barnes"/>
        <s v="Gail Baker"/>
        <s v="Lucas Wright"/>
        <s v="Danielle Ruiz"/>
        <s v="Omar Mejia"/>
        <s v="Michelle West"/>
        <s v="Megan Murray"/>
        <s v="Krystal Fisher"/>
        <s v="Eric Flores"/>
        <s v="Michelle Martin"/>
        <s v="Steven Mathews"/>
        <s v="David Richard"/>
        <s v="Tyrone Compton"/>
        <s v="Samuel Carpenter"/>
        <s v="Pamela Martinez"/>
        <s v="Christopher Nelson"/>
        <s v="Daniel Fuller"/>
        <s v="Michael Davis"/>
        <s v="Juan Burns"/>
        <s v="Jeffery Sparks"/>
        <s v="Jessica Sexton"/>
        <s v="Travis Cole"/>
        <s v="Alicia Williams MD"/>
        <s v="Matthew Mills"/>
        <s v="Stephen Macdonald"/>
        <s v="Robert Cooper"/>
        <s v="Amy Meyer"/>
        <s v="Shawn Patterson"/>
        <s v="Allen Hall"/>
        <s v="Erica Livingston"/>
        <s v="Jennifer Rivas"/>
        <s v="David Bowers"/>
        <s v="Yolanda Williams"/>
        <s v="Beth James"/>
        <s v="Jennifer Roberts"/>
        <s v="Nicole Phillips DVM"/>
        <s v="Jennifer Faulkner"/>
        <s v="Jessica Schaefer"/>
        <s v="David Glass"/>
        <s v="Margaret Greene"/>
        <s v="Kristin Christensen"/>
        <s v="James Hernandez"/>
        <s v="Jordan Moss"/>
        <s v="Jennifer Bradley"/>
        <s v="Jennifer Harris"/>
        <s v="Tom Wells"/>
        <s v="Melissa Hunt"/>
        <s v="Courtney West"/>
        <s v="Travis Barnes"/>
        <s v="Amanda Moss"/>
        <s v="Alexander Gonzales"/>
        <s v="Dominique Rogers"/>
        <s v="Katelyn Jarvis"/>
        <s v="Nathan Hernandez"/>
        <s v="Robert Holt"/>
        <s v="Edward Werner"/>
        <s v="James Turner"/>
        <s v="Katherine Shaffer"/>
        <s v="Alexis Bowman"/>
        <s v="Shawn Benitez"/>
        <s v="Rachel Barnett"/>
        <s v="Melissa Lopez"/>
        <s v="Andrew Fowler"/>
        <s v="April Wallace"/>
        <s v="Daniel Benson"/>
        <s v="Joseph Mitchell"/>
        <s v="Mr. Lucas Cook"/>
        <s v="Ian Johnson"/>
        <s v="Andrew Taylor"/>
        <s v="Colleen Taylor"/>
        <s v="Gregory Robbins"/>
        <s v="David Payne Jr."/>
        <s v="Mike Stephens"/>
        <s v="Erica Deleon"/>
        <s v="Amanda Garner"/>
        <s v="Deanna Miller"/>
        <s v="Jeremy Vance"/>
        <s v="Tina Reyes"/>
        <s v="Andrea Butler"/>
        <s v="Brian Pierce"/>
        <s v="Cynthia Davis"/>
        <s v="Elizabeth Curry"/>
        <s v="Sandy Simon"/>
        <s v="Monique Coffey"/>
        <s v="Colleen Gray"/>
        <s v="Alfred Hayes"/>
        <s v="Chad Edwards"/>
        <s v="Michael Bradley"/>
        <s v="William Wong"/>
        <s v="Jeffrey Wood"/>
        <s v="Mary Wong"/>
        <s v="Aaron Duncan"/>
        <s v="Randall Lewis"/>
        <s v="Ryan Smith"/>
        <s v="Debra Montes"/>
        <s v="Robin Thomas"/>
        <s v="Pamela Curry"/>
        <s v="Susan Martin"/>
        <s v="Lauren Moon"/>
        <s v="Cory Washington"/>
        <s v="Stacy Fry"/>
        <s v="Jerome Braun"/>
        <s v="Edwin Allen"/>
        <s v="Ryan Fisher"/>
        <s v="Joseph Clay"/>
        <s v="Gloria Harvey"/>
        <s v="John Swanson"/>
        <s v="Monique Johnson"/>
        <s v="Alicia Davis"/>
        <s v="Kimberly Kennedy"/>
        <s v="Rachael Martin"/>
        <s v="Melissa Jones"/>
        <s v="Douglas Ortiz"/>
        <s v="Ethan Palmer"/>
        <s v="Ronald Graham"/>
        <s v="Maria Hall"/>
        <s v="Miss Chelsey Stanton"/>
        <s v="Keith Frank"/>
        <s v="Thomas Cruz"/>
        <s v="James Anderson"/>
        <s v="John Collier"/>
        <s v="Heather Weaver"/>
        <s v="Richard Christian"/>
        <s v="Megan Harper"/>
        <s v="Maria Spencer"/>
        <s v="Nicholas Evans"/>
        <s v="Matthew Washington"/>
        <s v="Richard Torres"/>
        <s v="Sarah Williams"/>
        <s v="Dennis Mcconnell"/>
        <s v="Andrew House Jr."/>
        <s v="Sarah Gomez"/>
        <s v="Kathleen Garcia"/>
        <s v="Anthony Mills"/>
        <s v="Wayne Rodriguez"/>
        <s v="Theresa Miller"/>
        <s v="Joshua Beard"/>
        <s v="Mrs. Sabrina Barry"/>
        <s v="Alexandra Morris"/>
        <s v="Karina Allen"/>
        <s v="Brian Pacheco"/>
        <s v="Nicholas Lawson"/>
        <s v="Matthew Buck"/>
        <s v="Thomas Delgado"/>
        <s v="Robert Foster"/>
        <s v="Jessica Garner"/>
        <s v="Christina Hunt"/>
        <s v="Stephanie May"/>
        <s v="John Curtis"/>
        <s v="Megan Manning"/>
        <s v="Mark Mcgrath"/>
        <s v="Andrew Jensen"/>
        <s v="Angela Cunningham"/>
        <s v="Hannah Gonzales"/>
        <s v="Stephanie Summers"/>
        <s v="Kyle Thompson"/>
        <s v="Dylan Weeks"/>
        <s v="Breanna Lee"/>
        <s v="Christine Riley"/>
        <s v="Julie Dixon"/>
        <s v="Sharon Nixon"/>
        <s v="Janet Graves"/>
        <s v="Jennifer Gallegos"/>
        <s v="John Mosley"/>
        <s v="Victoria Morgan"/>
        <s v="Erin Hansen"/>
        <s v="Erin Thomas"/>
        <s v="Natalie Mcdowell"/>
        <s v="Lindsay Gutierrez"/>
        <s v="Mrs. Michelle Chen"/>
        <s v="Elizabeth Martinez"/>
        <s v="Angelica Hubbard"/>
        <s v="Christopher Rivera"/>
        <s v="Jennifer Hernandez DDS"/>
        <s v="Jerry Herman"/>
        <s v="Lauren Scott"/>
        <s v="Dawn Lopez"/>
        <s v="Michael Michael"/>
        <s v="Terrence Carroll"/>
        <s v="Jeffery Olson"/>
        <s v="Brittany Schmidt"/>
        <s v="Austin Nelson"/>
        <s v="Dr. Robert Shepard"/>
        <s v="Megan Smith"/>
        <s v="Jack Patel"/>
        <s v="Phillip Wright"/>
        <s v="Daniel Gill"/>
        <s v="Anna Moss"/>
        <s v="Karen Poole"/>
        <s v="Daniel Thomas"/>
        <s v="Erin Williams"/>
        <s v="Vincent Jones"/>
        <s v="Samantha Stokes"/>
        <s v="Dennis Gordon"/>
        <s v="Evan Mcneil"/>
        <s v="Whitney Anderson"/>
        <s v="Ashley Hall"/>
        <s v="Heather Parker"/>
        <s v="Brittany Smith"/>
        <s v="Joseph Mckinney"/>
        <s v="Jackie Fernandez"/>
        <s v="Frank Russell"/>
        <s v="Lisa Adams"/>
        <s v="Isaiah Bridges"/>
        <s v="Charles Cook"/>
        <s v="Tracy Vaughan"/>
        <s v="David Yates"/>
        <s v="Melanie Vargas"/>
        <s v="Amy Pugh"/>
        <s v="Joseph Weber"/>
        <s v="Valerie Freeman"/>
        <s v="Jasmin Rose"/>
        <s v="Destiny Beasley"/>
        <s v="Kelly Black"/>
        <s v="Lisa Maldonado DDS"/>
        <s v="Tamara Gardner"/>
        <s v="Michelle Nash"/>
        <s v="Linda Smith"/>
        <s v="Dennis Waters"/>
        <s v="Jonathan Hall"/>
        <s v="Katherine Bailey"/>
        <s v="Rebecca Norris"/>
        <s v="Cheryl Tran"/>
        <s v="Ryan Gutierrez"/>
        <s v="Brittany Wilson"/>
        <s v="Timothy Walton"/>
        <s v="Lawrence Smith"/>
        <s v="Sheila Hayden"/>
        <s v="Christine Collins"/>
        <s v="Donald Martinez"/>
        <s v="Carrie Alvarado"/>
        <s v="Eric Jones"/>
        <s v="Brandi Moore"/>
        <s v="Sarah Navarro"/>
        <s v="Stephanie Travis"/>
        <s v="Shannon Matthews"/>
        <s v="David Reed"/>
        <s v="Katie Wilson"/>
        <s v="Sonya Anderson"/>
        <s v="Krystal Horton"/>
        <s v="Dr. Joshua Short"/>
        <s v="Angelica Nguyen"/>
        <s v="Jennifer Marshall"/>
        <s v="Michael Burke"/>
        <s v="Jacqueline White"/>
        <s v="Mr. Jason Matthews"/>
        <s v="Karen Villarreal"/>
        <s v="Jason Coleman"/>
        <s v="Jeffrey Turner"/>
        <s v="Paul Barrera"/>
        <s v="Jonathan Mosley"/>
        <s v="Anita Foster"/>
        <s v="Anthony Arnold"/>
        <s v="Mr. William Bennett Jr."/>
        <s v="Amy Lee"/>
        <s v="Michael Rios"/>
        <s v="Christopher Alexander"/>
        <s v="Kristina Jones"/>
        <s v="Cynthia Delgado"/>
        <s v="Richard Bailey"/>
        <s v="Scott Mcdowell"/>
        <s v="Brett Warren"/>
        <s v="Brenda Reyes"/>
        <s v="Andrew Ali"/>
        <s v="Alexander Henderson"/>
        <s v="Lisa Marks"/>
        <s v="Charles Lee"/>
        <s v="Kelly Castro"/>
        <s v="Michelle Weaver"/>
        <s v="Corey Hansen"/>
        <s v="Erica Murphy"/>
        <s v="James Walls"/>
        <s v="James Hanson"/>
        <s v="Jeffery Hart"/>
        <s v="Kathryn Stark"/>
        <s v="Donna Allison"/>
        <s v="Elizabeth Santiago"/>
        <s v="Jessica Rivera"/>
        <s v="Mrs. Dorothy Myers"/>
        <s v="Michael Hill"/>
        <s v="Zachary Morris"/>
        <s v="Rebecca Bradshaw"/>
        <s v="Richard Wolf"/>
        <s v="Sarah Green"/>
        <s v="Barbara Roy"/>
        <s v="Michelle Miller"/>
        <s v="Sharon Sherman"/>
        <s v="Anthony Walker"/>
        <s v="Eric Sanchez MD"/>
        <s v="Danielle Preston"/>
        <s v="Christian French"/>
        <s v="Maxwell Anderson"/>
        <s v="Ronald Harding"/>
        <s v="Sherry Baker"/>
        <s v="Alicia Rivas"/>
        <s v="Katie Weber"/>
        <s v="Nancy Smith"/>
        <s v="Scott Hall"/>
        <s v="Tracy Miller"/>
        <s v="Richard Gomez"/>
        <s v="Heather Adams"/>
        <s v="Mathew Walker"/>
        <s v="Melissa Chase"/>
        <s v="Theresa Johnson"/>
        <s v="Jacqueline Ramos"/>
        <s v="Teresa Mcgee"/>
        <s v="Brandon Jones"/>
        <s v="John George"/>
        <s v="Derrick Scott"/>
        <s v="Regina Mcdowell"/>
        <s v="Eric Goodman"/>
        <s v="Mary Kennedy"/>
        <s v="Laura Hull"/>
        <s v="Alyssa Shea"/>
        <s v="Laura Henry"/>
        <s v="Nicholas Phillips"/>
        <s v="Loretta Smith"/>
        <s v="Madison Wise"/>
        <s v="Monica Jackson"/>
        <s v="Scott Carroll"/>
        <s v="Paul Williamson"/>
        <s v="Jordan Zamora"/>
        <s v="Jacqueline Holmes"/>
        <s v="Brenda Ayers"/>
        <s v="Kimberly Larson"/>
        <s v="Vanessa Merritt"/>
        <s v="Priscilla Davis"/>
        <s v="Brian Velez"/>
        <s v="Jason Jennings"/>
        <s v="Jeanette Collins"/>
        <s v="Nathan Duran"/>
        <s v="Emma George"/>
        <s v="Alexander Li"/>
        <s v="Cody Cole"/>
        <s v="Karen Ramirez"/>
        <s v="Emily Luna"/>
        <s v="Michael Stevens"/>
        <s v="Randy Hodge"/>
        <s v="Paula Hall"/>
        <s v="Michael Esparza"/>
        <s v="Andrew Bishop"/>
        <s v="Julia Williams"/>
        <s v="Sarah Riley"/>
        <s v="Jared Brown"/>
        <s v="Amy Smith"/>
        <s v="Michelle Gilmore"/>
        <s v="Heather Juarez"/>
        <s v="Robert Gates"/>
        <s v="Daniel Brown"/>
        <s v="Albert Briggs"/>
        <s v="Gina Pacheco"/>
        <s v="Russell Nash"/>
        <s v="Rebecca Carrillo"/>
        <s v="Robert Smith"/>
        <s v="Alexander Carr"/>
        <s v="Christine Brown"/>
        <s v="Cindy Lee"/>
        <s v="Shannon Campbell"/>
        <s v="Deborah Cain"/>
        <s v="Brittany Jones"/>
        <s v="Natalie Carter"/>
        <s v="Albert Johnson"/>
        <s v="Laura Nelson"/>
        <s v="Mark Davis"/>
        <s v="Gary Klein"/>
        <s v="Tammy Davis"/>
        <s v="Eddie Fox"/>
        <s v="Elizabeth Knapp"/>
        <s v="Sheila Franklin"/>
        <s v="Elizabeth Castillo"/>
        <s v="Jessica Holmes"/>
        <s v="Jennifer Patterson"/>
        <s v="Dr. Tami Farley"/>
        <s v="Johnny Evans"/>
        <s v="Christopher Pearson"/>
        <s v="Darren Johnson"/>
        <s v="Lisa Jensen"/>
        <s v="Sheila Dalton"/>
        <s v="Tonya Salas"/>
        <s v="Heather Stewart"/>
        <s v="Drew Howard"/>
        <s v="Jennifer Martinez"/>
        <s v="Brian Jones"/>
        <s v="Beverly Gonzalez"/>
        <s v="Veronica Hernandez"/>
        <s v="Danny Gordon"/>
        <s v="Bridget Park MD"/>
        <s v="Heather Raymond"/>
        <s v="Cody Flores"/>
        <s v="Richard Smith"/>
        <s v="Amber Mcconnell"/>
        <s v="Johnny Castro"/>
        <s v="Nicole Powell"/>
        <s v="Thomas Harris"/>
        <s v="Amber Copeland"/>
        <s v="Mark Howard"/>
        <s v="Christine Vasquez"/>
        <s v="Benjamin Alvarado"/>
        <s v="Michael Sanders"/>
        <s v="Holly Singh"/>
        <s v="Gary Lopez"/>
        <s v="Steven Gonzalez"/>
        <s v="Donald Moran"/>
        <s v="Richard Berry"/>
        <s v="Zachary Rogers"/>
        <s v="Valerie Armstrong"/>
        <s v="Bradley Mack"/>
        <s v="Juan Walker"/>
        <s v="Kristen Huff"/>
        <s v="Carla Merritt"/>
        <s v="Michelle Pham"/>
        <s v="Linda Brown"/>
        <s v="Timothy Arnold"/>
        <s v="Terri Guerrero"/>
        <s v="Brittany Austin"/>
        <s v="Emily Rodriguez PhD"/>
        <s v="Vickie Blevins"/>
        <s v="Michelle Rich"/>
        <s v="Mrs. Maria Powell"/>
        <s v="Vanessa Rose"/>
        <s v="David Harris MD"/>
        <s v="Madison Montes"/>
        <s v="Ashley Gould"/>
        <s v="Johnathan Perry"/>
        <s v="William Wyatt"/>
        <s v="Kristen Johnson"/>
        <s v="Michael Nguyen"/>
        <s v="Jacqueline Pham"/>
        <s v="Darin Haynes"/>
        <s v="Jennifer Alvarez"/>
        <s v="Alec Morgan"/>
        <s v="Tracy Hernandez"/>
        <s v="Angela Dyer"/>
        <s v="Kelly Morris"/>
        <s v="Wendy Cooper"/>
        <s v="James Miller"/>
        <s v="Eric Curtis"/>
        <s v="Stacey Glenn"/>
        <s v="Shane Little"/>
        <s v="Holly Larson"/>
        <s v="Tracy Cordova"/>
        <s v="Shannon Ware"/>
        <s v="Nicole Gomez"/>
        <s v="Brandi Roberts"/>
        <s v="Tyler Sullivan"/>
        <s v="James Galvan"/>
        <s v="Manuel Barton"/>
        <s v="Gary Martinez"/>
        <s v="Daniel Austin"/>
        <s v="Richard Swanson"/>
        <s v="Melissa Burns"/>
        <s v="Donald Macdonald"/>
        <s v="Dorothy Valentine"/>
        <s v="Brian Ferguson"/>
        <s v="Steven Tyler"/>
        <s v="Carla Butler"/>
        <s v="Carrie Flores"/>
        <s v="Mary Black"/>
        <s v="Matthew Alexander"/>
        <s v="Alexis Johnson"/>
        <s v="Daniel Campbell"/>
        <s v="Michele Golden"/>
        <s v="Peggy Vang"/>
        <s v="Ivan Cowan"/>
        <s v="Samantha Hebert"/>
        <s v="Kyle Barber"/>
        <s v="Deanna Kim"/>
        <s v="Thomas Collins"/>
        <s v="John Edwards"/>
        <s v="Jeremy Thomas"/>
        <s v="Noah Harris"/>
        <s v="Mark Moore"/>
        <s v="Tammy Mcknight"/>
        <s v="Christina Sandoval"/>
        <s v="Katie Davis"/>
        <s v="Christopher Hughes"/>
        <s v="Robert Daniels"/>
        <s v="Chad Santos"/>
        <s v="Sarah Wolfe"/>
        <s v="Brian Sanders"/>
        <s v="Michael Cohen"/>
        <s v="Joshua Gonzalez"/>
        <s v="Mrs. Marcia Clark DVM"/>
        <s v="Christina Mckinney"/>
        <s v="Melissa Valentine"/>
        <s v="Joseph Fox"/>
        <s v="Jeremy Griffin"/>
        <s v="Jacqueline Wilson"/>
        <s v="Sarah Mosley"/>
        <s v="Sara Sutton"/>
        <s v="Mary Mooney"/>
        <s v="Amy Robinson"/>
        <s v="Veronica Collins"/>
        <s v="Stephanie Baker"/>
        <s v="Cody Shelton"/>
        <s v="Jamie Gutierrez"/>
        <s v="Evan Miller"/>
        <s v="Keith Turner"/>
        <s v="Kaitlyn Carson"/>
        <s v="Joshua Hamilton"/>
        <s v="Joseph Taylor"/>
        <s v="Katherine Baker"/>
        <s v="Miss Rebekah Martinez"/>
        <s v="Theresa Whitehead"/>
        <s v="Joshua Bass"/>
        <s v="Lauren Pittman"/>
        <s v="Cynthia Perry"/>
        <s v="Brian Cain"/>
        <s v="Kelly Doyle"/>
        <s v="Adam Evans"/>
        <s v="Miss Martha Smith"/>
        <s v="Darren Fitzpatrick"/>
        <s v="David Coleman"/>
        <s v="Clinton Keller"/>
        <s v="Tyler Smith"/>
        <s v="Angie Howard"/>
        <s v="Julie Jarvis"/>
        <s v="Emily Trujillo"/>
        <s v="Kristine Cannon"/>
        <s v="Jennifer Olsen"/>
        <s v="William Keith"/>
        <s v="Diana Garcia"/>
        <s v="Gary Ford"/>
        <s v="James Walker Jr."/>
        <s v="Sheila Lindsey"/>
        <s v="Marilyn Suarez"/>
        <s v="Jessica Sandoval"/>
        <s v="Chelsea Mcclure"/>
        <s v="William Tapia"/>
        <s v="Erin Jensen"/>
        <s v="Kristi Reese"/>
        <s v="Danielle Scott"/>
        <s v="John Palmer"/>
        <s v="Nicole Weiss"/>
        <s v="William Hinton"/>
        <s v="Joshua Vargas"/>
        <s v="Martha Diaz"/>
        <s v="Yvette King"/>
        <s v="Roy Jordan"/>
        <s v="Peter Mills"/>
        <s v="Shelia Hughes"/>
        <s v="Julie Williamson"/>
        <s v="Christine Guerra"/>
        <s v="Claire Valenzuela"/>
        <s v="Joseph Solomon"/>
        <s v="Carolyn Diaz"/>
        <s v="Rhonda Taylor"/>
        <s v="Samantha Sanchez"/>
        <s v="David Cook"/>
        <s v="Kathleen Collins"/>
        <s v="Jasmine Shaffer"/>
        <s v="Michael Pittman"/>
        <s v="Steven Andrade"/>
        <s v="Gregory Cabrera"/>
        <s v="Anthony Cole"/>
        <s v="Kimberly Johnson"/>
        <s v="Barbara Valentine"/>
        <s v="Elizabeth Martin"/>
        <s v="Dawn Webster"/>
        <s v="Geoffrey Freeman"/>
        <s v="Meghan Reed"/>
        <s v="Edward Holmes"/>
        <s v="Maria House MD"/>
        <s v="Kevin Garcia"/>
        <s v="Albert Munoz"/>
        <s v="Anthony Smith"/>
        <s v="John Eaton"/>
        <s v="Katherine Daugherty"/>
        <s v="Gabriel Brewer"/>
        <s v="Angela Curry"/>
        <s v="Heather Newton"/>
        <s v="Eric Wells"/>
        <s v="Martin Norris"/>
        <s v="Nicholas Winters"/>
        <s v="Robert Tanner"/>
        <s v="David Stephens"/>
        <s v="Sherry Brown"/>
        <s v="Matthew Maxwell"/>
        <s v="Carmen Woods"/>
        <s v="Juan Cook"/>
        <s v="Derek Valentine"/>
        <s v="Andrew Gould"/>
        <s v="Michael Dyer"/>
        <s v="John Saunders"/>
        <s v="Jessica Gonzales"/>
        <s v="Jessica Williams"/>
        <s v="Diana Underwood"/>
        <s v="Tracey Garcia"/>
        <s v="Janet Bowman"/>
        <s v="Carrie Carter"/>
        <s v="Stuart Morrow"/>
        <s v="Amanda Smith"/>
        <s v="David Ramirez"/>
        <s v="Wesley Jacobs"/>
        <s v="Margaret Boone"/>
        <s v="Jonathan Owen"/>
        <s v="Zachary Gross"/>
        <s v="Melissa Pierce"/>
        <s v="Breanna Freeman"/>
        <s v="Adam West"/>
        <s v="Anita Martinez"/>
        <s v="Robert Gonzales"/>
        <s v="Beth Hoffman"/>
        <s v="Kathy Hernandez"/>
        <s v="Robert Harris"/>
        <s v="Heather David"/>
        <s v="Paul Buck"/>
        <s v="John King"/>
        <s v="Gavin Liu"/>
        <s v="Megan Perez"/>
        <s v="Jesse Hale"/>
        <s v="Natasha Johnson"/>
        <s v="Patrick Sanders"/>
        <s v="Marie Gonzalez"/>
        <s v="Monica Fisher"/>
        <s v="Cynthia Reynolds"/>
        <s v="Sydney Mills"/>
        <s v="Brenda Moore"/>
        <s v="Mary Castro"/>
        <s v="Thomas Novak"/>
        <s v="Ryan Lopez"/>
        <s v="Jared Morales"/>
        <s v="Robert Sanchez"/>
        <s v="Kevin Burke"/>
        <s v="Ashley Patterson"/>
        <s v="Joanna Lowery"/>
        <s v="Andres Jones"/>
        <s v="Heidi Craig"/>
        <s v="Lee Jacobs"/>
        <s v="Jennifer Jones"/>
        <s v="Gregory Nichols"/>
        <s v="Michelle Hill"/>
        <s v="Tiffany Brown"/>
        <s v="Crystal Cooper"/>
        <s v="Sandy Ellis"/>
        <s v="Jennifer Silva"/>
        <s v="Erica Wilson"/>
        <s v="Haley Baldwin"/>
        <s v="Charles Macdonald"/>
        <s v="Kimberly Rice"/>
        <s v="Autumn Gallegos"/>
        <s v="Joseph Lewis"/>
        <s v="Donald Wagner"/>
        <s v="Brooke Hawkins"/>
        <s v="Michelle Williams"/>
        <s v="Julie Duffy"/>
        <s v="Amber Osborne"/>
        <s v="Joy Taylor"/>
        <s v="Crystal Turner"/>
        <s v="Kyle Cox"/>
        <s v="Angel Martinez"/>
        <s v="Kelly Mccoy"/>
        <s v="John Stewart"/>
        <s v="Michelle Holland"/>
        <s v="Cheyenne Woods"/>
        <s v="Christopher Dixon"/>
        <s v="Kayla Giles"/>
        <s v="James Callahan"/>
        <s v="Laurie Schwartz"/>
        <s v="Matthew Le"/>
        <s v="Dawn Moreno"/>
        <s v="Monica Patrick"/>
        <s v="Makayla Perry DDS"/>
        <s v="Kimberly Hicks"/>
        <s v="Thomas Aguirre"/>
        <s v="Philip Walker"/>
        <s v="Austin Byrd"/>
        <s v="Nicholas Weaver"/>
        <s v="Steven Pratt"/>
        <s v="James Estes"/>
        <s v="Mark Ray DVM"/>
        <s v="Vincent Phillips"/>
        <s v="Julie Porter"/>
        <s v="Steven King"/>
        <s v="Joseph Downs"/>
        <s v="Stephen Morales"/>
        <s v="Jason Klein"/>
        <s v="Denise Maxwell"/>
        <s v="Andrea Lopez"/>
        <s v="Sean Clark"/>
        <s v="Tom Phillips"/>
        <s v="Roberto Wilson"/>
        <s v="Katherine Brown"/>
        <s v="Felicia Williams"/>
        <s v="Richard Simmons"/>
        <s v="Elaine Villa"/>
        <s v="Amy Jimenez"/>
        <s v="Morgan Lewis"/>
        <s v="Jerry Warner"/>
        <s v="Matthew Perez"/>
        <s v="Andrew Greene"/>
        <s v="Tammy Stewart"/>
        <s v="Heidi Carpenter"/>
        <s v="Deborah Malone"/>
        <s v="Mr. Manuel Harper"/>
        <s v="Aaron Barber"/>
        <s v="Terri Tran"/>
        <s v="April Watson"/>
        <s v="Julian Lee"/>
        <s v="Jeremy Simon"/>
        <s v="Nicholas Roberts"/>
        <s v="Jennifer Miller"/>
        <s v="Tiffany West"/>
        <s v="Robert Williams"/>
        <s v="Jacob Vincent MD"/>
        <s v="Rebecca Taylor"/>
        <s v="Kimberly Collins"/>
        <s v="Jason Tran"/>
        <s v="Nathan Vasquez"/>
        <s v="Brandon Cisneros"/>
        <s v="Joshua Gordon"/>
        <s v="Kenneth Taylor"/>
        <s v="Matthew Smith"/>
        <s v="Jane Duncan"/>
        <s v="Christopher Haley"/>
        <s v="Mathew Obrien"/>
        <s v="Christian Tate"/>
        <s v="Wendy Ochoa MD"/>
        <s v="Dylan Fitzpatrick"/>
        <s v="Elizabeth Meyer"/>
        <s v="Brooke Ramirez"/>
        <s v="Natasha Palmer"/>
        <s v="Michael Donaldson"/>
        <s v="Audrey Mitchell DVM"/>
        <s v="Bradley Sanchez"/>
        <s v="Tara Brown"/>
        <s v="Michael Kelly"/>
        <s v="Jason Sandoval"/>
        <s v="Amy Nichols"/>
        <s v="Peter Thomas"/>
        <s v="Virginia Robertson DVM"/>
        <s v="Kelly Carson"/>
        <s v="Christopher Parker"/>
        <s v="Amy Bell"/>
        <s v="David Brown"/>
        <s v="Judy Watts"/>
        <s v="Shawn Martinez"/>
        <s v="Dawn Phillips"/>
        <s v="Justin Osborne"/>
        <s v="Shannon Haney"/>
        <s v="Rebecca Fry"/>
        <s v="Jennifer Sherman"/>
        <s v="David Mcclain"/>
        <s v="Rodney Terry"/>
        <s v="Daniel Davis"/>
        <s v="James Frost"/>
        <s v="Brandon Morris"/>
        <s v="Lori Harrington"/>
        <s v="Karen Bradshaw"/>
        <s v="Kenneth Wilson"/>
        <s v="Daniel Bush"/>
        <s v="Dr. Alicia Mcmillan"/>
        <s v="Pamela Jennings"/>
        <s v="Mary Morris"/>
        <s v="Jesse Hernandez"/>
        <s v="Bruce Long"/>
        <s v="Andrew Browning"/>
        <s v="Justin Solomon"/>
        <s v="Derrick Johns"/>
        <s v="Angela Singleton"/>
        <s v="Amanda Oconnor"/>
        <s v="Lisa Huang"/>
        <s v="Jessica Manning"/>
        <s v="Richard Donaldson"/>
        <s v="John Lopez"/>
        <s v="Debra Knight"/>
        <s v="Brandi Miller"/>
        <s v="Sergio Acosta"/>
        <s v="Candace Lawrence"/>
        <s v="Jo Jones"/>
        <s v="Danny Maldonado PhD"/>
        <s v="Elizabeth Coleman"/>
        <s v="Adam Simpson"/>
        <s v="Mary Mitchell"/>
        <s v="Jeremy Hernandez"/>
        <s v="Christopher Hayden"/>
        <s v="Joshua Young"/>
        <s v="Emma Brandt"/>
        <s v="Lauren Moore"/>
        <s v="Cassandra Miller"/>
        <s v="Paige Petersen"/>
        <s v="Antonio Mccoy"/>
        <s v="Kristi Ward"/>
        <s v="Kevin Weiss"/>
        <s v="Heidi Gray"/>
        <s v="Ashley Martinez DDS"/>
        <s v="Kimberly Stewart"/>
        <s v="George Lee"/>
        <s v="William Mcmillan"/>
        <s v="Toni Morales"/>
      </sharedItems>
    </cacheField>
    <cacheField name="City" numFmtId="0">
      <sharedItems/>
    </cacheField>
    <cacheField name="State" numFmtId="0">
      <sharedItems count="4">
        <s v="Oyo"/>
        <s v="Abuja"/>
        <s v="Rivers"/>
        <s v="Lagos"/>
      </sharedItems>
    </cacheField>
    <cacheField name="Product Name" numFmtId="0">
      <sharedItems count="12">
        <s v="Wristwatch"/>
        <s v="T-shirt"/>
        <s v="Electric Kettle"/>
        <s v="Blender"/>
        <s v="Bluetooth Speaker"/>
        <s v="Water Dispenser"/>
        <s v="Phone Charger"/>
        <s v="Power Bank"/>
        <s v="Jersey"/>
        <s v="AirPods"/>
        <s v="Gas Cylinder"/>
        <s v="Sneakers"/>
      </sharedItems>
    </cacheField>
    <cacheField name="Product Category" numFmtId="0">
      <sharedItems count="3">
        <s v="Fashion"/>
        <s v="Home"/>
        <s v="Electronics"/>
      </sharedItems>
    </cacheField>
    <cacheField name="Sub Category" numFmtId="0">
      <sharedItems count="6">
        <s v="Accessories"/>
        <s v="Clothing"/>
        <s v="Kitchen"/>
        <s v="Audio"/>
        <s v="Appliances"/>
        <s v="Power"/>
      </sharedItems>
    </cacheField>
    <cacheField name="Quantity" numFmtId="0">
      <sharedItems containsSemiMixedTypes="0" containsString="0" containsNumber="1" containsInteger="1" minValue="1" maxValue="5"/>
    </cacheField>
    <cacheField name="Unit Price (₦)" numFmtId="0">
      <sharedItems containsSemiMixedTypes="0" containsString="0" containsNumber="1" containsInteger="1" minValue="1565" maxValue="79984"/>
    </cacheField>
    <cacheField name="Discount %" numFmtId="1">
      <sharedItems containsSemiMixedTypes="0" containsString="0" containsNumber="1" containsInteger="1" minValue="0" maxValue="20"/>
    </cacheField>
    <cacheField name="Discounted Unit Price (₦)" numFmtId="0">
      <sharedItems containsSemiMixedTypes="0" containsString="0" containsNumber="1" minValue="1252" maxValue="79839"/>
    </cacheField>
    <cacheField name="Total Price (₦)" numFmtId="0">
      <sharedItems containsSemiMixedTypes="0" containsString="0" containsNumber="1" minValue="1336" maxValue="385460"/>
    </cacheField>
    <cacheField name="Shipping Fee (₦)" numFmtId="0">
      <sharedItems containsSemiMixedTypes="0" containsString="0" containsNumber="1" containsInteger="1" minValue="1000" maxValue="2000"/>
    </cacheField>
    <cacheField name="Payment Method" numFmtId="0">
      <sharedItems count="3">
        <s v="Pay on Delivery"/>
        <s v="Card"/>
        <s v="Transfer"/>
      </sharedItems>
    </cacheField>
    <cacheField name="Delivery Status" numFmtId="0">
      <sharedItems count="3">
        <s v="In Transit"/>
        <s v="Failed"/>
        <s v="Delivered"/>
      </sharedItems>
    </cacheField>
    <cacheField name="Delivery Date" numFmtId="14">
      <sharedItems containsNonDate="0" containsDate="1" containsString="0" containsBlank="1" minDate="2025-01-01T00:00:00" maxDate="2025-07-12T00:00:00"/>
    </cacheField>
    <cacheField name="Product Review" numFmtId="0">
      <sharedItems/>
    </cacheField>
    <cacheField name="Product Rating" numFmtId="0">
      <sharedItems containsSemiMixedTypes="0" containsString="0" containsNumber="1" containsInteger="1" minValue="1" maxValue="3" count="3">
        <n v="2"/>
        <n v="1"/>
        <n v="3"/>
      </sharedItems>
    </cacheField>
    <cacheField name="Delivery time" numFmtId="1">
      <sharedItems containsSemiMixedTypes="0" containsString="0" containsNumber="1" containsInteger="1" minValue="0" maxValue="14"/>
    </cacheField>
    <cacheField name="Months (Order Date)" numFmtId="0" databaseField="0">
      <fieldGroup base="0">
        <rangePr groupBy="months" startDate="2024-12-30T00:00:00" endDate="2025-07-01T00:00:00"/>
        <groupItems count="14">
          <s v="&lt;30/12/2024"/>
          <s v="Jan"/>
          <s v="Feb"/>
          <s v="Mar"/>
          <s v="Apr"/>
          <s v="May"/>
          <s v="Jun"/>
          <s v="Jul"/>
          <s v="Aug"/>
          <s v="Sep"/>
          <s v="Oct"/>
          <s v="Nov"/>
          <s v="Dec"/>
          <s v="&gt;01/07/2025"/>
        </groupItems>
      </fieldGroup>
    </cacheField>
    <cacheField name="Quarters (Order Date)" numFmtId="0" databaseField="0">
      <fieldGroup base="0">
        <rangePr groupBy="quarters" startDate="2024-12-30T00:00:00" endDate="2025-07-01T00:00:00"/>
        <groupItems count="6">
          <s v="&lt;30/12/2024"/>
          <s v="Qtr1"/>
          <s v="Qtr2"/>
          <s v="Qtr3"/>
          <s v="Qtr4"/>
          <s v="&gt;01/07/2025"/>
        </groupItems>
      </fieldGroup>
    </cacheField>
    <cacheField name="Years (Order Date)" numFmtId="0" databaseField="0">
      <fieldGroup base="0">
        <rangePr groupBy="years" startDate="2024-12-30T00:00:00" endDate="2025-07-01T00:00:00"/>
        <groupItems count="4">
          <s v="&lt;30/12/2024"/>
          <s v="2024"/>
          <s v="2025"/>
          <s v="&gt;01/07/2025"/>
        </groupItems>
      </fieldGroup>
    </cacheField>
  </cacheFields>
  <extLst>
    <ext xmlns:x14="http://schemas.microsoft.com/office/spreadsheetml/2009/9/main" uri="{725AE2AE-9491-48be-B2B4-4EB974FC3084}">
      <x14:pivotCacheDefinition pivotCacheId="826674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1">
  <r>
    <x v="0"/>
    <x v="0"/>
    <s v="Ibadan"/>
    <x v="0"/>
    <x v="0"/>
    <x v="0"/>
    <x v="0"/>
    <n v="3"/>
    <n v="33320"/>
    <n v="5"/>
    <n v="31654"/>
    <n v="94962"/>
    <n v="1500"/>
    <x v="0"/>
    <x v="0"/>
    <m/>
    <s v="okay"/>
    <x v="0"/>
    <n v="0"/>
  </r>
  <r>
    <x v="1"/>
    <x v="1"/>
    <s v="Gwarinpa"/>
    <x v="1"/>
    <x v="1"/>
    <x v="0"/>
    <x v="1"/>
    <n v="3"/>
    <n v="39875"/>
    <n v="0"/>
    <n v="39875"/>
    <n v="119625"/>
    <n v="2000"/>
    <x v="1"/>
    <x v="1"/>
    <m/>
    <s v="no comment"/>
    <x v="1"/>
    <n v="0"/>
  </r>
  <r>
    <x v="2"/>
    <x v="2"/>
    <s v="Asokoro"/>
    <x v="1"/>
    <x v="2"/>
    <x v="1"/>
    <x v="2"/>
    <n v="2"/>
    <n v="47070"/>
    <n v="10"/>
    <n v="42363"/>
    <n v="84726"/>
    <n v="1500"/>
    <x v="0"/>
    <x v="1"/>
    <m/>
    <s v="no comment"/>
    <x v="1"/>
    <n v="0"/>
  </r>
  <r>
    <x v="3"/>
    <x v="3"/>
    <s v="Port Harcourt"/>
    <x v="2"/>
    <x v="2"/>
    <x v="1"/>
    <x v="2"/>
    <n v="5"/>
    <n v="54880"/>
    <n v="5"/>
    <n v="52136"/>
    <n v="260680"/>
    <n v="2000"/>
    <x v="2"/>
    <x v="0"/>
    <m/>
    <s v="okay"/>
    <x v="0"/>
    <n v="0"/>
  </r>
  <r>
    <x v="4"/>
    <x v="4"/>
    <s v="Port Harcourt"/>
    <x v="2"/>
    <x v="3"/>
    <x v="1"/>
    <x v="2"/>
    <n v="2"/>
    <n v="52797"/>
    <n v="15"/>
    <n v="44877.45"/>
    <n v="89754.9"/>
    <n v="2000"/>
    <x v="1"/>
    <x v="2"/>
    <d v="2025-03-10T00:00:00"/>
    <s v="excellent"/>
    <x v="2"/>
    <n v="4"/>
  </r>
  <r>
    <x v="5"/>
    <x v="5"/>
    <s v="Yaba"/>
    <x v="3"/>
    <x v="4"/>
    <x v="2"/>
    <x v="3"/>
    <n v="1"/>
    <n v="6189"/>
    <n v="5"/>
    <n v="5879.55"/>
    <n v="5879.55"/>
    <n v="2000"/>
    <x v="1"/>
    <x v="1"/>
    <m/>
    <s v="no comment"/>
    <x v="1"/>
    <n v="0"/>
  </r>
  <r>
    <x v="6"/>
    <x v="6"/>
    <s v="Asokoro"/>
    <x v="1"/>
    <x v="5"/>
    <x v="1"/>
    <x v="4"/>
    <n v="2"/>
    <n v="67765"/>
    <n v="20"/>
    <n v="54212"/>
    <n v="108424"/>
    <n v="1500"/>
    <x v="1"/>
    <x v="2"/>
    <d v="2025-04-27T00:00:00"/>
    <s v="excellent"/>
    <x v="2"/>
    <n v="11"/>
  </r>
  <r>
    <x v="7"/>
    <x v="7"/>
    <s v="Lekki"/>
    <x v="3"/>
    <x v="3"/>
    <x v="1"/>
    <x v="2"/>
    <n v="1"/>
    <n v="26589"/>
    <n v="10"/>
    <n v="23930.1"/>
    <n v="23930.1"/>
    <n v="1000"/>
    <x v="1"/>
    <x v="2"/>
    <d v="2025-01-09T00:00:00"/>
    <s v="excellent"/>
    <x v="2"/>
    <n v="2"/>
  </r>
  <r>
    <x v="8"/>
    <x v="8"/>
    <s v="Obio-Akpor"/>
    <x v="2"/>
    <x v="6"/>
    <x v="2"/>
    <x v="5"/>
    <n v="4"/>
    <n v="65890"/>
    <n v="0"/>
    <n v="65890"/>
    <n v="263560"/>
    <n v="1500"/>
    <x v="1"/>
    <x v="0"/>
    <m/>
    <s v="okay"/>
    <x v="0"/>
    <n v="0"/>
  </r>
  <r>
    <x v="9"/>
    <x v="9"/>
    <s v="Oyigbo"/>
    <x v="2"/>
    <x v="7"/>
    <x v="2"/>
    <x v="5"/>
    <n v="4"/>
    <n v="11925"/>
    <n v="10"/>
    <n v="10732.5"/>
    <n v="42930"/>
    <n v="1000"/>
    <x v="0"/>
    <x v="1"/>
    <m/>
    <s v="no comment"/>
    <x v="1"/>
    <n v="0"/>
  </r>
  <r>
    <x v="10"/>
    <x v="10"/>
    <s v="Lekki"/>
    <x v="3"/>
    <x v="8"/>
    <x v="0"/>
    <x v="1"/>
    <n v="4"/>
    <n v="22224"/>
    <n v="10"/>
    <n v="20001.599999999999"/>
    <n v="80006.399999999994"/>
    <n v="1000"/>
    <x v="1"/>
    <x v="0"/>
    <m/>
    <s v="okay"/>
    <x v="0"/>
    <n v="0"/>
  </r>
  <r>
    <x v="11"/>
    <x v="11"/>
    <s v="Ogbomosho"/>
    <x v="0"/>
    <x v="9"/>
    <x v="2"/>
    <x v="3"/>
    <n v="1"/>
    <n v="18244"/>
    <n v="5"/>
    <n v="17331.8"/>
    <n v="17331.8"/>
    <n v="1000"/>
    <x v="0"/>
    <x v="0"/>
    <m/>
    <s v="okay"/>
    <x v="0"/>
    <n v="0"/>
  </r>
  <r>
    <x v="12"/>
    <x v="12"/>
    <s v="Yaba"/>
    <x v="3"/>
    <x v="8"/>
    <x v="0"/>
    <x v="1"/>
    <n v="4"/>
    <n v="57645"/>
    <n v="5"/>
    <n v="54762.75"/>
    <n v="219051"/>
    <n v="2000"/>
    <x v="2"/>
    <x v="2"/>
    <d v="2025-04-05T00:00:00"/>
    <s v="excellent"/>
    <x v="2"/>
    <n v="14"/>
  </r>
  <r>
    <x v="13"/>
    <x v="13"/>
    <s v="Oyigbo"/>
    <x v="2"/>
    <x v="9"/>
    <x v="2"/>
    <x v="3"/>
    <n v="3"/>
    <n v="45286"/>
    <n v="20"/>
    <n v="36228.800000000003"/>
    <n v="108686.39999999999"/>
    <n v="1000"/>
    <x v="2"/>
    <x v="2"/>
    <d v="2025-02-24T00:00:00"/>
    <s v="excellent"/>
    <x v="2"/>
    <n v="9"/>
  </r>
  <r>
    <x v="14"/>
    <x v="14"/>
    <s v="Eruwa"/>
    <x v="0"/>
    <x v="5"/>
    <x v="1"/>
    <x v="4"/>
    <n v="1"/>
    <n v="23864"/>
    <n v="0"/>
    <n v="23864"/>
    <n v="23864"/>
    <n v="1500"/>
    <x v="2"/>
    <x v="2"/>
    <d v="2025-03-20T00:00:00"/>
    <s v="excellent"/>
    <x v="2"/>
    <n v="4"/>
  </r>
  <r>
    <x v="11"/>
    <x v="15"/>
    <s v="Eruwa"/>
    <x v="0"/>
    <x v="7"/>
    <x v="2"/>
    <x v="5"/>
    <n v="5"/>
    <n v="67834"/>
    <n v="15"/>
    <n v="57658.9"/>
    <n v="288294.5"/>
    <n v="1500"/>
    <x v="2"/>
    <x v="1"/>
    <m/>
    <s v="no comment"/>
    <x v="1"/>
    <n v="0"/>
  </r>
  <r>
    <x v="15"/>
    <x v="16"/>
    <s v="Ibadan"/>
    <x v="0"/>
    <x v="9"/>
    <x v="2"/>
    <x v="3"/>
    <n v="3"/>
    <n v="36610"/>
    <n v="10"/>
    <n v="32949"/>
    <n v="98847"/>
    <n v="2000"/>
    <x v="1"/>
    <x v="0"/>
    <m/>
    <s v="okay"/>
    <x v="0"/>
    <n v="0"/>
  </r>
  <r>
    <x v="16"/>
    <x v="17"/>
    <s v="Wuse"/>
    <x v="1"/>
    <x v="6"/>
    <x v="2"/>
    <x v="5"/>
    <n v="4"/>
    <n v="54312"/>
    <n v="15"/>
    <n v="46165.2"/>
    <n v="184660.8"/>
    <n v="1500"/>
    <x v="2"/>
    <x v="1"/>
    <m/>
    <s v="no comment"/>
    <x v="1"/>
    <n v="0"/>
  </r>
  <r>
    <x v="17"/>
    <x v="18"/>
    <s v="Lekki"/>
    <x v="3"/>
    <x v="10"/>
    <x v="1"/>
    <x v="4"/>
    <n v="1"/>
    <n v="20293"/>
    <n v="5"/>
    <n v="19278.349999999999"/>
    <n v="19278.349999999999"/>
    <n v="2000"/>
    <x v="2"/>
    <x v="0"/>
    <m/>
    <s v="okay"/>
    <x v="0"/>
    <n v="0"/>
  </r>
  <r>
    <x v="6"/>
    <x v="19"/>
    <s v="Gwarinpa"/>
    <x v="1"/>
    <x v="11"/>
    <x v="0"/>
    <x v="0"/>
    <n v="4"/>
    <n v="34049"/>
    <n v="15"/>
    <n v="28941.65"/>
    <n v="115766.6"/>
    <n v="1000"/>
    <x v="0"/>
    <x v="0"/>
    <m/>
    <s v="okay"/>
    <x v="0"/>
    <n v="0"/>
  </r>
  <r>
    <x v="18"/>
    <x v="20"/>
    <s v="Eruwa"/>
    <x v="0"/>
    <x v="4"/>
    <x v="2"/>
    <x v="3"/>
    <n v="1"/>
    <n v="32887"/>
    <n v="15"/>
    <n v="27953.95"/>
    <n v="27953.95"/>
    <n v="1500"/>
    <x v="0"/>
    <x v="2"/>
    <d v="2025-05-22T00:00:00"/>
    <s v="excellent"/>
    <x v="2"/>
    <n v="13"/>
  </r>
  <r>
    <x v="19"/>
    <x v="21"/>
    <s v="Asokoro"/>
    <x v="1"/>
    <x v="1"/>
    <x v="0"/>
    <x v="1"/>
    <n v="5"/>
    <n v="35966"/>
    <n v="10"/>
    <n v="32369.4"/>
    <n v="161847"/>
    <n v="1000"/>
    <x v="0"/>
    <x v="0"/>
    <m/>
    <s v="okay"/>
    <x v="0"/>
    <n v="0"/>
  </r>
  <r>
    <x v="20"/>
    <x v="22"/>
    <s v="Wuse"/>
    <x v="1"/>
    <x v="10"/>
    <x v="1"/>
    <x v="4"/>
    <n v="5"/>
    <n v="57029"/>
    <n v="10"/>
    <n v="51326.1"/>
    <n v="256630.5"/>
    <n v="1000"/>
    <x v="1"/>
    <x v="0"/>
    <m/>
    <s v="okay"/>
    <x v="0"/>
    <n v="0"/>
  </r>
  <r>
    <x v="21"/>
    <x v="23"/>
    <s v="Gwarinpa"/>
    <x v="1"/>
    <x v="10"/>
    <x v="1"/>
    <x v="4"/>
    <n v="3"/>
    <n v="46639"/>
    <n v="5"/>
    <n v="44307.05"/>
    <n v="132921.15"/>
    <n v="2000"/>
    <x v="0"/>
    <x v="0"/>
    <m/>
    <s v="okay"/>
    <x v="0"/>
    <n v="0"/>
  </r>
  <r>
    <x v="22"/>
    <x v="24"/>
    <s v="Gwarinpa"/>
    <x v="1"/>
    <x v="2"/>
    <x v="1"/>
    <x v="2"/>
    <n v="2"/>
    <n v="51438"/>
    <n v="20"/>
    <n v="41150.400000000001"/>
    <n v="82300.800000000003"/>
    <n v="2000"/>
    <x v="2"/>
    <x v="1"/>
    <m/>
    <s v="no comment"/>
    <x v="1"/>
    <n v="0"/>
  </r>
  <r>
    <x v="23"/>
    <x v="25"/>
    <s v="Wuse"/>
    <x v="1"/>
    <x v="8"/>
    <x v="0"/>
    <x v="1"/>
    <n v="5"/>
    <n v="14101"/>
    <n v="15"/>
    <n v="11985.85"/>
    <n v="59929.25"/>
    <n v="2000"/>
    <x v="1"/>
    <x v="2"/>
    <d v="2025-05-26T00:00:00"/>
    <s v="excellent"/>
    <x v="2"/>
    <n v="5"/>
  </r>
  <r>
    <x v="24"/>
    <x v="26"/>
    <s v="Bonny"/>
    <x v="2"/>
    <x v="4"/>
    <x v="2"/>
    <x v="3"/>
    <n v="5"/>
    <n v="9665"/>
    <n v="0"/>
    <n v="9665"/>
    <n v="48325"/>
    <n v="1500"/>
    <x v="2"/>
    <x v="1"/>
    <m/>
    <s v="no comment"/>
    <x v="1"/>
    <n v="0"/>
  </r>
  <r>
    <x v="25"/>
    <x v="27"/>
    <s v="Iseyin"/>
    <x v="0"/>
    <x v="1"/>
    <x v="0"/>
    <x v="1"/>
    <n v="2"/>
    <n v="31912"/>
    <n v="15"/>
    <n v="27125.200000000001"/>
    <n v="54250.400000000001"/>
    <n v="1000"/>
    <x v="1"/>
    <x v="0"/>
    <m/>
    <s v="okay"/>
    <x v="0"/>
    <n v="0"/>
  </r>
  <r>
    <x v="8"/>
    <x v="28"/>
    <s v="Surulere"/>
    <x v="3"/>
    <x v="3"/>
    <x v="1"/>
    <x v="2"/>
    <n v="2"/>
    <n v="25522"/>
    <n v="5"/>
    <n v="24245.9"/>
    <n v="48491.8"/>
    <n v="1500"/>
    <x v="0"/>
    <x v="1"/>
    <m/>
    <s v="no comment"/>
    <x v="1"/>
    <n v="0"/>
  </r>
  <r>
    <x v="26"/>
    <x v="29"/>
    <s v="Yaba"/>
    <x v="3"/>
    <x v="2"/>
    <x v="1"/>
    <x v="2"/>
    <n v="1"/>
    <n v="76929"/>
    <n v="5"/>
    <n v="73082.55"/>
    <n v="73082.55"/>
    <n v="2000"/>
    <x v="2"/>
    <x v="1"/>
    <m/>
    <s v="no comment"/>
    <x v="1"/>
    <n v="0"/>
  </r>
  <r>
    <x v="27"/>
    <x v="30"/>
    <s v="Obio-Akpor"/>
    <x v="2"/>
    <x v="4"/>
    <x v="2"/>
    <x v="3"/>
    <n v="4"/>
    <n v="77861"/>
    <n v="0"/>
    <n v="77861"/>
    <n v="311444"/>
    <n v="2000"/>
    <x v="0"/>
    <x v="2"/>
    <d v="2025-06-19T00:00:00"/>
    <s v="excellent"/>
    <x v="2"/>
    <n v="3"/>
  </r>
  <r>
    <x v="28"/>
    <x v="31"/>
    <s v="Port Harcourt"/>
    <x v="2"/>
    <x v="2"/>
    <x v="1"/>
    <x v="2"/>
    <n v="2"/>
    <n v="61728"/>
    <n v="5"/>
    <n v="58641.599999999999"/>
    <n v="117283.2"/>
    <n v="1000"/>
    <x v="0"/>
    <x v="0"/>
    <m/>
    <s v="okay"/>
    <x v="0"/>
    <n v="0"/>
  </r>
  <r>
    <x v="29"/>
    <x v="32"/>
    <s v="Ikeja"/>
    <x v="3"/>
    <x v="2"/>
    <x v="1"/>
    <x v="2"/>
    <n v="3"/>
    <n v="5557"/>
    <n v="0"/>
    <n v="5557"/>
    <n v="16671"/>
    <n v="1500"/>
    <x v="0"/>
    <x v="2"/>
    <d v="2025-02-08T00:00:00"/>
    <s v="excellent"/>
    <x v="2"/>
    <n v="5"/>
  </r>
  <r>
    <x v="30"/>
    <x v="33"/>
    <s v="Gwarinpa"/>
    <x v="1"/>
    <x v="11"/>
    <x v="0"/>
    <x v="0"/>
    <n v="1"/>
    <n v="72388"/>
    <n v="5"/>
    <n v="68768.600000000006"/>
    <n v="68768.600000000006"/>
    <n v="2000"/>
    <x v="2"/>
    <x v="0"/>
    <m/>
    <s v="okay"/>
    <x v="0"/>
    <n v="0"/>
  </r>
  <r>
    <x v="31"/>
    <x v="34"/>
    <s v="Maitama"/>
    <x v="1"/>
    <x v="3"/>
    <x v="1"/>
    <x v="2"/>
    <n v="2"/>
    <n v="37848"/>
    <n v="0"/>
    <n v="37848"/>
    <n v="75696"/>
    <n v="1500"/>
    <x v="1"/>
    <x v="0"/>
    <m/>
    <s v="okay"/>
    <x v="0"/>
    <n v="0"/>
  </r>
  <r>
    <x v="32"/>
    <x v="35"/>
    <s v="Ibadan"/>
    <x v="0"/>
    <x v="5"/>
    <x v="1"/>
    <x v="4"/>
    <n v="5"/>
    <n v="52938"/>
    <n v="20"/>
    <n v="42350.400000000001"/>
    <n v="211752"/>
    <n v="1500"/>
    <x v="0"/>
    <x v="2"/>
    <d v="2025-04-15T00:00:00"/>
    <s v="excellent"/>
    <x v="2"/>
    <n v="14"/>
  </r>
  <r>
    <x v="33"/>
    <x v="36"/>
    <s v="Bonny"/>
    <x v="2"/>
    <x v="11"/>
    <x v="0"/>
    <x v="0"/>
    <n v="2"/>
    <n v="38753"/>
    <n v="10"/>
    <n v="34877.699999999997"/>
    <n v="69755.399999999994"/>
    <n v="1500"/>
    <x v="0"/>
    <x v="2"/>
    <d v="2025-03-14T00:00:00"/>
    <s v="excellent"/>
    <x v="2"/>
    <n v="9"/>
  </r>
  <r>
    <x v="34"/>
    <x v="37"/>
    <s v="Ibadan"/>
    <x v="0"/>
    <x v="0"/>
    <x v="0"/>
    <x v="0"/>
    <n v="5"/>
    <n v="77011"/>
    <n v="0"/>
    <n v="77011"/>
    <n v="385055"/>
    <n v="1000"/>
    <x v="2"/>
    <x v="1"/>
    <m/>
    <s v="no comment"/>
    <x v="1"/>
    <n v="0"/>
  </r>
  <r>
    <x v="35"/>
    <x v="38"/>
    <s v="Asokoro"/>
    <x v="1"/>
    <x v="5"/>
    <x v="1"/>
    <x v="4"/>
    <n v="2"/>
    <n v="30642"/>
    <n v="10"/>
    <n v="27577.8"/>
    <n v="55155.6"/>
    <n v="1500"/>
    <x v="0"/>
    <x v="2"/>
    <d v="2025-01-15T00:00:00"/>
    <s v="excellent"/>
    <x v="2"/>
    <n v="7"/>
  </r>
  <r>
    <x v="36"/>
    <x v="39"/>
    <s v="Eruwa"/>
    <x v="0"/>
    <x v="3"/>
    <x v="1"/>
    <x v="2"/>
    <n v="1"/>
    <n v="11271"/>
    <n v="5"/>
    <n v="10707.45"/>
    <n v="10707.45"/>
    <n v="2000"/>
    <x v="1"/>
    <x v="0"/>
    <m/>
    <s v="okay"/>
    <x v="0"/>
    <n v="0"/>
  </r>
  <r>
    <x v="3"/>
    <x v="40"/>
    <s v="Ogbomosho"/>
    <x v="0"/>
    <x v="5"/>
    <x v="1"/>
    <x v="4"/>
    <n v="1"/>
    <n v="52781"/>
    <n v="20"/>
    <n v="42224.800000000003"/>
    <n v="42224.800000000003"/>
    <n v="2000"/>
    <x v="1"/>
    <x v="0"/>
    <m/>
    <s v="okay"/>
    <x v="0"/>
    <n v="0"/>
  </r>
  <r>
    <x v="14"/>
    <x v="41"/>
    <s v="Bonny"/>
    <x v="2"/>
    <x v="10"/>
    <x v="1"/>
    <x v="4"/>
    <n v="5"/>
    <n v="42505"/>
    <n v="5"/>
    <n v="40379.75"/>
    <n v="201898.75"/>
    <n v="1000"/>
    <x v="0"/>
    <x v="2"/>
    <d v="2025-03-30T00:00:00"/>
    <s v="excellent"/>
    <x v="2"/>
    <n v="14"/>
  </r>
  <r>
    <x v="37"/>
    <x v="42"/>
    <s v="Port Harcourt"/>
    <x v="2"/>
    <x v="11"/>
    <x v="0"/>
    <x v="0"/>
    <n v="3"/>
    <n v="11864"/>
    <n v="10"/>
    <n v="10677.6"/>
    <n v="32032.799999999999"/>
    <n v="1000"/>
    <x v="0"/>
    <x v="0"/>
    <m/>
    <s v="okay"/>
    <x v="0"/>
    <n v="0"/>
  </r>
  <r>
    <x v="7"/>
    <x v="43"/>
    <s v="Gwarinpa"/>
    <x v="1"/>
    <x v="1"/>
    <x v="0"/>
    <x v="1"/>
    <n v="1"/>
    <n v="59318"/>
    <n v="0"/>
    <n v="59318"/>
    <n v="59318"/>
    <n v="1000"/>
    <x v="0"/>
    <x v="2"/>
    <d v="2025-01-19T00:00:00"/>
    <s v="excellent"/>
    <x v="2"/>
    <n v="12"/>
  </r>
  <r>
    <x v="38"/>
    <x v="44"/>
    <s v="Iseyin"/>
    <x v="0"/>
    <x v="8"/>
    <x v="0"/>
    <x v="1"/>
    <n v="4"/>
    <n v="9701"/>
    <n v="20"/>
    <n v="7760.8"/>
    <n v="31043.200000000001"/>
    <n v="1500"/>
    <x v="2"/>
    <x v="1"/>
    <m/>
    <s v="no comment"/>
    <x v="1"/>
    <n v="0"/>
  </r>
  <r>
    <x v="39"/>
    <x v="45"/>
    <s v="Lekki"/>
    <x v="3"/>
    <x v="7"/>
    <x v="2"/>
    <x v="5"/>
    <n v="3"/>
    <n v="48321"/>
    <n v="0"/>
    <n v="48321"/>
    <n v="144963"/>
    <n v="2000"/>
    <x v="0"/>
    <x v="0"/>
    <m/>
    <s v="okay"/>
    <x v="0"/>
    <n v="0"/>
  </r>
  <r>
    <x v="5"/>
    <x v="46"/>
    <s v="Oyigbo"/>
    <x v="2"/>
    <x v="0"/>
    <x v="0"/>
    <x v="0"/>
    <n v="4"/>
    <n v="78762"/>
    <n v="10"/>
    <n v="70885.8"/>
    <n v="283543.2"/>
    <n v="1000"/>
    <x v="1"/>
    <x v="2"/>
    <d v="2025-02-18T00:00:00"/>
    <s v="excellent"/>
    <x v="2"/>
    <n v="5"/>
  </r>
  <r>
    <x v="40"/>
    <x v="47"/>
    <s v="Wuse"/>
    <x v="1"/>
    <x v="7"/>
    <x v="2"/>
    <x v="5"/>
    <n v="4"/>
    <n v="59466"/>
    <n v="10"/>
    <n v="53519.4"/>
    <n v="214077.6"/>
    <n v="1000"/>
    <x v="1"/>
    <x v="1"/>
    <m/>
    <s v="no comment"/>
    <x v="1"/>
    <n v="0"/>
  </r>
  <r>
    <x v="7"/>
    <x v="48"/>
    <s v="Iseyin"/>
    <x v="0"/>
    <x v="5"/>
    <x v="1"/>
    <x v="4"/>
    <n v="3"/>
    <n v="26849"/>
    <n v="5"/>
    <n v="25506.55"/>
    <n v="76519.649999999994"/>
    <n v="1500"/>
    <x v="1"/>
    <x v="2"/>
    <d v="2025-01-20T00:00:00"/>
    <s v="excellent"/>
    <x v="2"/>
    <n v="13"/>
  </r>
  <r>
    <x v="41"/>
    <x v="49"/>
    <s v="Obio-Akpor"/>
    <x v="2"/>
    <x v="11"/>
    <x v="0"/>
    <x v="0"/>
    <n v="4"/>
    <n v="13202"/>
    <n v="15"/>
    <n v="11221.7"/>
    <n v="44886.8"/>
    <n v="2000"/>
    <x v="2"/>
    <x v="1"/>
    <m/>
    <s v="no comment"/>
    <x v="1"/>
    <n v="0"/>
  </r>
  <r>
    <x v="42"/>
    <x v="50"/>
    <s v="Maitama"/>
    <x v="1"/>
    <x v="7"/>
    <x v="2"/>
    <x v="5"/>
    <n v="5"/>
    <n v="24749"/>
    <n v="10"/>
    <n v="22274.1"/>
    <n v="111370.5"/>
    <n v="1000"/>
    <x v="0"/>
    <x v="1"/>
    <m/>
    <s v="no comment"/>
    <x v="1"/>
    <n v="0"/>
  </r>
  <r>
    <x v="43"/>
    <x v="51"/>
    <s v="Iseyin"/>
    <x v="0"/>
    <x v="0"/>
    <x v="0"/>
    <x v="0"/>
    <n v="2"/>
    <n v="24801"/>
    <n v="5"/>
    <n v="23560.95"/>
    <n v="47121.9"/>
    <n v="1000"/>
    <x v="1"/>
    <x v="2"/>
    <d v="2025-03-05T00:00:00"/>
    <s v="excellent"/>
    <x v="2"/>
    <n v="3"/>
  </r>
  <r>
    <x v="44"/>
    <x v="52"/>
    <s v="Gwarinpa"/>
    <x v="1"/>
    <x v="2"/>
    <x v="1"/>
    <x v="2"/>
    <n v="2"/>
    <n v="10536"/>
    <n v="5"/>
    <n v="10009.200000000001"/>
    <n v="20018.400000000001"/>
    <n v="1000"/>
    <x v="0"/>
    <x v="2"/>
    <d v="2025-03-11T00:00:00"/>
    <s v="excellent"/>
    <x v="2"/>
    <n v="11"/>
  </r>
  <r>
    <x v="45"/>
    <x v="53"/>
    <s v="Surulere"/>
    <x v="3"/>
    <x v="4"/>
    <x v="2"/>
    <x v="3"/>
    <n v="4"/>
    <n v="36210"/>
    <n v="20"/>
    <n v="28968"/>
    <n v="115872"/>
    <n v="1000"/>
    <x v="1"/>
    <x v="0"/>
    <m/>
    <s v="okay"/>
    <x v="0"/>
    <n v="0"/>
  </r>
  <r>
    <x v="39"/>
    <x v="54"/>
    <s v="Iseyin"/>
    <x v="0"/>
    <x v="3"/>
    <x v="1"/>
    <x v="2"/>
    <n v="2"/>
    <n v="63636"/>
    <n v="0"/>
    <n v="63636"/>
    <n v="127272"/>
    <n v="2000"/>
    <x v="2"/>
    <x v="0"/>
    <m/>
    <s v="okay"/>
    <x v="0"/>
    <n v="0"/>
  </r>
  <r>
    <x v="46"/>
    <x v="55"/>
    <s v="Wuse"/>
    <x v="1"/>
    <x v="6"/>
    <x v="2"/>
    <x v="5"/>
    <n v="3"/>
    <n v="42561"/>
    <n v="10"/>
    <n v="38304.9"/>
    <n v="114914.7"/>
    <n v="1500"/>
    <x v="1"/>
    <x v="0"/>
    <m/>
    <s v="okay"/>
    <x v="0"/>
    <n v="0"/>
  </r>
  <r>
    <x v="11"/>
    <x v="56"/>
    <s v="Surulere"/>
    <x v="3"/>
    <x v="2"/>
    <x v="1"/>
    <x v="2"/>
    <n v="3"/>
    <n v="9091"/>
    <n v="0"/>
    <n v="9091"/>
    <n v="27273"/>
    <n v="1500"/>
    <x v="2"/>
    <x v="2"/>
    <d v="2025-02-09T00:00:00"/>
    <s v="excellent"/>
    <x v="2"/>
    <n v="7"/>
  </r>
  <r>
    <x v="19"/>
    <x v="57"/>
    <s v="Ogbomosho"/>
    <x v="0"/>
    <x v="3"/>
    <x v="1"/>
    <x v="2"/>
    <n v="1"/>
    <n v="55615"/>
    <n v="15"/>
    <n v="47272.75"/>
    <n v="47272.75"/>
    <n v="1000"/>
    <x v="2"/>
    <x v="1"/>
    <m/>
    <s v="no comment"/>
    <x v="1"/>
    <n v="0"/>
  </r>
  <r>
    <x v="47"/>
    <x v="58"/>
    <s v="Asokoro"/>
    <x v="1"/>
    <x v="10"/>
    <x v="1"/>
    <x v="4"/>
    <n v="3"/>
    <n v="34955"/>
    <n v="15"/>
    <n v="29711.75"/>
    <n v="89135.25"/>
    <n v="2000"/>
    <x v="2"/>
    <x v="0"/>
    <m/>
    <s v="okay"/>
    <x v="0"/>
    <n v="0"/>
  </r>
  <r>
    <x v="48"/>
    <x v="59"/>
    <s v="Eruwa"/>
    <x v="0"/>
    <x v="9"/>
    <x v="2"/>
    <x v="3"/>
    <n v="4"/>
    <n v="74426"/>
    <n v="0"/>
    <n v="74426"/>
    <n v="297704"/>
    <n v="2000"/>
    <x v="2"/>
    <x v="1"/>
    <m/>
    <s v="no comment"/>
    <x v="1"/>
    <n v="0"/>
  </r>
  <r>
    <x v="49"/>
    <x v="60"/>
    <s v="Yaba"/>
    <x v="3"/>
    <x v="1"/>
    <x v="0"/>
    <x v="1"/>
    <n v="4"/>
    <n v="50874"/>
    <n v="20"/>
    <n v="40699.199999999997"/>
    <n v="162796.79999999999"/>
    <n v="1500"/>
    <x v="1"/>
    <x v="2"/>
    <d v="2025-03-02T00:00:00"/>
    <s v="excellent"/>
    <x v="2"/>
    <n v="5"/>
  </r>
  <r>
    <x v="50"/>
    <x v="61"/>
    <s v="Surulere"/>
    <x v="3"/>
    <x v="7"/>
    <x v="2"/>
    <x v="5"/>
    <n v="5"/>
    <n v="41340"/>
    <n v="5"/>
    <n v="39273"/>
    <n v="196365"/>
    <n v="1500"/>
    <x v="0"/>
    <x v="0"/>
    <m/>
    <s v="okay"/>
    <x v="0"/>
    <n v="0"/>
  </r>
  <r>
    <x v="51"/>
    <x v="62"/>
    <s v="Wuse"/>
    <x v="1"/>
    <x v="2"/>
    <x v="1"/>
    <x v="2"/>
    <n v="4"/>
    <n v="59410"/>
    <n v="20"/>
    <n v="47528"/>
    <n v="190112"/>
    <n v="2000"/>
    <x v="0"/>
    <x v="0"/>
    <m/>
    <s v="okay"/>
    <x v="0"/>
    <n v="0"/>
  </r>
  <r>
    <x v="52"/>
    <x v="63"/>
    <s v="Oyigbo"/>
    <x v="2"/>
    <x v="7"/>
    <x v="2"/>
    <x v="5"/>
    <n v="3"/>
    <n v="42696"/>
    <n v="5"/>
    <n v="40561.199999999997"/>
    <n v="121683.6"/>
    <n v="2000"/>
    <x v="1"/>
    <x v="1"/>
    <m/>
    <s v="no comment"/>
    <x v="1"/>
    <n v="0"/>
  </r>
  <r>
    <x v="53"/>
    <x v="64"/>
    <s v="Wuse"/>
    <x v="1"/>
    <x v="8"/>
    <x v="0"/>
    <x v="1"/>
    <n v="4"/>
    <n v="30071"/>
    <n v="10"/>
    <n v="27063.9"/>
    <n v="108255.6"/>
    <n v="1000"/>
    <x v="0"/>
    <x v="1"/>
    <m/>
    <s v="no comment"/>
    <x v="1"/>
    <n v="0"/>
  </r>
  <r>
    <x v="37"/>
    <x v="65"/>
    <s v="Obio-Akpor"/>
    <x v="2"/>
    <x v="9"/>
    <x v="2"/>
    <x v="3"/>
    <n v="4"/>
    <n v="58742"/>
    <n v="5"/>
    <n v="55804.9"/>
    <n v="223219.6"/>
    <n v="1000"/>
    <x v="1"/>
    <x v="1"/>
    <m/>
    <s v="no comment"/>
    <x v="1"/>
    <n v="0"/>
  </r>
  <r>
    <x v="54"/>
    <x v="66"/>
    <s v="Ogbomosho"/>
    <x v="0"/>
    <x v="1"/>
    <x v="0"/>
    <x v="1"/>
    <n v="3"/>
    <n v="4142"/>
    <n v="5"/>
    <n v="3934.9"/>
    <n v="11804.7"/>
    <n v="1000"/>
    <x v="1"/>
    <x v="0"/>
    <m/>
    <s v="okay"/>
    <x v="0"/>
    <n v="0"/>
  </r>
  <r>
    <x v="34"/>
    <x v="67"/>
    <s v="Obio-Akpor"/>
    <x v="2"/>
    <x v="4"/>
    <x v="2"/>
    <x v="3"/>
    <n v="1"/>
    <n v="73253"/>
    <n v="15"/>
    <n v="62265.05"/>
    <n v="62265.05"/>
    <n v="1000"/>
    <x v="0"/>
    <x v="0"/>
    <m/>
    <s v="okay"/>
    <x v="0"/>
    <n v="0"/>
  </r>
  <r>
    <x v="55"/>
    <x v="68"/>
    <s v="Ogbomosho"/>
    <x v="0"/>
    <x v="10"/>
    <x v="1"/>
    <x v="4"/>
    <n v="5"/>
    <n v="70328"/>
    <n v="5"/>
    <n v="66811.600000000006"/>
    <n v="334058"/>
    <n v="2000"/>
    <x v="2"/>
    <x v="0"/>
    <m/>
    <s v="okay"/>
    <x v="0"/>
    <n v="0"/>
  </r>
  <r>
    <x v="52"/>
    <x v="69"/>
    <s v="Ibadan"/>
    <x v="0"/>
    <x v="10"/>
    <x v="1"/>
    <x v="4"/>
    <n v="2"/>
    <n v="8445"/>
    <n v="20"/>
    <n v="6756"/>
    <n v="13512"/>
    <n v="1500"/>
    <x v="2"/>
    <x v="0"/>
    <m/>
    <s v="okay"/>
    <x v="0"/>
    <n v="0"/>
  </r>
  <r>
    <x v="56"/>
    <x v="70"/>
    <s v="Eruwa"/>
    <x v="0"/>
    <x v="0"/>
    <x v="0"/>
    <x v="0"/>
    <n v="1"/>
    <n v="63557"/>
    <n v="5"/>
    <n v="60379.15"/>
    <n v="60379.15"/>
    <n v="2000"/>
    <x v="0"/>
    <x v="0"/>
    <m/>
    <s v="okay"/>
    <x v="0"/>
    <n v="0"/>
  </r>
  <r>
    <x v="57"/>
    <x v="71"/>
    <s v="Asokoro"/>
    <x v="1"/>
    <x v="10"/>
    <x v="1"/>
    <x v="4"/>
    <n v="4"/>
    <n v="76775"/>
    <n v="5"/>
    <n v="72936.25"/>
    <n v="291745"/>
    <n v="1000"/>
    <x v="0"/>
    <x v="2"/>
    <d v="2025-03-11T00:00:00"/>
    <s v="excellent"/>
    <x v="2"/>
    <n v="2"/>
  </r>
  <r>
    <x v="58"/>
    <x v="72"/>
    <s v="Bonny"/>
    <x v="2"/>
    <x v="8"/>
    <x v="0"/>
    <x v="1"/>
    <n v="4"/>
    <n v="21118"/>
    <n v="10"/>
    <n v="19006.2"/>
    <n v="76024.800000000003"/>
    <n v="1500"/>
    <x v="0"/>
    <x v="2"/>
    <d v="2025-05-07T00:00:00"/>
    <s v="excellent"/>
    <x v="2"/>
    <n v="9"/>
  </r>
  <r>
    <x v="59"/>
    <x v="73"/>
    <s v="Bonny"/>
    <x v="2"/>
    <x v="0"/>
    <x v="0"/>
    <x v="0"/>
    <n v="3"/>
    <n v="61019"/>
    <n v="20"/>
    <n v="48815.199999999997"/>
    <n v="146445.6"/>
    <n v="1000"/>
    <x v="0"/>
    <x v="0"/>
    <m/>
    <s v="okay"/>
    <x v="0"/>
    <n v="0"/>
  </r>
  <r>
    <x v="60"/>
    <x v="74"/>
    <s v="Yaba"/>
    <x v="3"/>
    <x v="11"/>
    <x v="0"/>
    <x v="0"/>
    <n v="5"/>
    <n v="43698"/>
    <n v="0"/>
    <n v="43698"/>
    <n v="218490"/>
    <n v="2000"/>
    <x v="0"/>
    <x v="1"/>
    <m/>
    <s v="no comment"/>
    <x v="1"/>
    <n v="0"/>
  </r>
  <r>
    <x v="61"/>
    <x v="75"/>
    <s v="Lekki"/>
    <x v="3"/>
    <x v="9"/>
    <x v="2"/>
    <x v="3"/>
    <n v="3"/>
    <n v="43832"/>
    <n v="15"/>
    <n v="37257.199999999997"/>
    <n v="111771.6"/>
    <n v="2000"/>
    <x v="1"/>
    <x v="1"/>
    <m/>
    <s v="no comment"/>
    <x v="1"/>
    <n v="0"/>
  </r>
  <r>
    <x v="14"/>
    <x v="76"/>
    <s v="Obio-Akpor"/>
    <x v="2"/>
    <x v="7"/>
    <x v="2"/>
    <x v="5"/>
    <n v="2"/>
    <n v="15517"/>
    <n v="0"/>
    <n v="15517"/>
    <n v="31034"/>
    <n v="2000"/>
    <x v="2"/>
    <x v="1"/>
    <m/>
    <s v="no comment"/>
    <x v="1"/>
    <n v="0"/>
  </r>
  <r>
    <x v="62"/>
    <x v="77"/>
    <s v="Obio-Akpor"/>
    <x v="2"/>
    <x v="6"/>
    <x v="2"/>
    <x v="5"/>
    <n v="1"/>
    <n v="55607"/>
    <n v="5"/>
    <n v="52826.65"/>
    <n v="52826.65"/>
    <n v="2000"/>
    <x v="0"/>
    <x v="1"/>
    <m/>
    <s v="no comment"/>
    <x v="1"/>
    <n v="0"/>
  </r>
  <r>
    <x v="63"/>
    <x v="78"/>
    <s v="Oyigbo"/>
    <x v="2"/>
    <x v="11"/>
    <x v="0"/>
    <x v="0"/>
    <n v="2"/>
    <n v="37799"/>
    <n v="15"/>
    <n v="32129.15"/>
    <n v="64258.3"/>
    <n v="1000"/>
    <x v="2"/>
    <x v="2"/>
    <d v="2025-01-15T00:00:00"/>
    <s v="excellent"/>
    <x v="2"/>
    <n v="13"/>
  </r>
  <r>
    <x v="64"/>
    <x v="79"/>
    <s v="Asokoro"/>
    <x v="1"/>
    <x v="8"/>
    <x v="0"/>
    <x v="1"/>
    <n v="5"/>
    <n v="17368"/>
    <n v="20"/>
    <n v="13894.4"/>
    <n v="69472"/>
    <n v="2000"/>
    <x v="1"/>
    <x v="2"/>
    <d v="2025-05-05T00:00:00"/>
    <s v="excellent"/>
    <x v="2"/>
    <n v="11"/>
  </r>
  <r>
    <x v="65"/>
    <x v="80"/>
    <s v="Lekki"/>
    <x v="3"/>
    <x v="5"/>
    <x v="1"/>
    <x v="4"/>
    <n v="1"/>
    <n v="74610"/>
    <n v="10"/>
    <n v="67149"/>
    <n v="67149"/>
    <n v="1500"/>
    <x v="2"/>
    <x v="2"/>
    <d v="2025-04-08T00:00:00"/>
    <s v="excellent"/>
    <x v="2"/>
    <n v="8"/>
  </r>
  <r>
    <x v="66"/>
    <x v="81"/>
    <s v="Wuse"/>
    <x v="1"/>
    <x v="7"/>
    <x v="2"/>
    <x v="5"/>
    <n v="5"/>
    <n v="47655"/>
    <n v="10"/>
    <n v="42889.5"/>
    <n v="214447.5"/>
    <n v="1500"/>
    <x v="0"/>
    <x v="2"/>
    <d v="2025-06-17T00:00:00"/>
    <s v="excellent"/>
    <x v="2"/>
    <n v="7"/>
  </r>
  <r>
    <x v="67"/>
    <x v="82"/>
    <s v="Port Harcourt"/>
    <x v="2"/>
    <x v="11"/>
    <x v="0"/>
    <x v="0"/>
    <n v="3"/>
    <n v="47100"/>
    <n v="0"/>
    <n v="47100"/>
    <n v="141300"/>
    <n v="1000"/>
    <x v="2"/>
    <x v="2"/>
    <d v="2025-02-17T00:00:00"/>
    <s v="excellent"/>
    <x v="2"/>
    <n v="13"/>
  </r>
  <r>
    <x v="68"/>
    <x v="83"/>
    <s v="Yaba"/>
    <x v="3"/>
    <x v="11"/>
    <x v="0"/>
    <x v="0"/>
    <n v="4"/>
    <n v="58202"/>
    <n v="5"/>
    <n v="55291.9"/>
    <n v="221167.6"/>
    <n v="1000"/>
    <x v="2"/>
    <x v="1"/>
    <m/>
    <s v="no comment"/>
    <x v="1"/>
    <n v="0"/>
  </r>
  <r>
    <x v="25"/>
    <x v="84"/>
    <s v="Port Harcourt"/>
    <x v="2"/>
    <x v="5"/>
    <x v="1"/>
    <x v="4"/>
    <n v="1"/>
    <n v="70506"/>
    <n v="10"/>
    <n v="63455.4"/>
    <n v="63455.4"/>
    <n v="2000"/>
    <x v="2"/>
    <x v="1"/>
    <m/>
    <s v="no comment"/>
    <x v="1"/>
    <n v="0"/>
  </r>
  <r>
    <x v="69"/>
    <x v="85"/>
    <s v="Lekki"/>
    <x v="3"/>
    <x v="10"/>
    <x v="1"/>
    <x v="4"/>
    <n v="5"/>
    <n v="3528"/>
    <n v="10"/>
    <n v="3175.2"/>
    <n v="15876"/>
    <n v="2000"/>
    <x v="0"/>
    <x v="0"/>
    <m/>
    <s v="okay"/>
    <x v="0"/>
    <n v="0"/>
  </r>
  <r>
    <x v="70"/>
    <x v="86"/>
    <s v="Port Harcourt"/>
    <x v="2"/>
    <x v="0"/>
    <x v="0"/>
    <x v="0"/>
    <n v="1"/>
    <n v="37968"/>
    <n v="15"/>
    <n v="32272.799999999999"/>
    <n v="32272.799999999999"/>
    <n v="2000"/>
    <x v="1"/>
    <x v="0"/>
    <m/>
    <s v="okay"/>
    <x v="0"/>
    <n v="0"/>
  </r>
  <r>
    <x v="71"/>
    <x v="87"/>
    <s v="Ikeja"/>
    <x v="3"/>
    <x v="11"/>
    <x v="0"/>
    <x v="0"/>
    <n v="1"/>
    <n v="63117"/>
    <n v="0"/>
    <n v="63117"/>
    <n v="63117"/>
    <n v="2000"/>
    <x v="2"/>
    <x v="2"/>
    <d v="2025-03-02T00:00:00"/>
    <s v="excellent"/>
    <x v="2"/>
    <n v="4"/>
  </r>
  <r>
    <x v="4"/>
    <x v="88"/>
    <s v="Ibadan"/>
    <x v="0"/>
    <x v="0"/>
    <x v="0"/>
    <x v="0"/>
    <n v="2"/>
    <n v="68377"/>
    <n v="5"/>
    <n v="64958.15"/>
    <n v="129916.3"/>
    <n v="1500"/>
    <x v="1"/>
    <x v="1"/>
    <m/>
    <s v="no comment"/>
    <x v="1"/>
    <n v="0"/>
  </r>
  <r>
    <x v="72"/>
    <x v="89"/>
    <s v="Bonny"/>
    <x v="2"/>
    <x v="4"/>
    <x v="2"/>
    <x v="3"/>
    <n v="1"/>
    <n v="40867"/>
    <n v="15"/>
    <n v="34736.949999999997"/>
    <n v="34736.949999999997"/>
    <n v="1000"/>
    <x v="2"/>
    <x v="0"/>
    <m/>
    <s v="okay"/>
    <x v="0"/>
    <n v="0"/>
  </r>
  <r>
    <x v="73"/>
    <x v="90"/>
    <s v="Eruwa"/>
    <x v="0"/>
    <x v="3"/>
    <x v="1"/>
    <x v="2"/>
    <n v="1"/>
    <n v="48352"/>
    <n v="0"/>
    <n v="48352"/>
    <n v="48352"/>
    <n v="1000"/>
    <x v="1"/>
    <x v="2"/>
    <d v="2025-02-26T00:00:00"/>
    <s v="excellent"/>
    <x v="2"/>
    <n v="10"/>
  </r>
  <r>
    <x v="74"/>
    <x v="91"/>
    <s v="Yaba"/>
    <x v="3"/>
    <x v="1"/>
    <x v="0"/>
    <x v="1"/>
    <n v="4"/>
    <n v="17077"/>
    <n v="10"/>
    <n v="15369.3"/>
    <n v="61477.2"/>
    <n v="2000"/>
    <x v="2"/>
    <x v="0"/>
    <m/>
    <s v="okay"/>
    <x v="0"/>
    <n v="0"/>
  </r>
  <r>
    <x v="75"/>
    <x v="92"/>
    <s v="Bonny"/>
    <x v="2"/>
    <x v="1"/>
    <x v="0"/>
    <x v="1"/>
    <n v="1"/>
    <n v="50394"/>
    <n v="20"/>
    <n v="40315.199999999997"/>
    <n v="40315.199999999997"/>
    <n v="1000"/>
    <x v="1"/>
    <x v="0"/>
    <m/>
    <s v="okay"/>
    <x v="0"/>
    <n v="0"/>
  </r>
  <r>
    <x v="69"/>
    <x v="93"/>
    <s v="Gwarinpa"/>
    <x v="1"/>
    <x v="1"/>
    <x v="0"/>
    <x v="1"/>
    <n v="2"/>
    <n v="11523"/>
    <n v="20"/>
    <n v="9218.4"/>
    <n v="18436.8"/>
    <n v="1500"/>
    <x v="0"/>
    <x v="0"/>
    <m/>
    <s v="okay"/>
    <x v="0"/>
    <n v="0"/>
  </r>
  <r>
    <x v="76"/>
    <x v="94"/>
    <s v="Bonny"/>
    <x v="2"/>
    <x v="2"/>
    <x v="1"/>
    <x v="2"/>
    <n v="3"/>
    <n v="59317"/>
    <n v="15"/>
    <n v="50419.45"/>
    <n v="151258.35"/>
    <n v="1000"/>
    <x v="2"/>
    <x v="0"/>
    <m/>
    <s v="okay"/>
    <x v="0"/>
    <n v="0"/>
  </r>
  <r>
    <x v="6"/>
    <x v="95"/>
    <s v="Ibadan"/>
    <x v="0"/>
    <x v="10"/>
    <x v="1"/>
    <x v="4"/>
    <n v="4"/>
    <n v="55787"/>
    <n v="10"/>
    <n v="50208.3"/>
    <n v="200833.2"/>
    <n v="2000"/>
    <x v="2"/>
    <x v="0"/>
    <m/>
    <s v="okay"/>
    <x v="0"/>
    <n v="0"/>
  </r>
  <r>
    <x v="7"/>
    <x v="96"/>
    <s v="Maitama"/>
    <x v="1"/>
    <x v="3"/>
    <x v="1"/>
    <x v="2"/>
    <n v="2"/>
    <n v="76958"/>
    <n v="15"/>
    <n v="65414.3"/>
    <n v="130828.6"/>
    <n v="1000"/>
    <x v="0"/>
    <x v="1"/>
    <m/>
    <s v="no comment"/>
    <x v="1"/>
    <n v="0"/>
  </r>
  <r>
    <x v="77"/>
    <x v="97"/>
    <s v="Ibadan"/>
    <x v="0"/>
    <x v="11"/>
    <x v="0"/>
    <x v="0"/>
    <n v="4"/>
    <n v="17372"/>
    <n v="10"/>
    <n v="15634.8"/>
    <n v="62539.199999999997"/>
    <n v="2000"/>
    <x v="0"/>
    <x v="2"/>
    <d v="2025-06-09T00:00:00"/>
    <s v="excellent"/>
    <x v="2"/>
    <n v="2"/>
  </r>
  <r>
    <x v="54"/>
    <x v="98"/>
    <s v="Wuse"/>
    <x v="1"/>
    <x v="1"/>
    <x v="0"/>
    <x v="1"/>
    <n v="3"/>
    <n v="69102"/>
    <n v="10"/>
    <n v="62191.8"/>
    <n v="186575.4"/>
    <n v="1500"/>
    <x v="1"/>
    <x v="1"/>
    <m/>
    <s v="no comment"/>
    <x v="1"/>
    <n v="0"/>
  </r>
  <r>
    <x v="75"/>
    <x v="99"/>
    <s v="Ikeja"/>
    <x v="3"/>
    <x v="5"/>
    <x v="1"/>
    <x v="4"/>
    <n v="5"/>
    <n v="31030"/>
    <n v="5"/>
    <n v="29478.5"/>
    <n v="147392.5"/>
    <n v="1500"/>
    <x v="2"/>
    <x v="0"/>
    <m/>
    <s v="okay"/>
    <x v="0"/>
    <n v="0"/>
  </r>
  <r>
    <x v="78"/>
    <x v="100"/>
    <s v="Ikeja"/>
    <x v="3"/>
    <x v="10"/>
    <x v="1"/>
    <x v="4"/>
    <n v="3"/>
    <n v="45672"/>
    <n v="15"/>
    <n v="38821.199999999997"/>
    <n v="116463.6"/>
    <n v="1000"/>
    <x v="0"/>
    <x v="2"/>
    <d v="2025-04-25T00:00:00"/>
    <s v="excellent"/>
    <x v="2"/>
    <n v="13"/>
  </r>
  <r>
    <x v="13"/>
    <x v="101"/>
    <s v="Eruwa"/>
    <x v="0"/>
    <x v="4"/>
    <x v="2"/>
    <x v="3"/>
    <n v="2"/>
    <n v="60744"/>
    <n v="15"/>
    <n v="51632.4"/>
    <n v="103264.8"/>
    <n v="1000"/>
    <x v="0"/>
    <x v="2"/>
    <d v="2025-02-28T00:00:00"/>
    <s v="excellent"/>
    <x v="2"/>
    <n v="13"/>
  </r>
  <r>
    <x v="25"/>
    <x v="102"/>
    <s v="Oyigbo"/>
    <x v="2"/>
    <x v="2"/>
    <x v="1"/>
    <x v="2"/>
    <n v="3"/>
    <n v="76241"/>
    <n v="5"/>
    <n v="72428.95"/>
    <n v="217286.85"/>
    <n v="2000"/>
    <x v="1"/>
    <x v="0"/>
    <m/>
    <s v="okay"/>
    <x v="0"/>
    <n v="0"/>
  </r>
  <r>
    <x v="79"/>
    <x v="103"/>
    <s v="Bonny"/>
    <x v="2"/>
    <x v="5"/>
    <x v="1"/>
    <x v="4"/>
    <n v="2"/>
    <n v="24981"/>
    <n v="10"/>
    <n v="22482.9"/>
    <n v="44965.8"/>
    <n v="1500"/>
    <x v="0"/>
    <x v="2"/>
    <d v="2025-03-24T00:00:00"/>
    <s v="excellent"/>
    <x v="2"/>
    <n v="10"/>
  </r>
  <r>
    <x v="61"/>
    <x v="104"/>
    <s v="Obio-Akpor"/>
    <x v="2"/>
    <x v="0"/>
    <x v="0"/>
    <x v="0"/>
    <n v="3"/>
    <n v="63174"/>
    <n v="0"/>
    <n v="63174"/>
    <n v="189522"/>
    <n v="1000"/>
    <x v="0"/>
    <x v="1"/>
    <m/>
    <s v="no comment"/>
    <x v="1"/>
    <n v="0"/>
  </r>
  <r>
    <x v="80"/>
    <x v="105"/>
    <s v="Oyigbo"/>
    <x v="2"/>
    <x v="5"/>
    <x v="1"/>
    <x v="4"/>
    <n v="5"/>
    <n v="56919"/>
    <n v="10"/>
    <n v="51227.1"/>
    <n v="256135.5"/>
    <n v="1000"/>
    <x v="0"/>
    <x v="0"/>
    <m/>
    <s v="okay"/>
    <x v="0"/>
    <n v="0"/>
  </r>
  <r>
    <x v="81"/>
    <x v="106"/>
    <s v="Obio-Akpor"/>
    <x v="2"/>
    <x v="11"/>
    <x v="0"/>
    <x v="0"/>
    <n v="5"/>
    <n v="71167"/>
    <n v="15"/>
    <n v="60491.95"/>
    <n v="302459.75"/>
    <n v="1000"/>
    <x v="2"/>
    <x v="2"/>
    <d v="2025-03-05T00:00:00"/>
    <s v="excellent"/>
    <x v="2"/>
    <n v="11"/>
  </r>
  <r>
    <x v="82"/>
    <x v="107"/>
    <s v="Gwarinpa"/>
    <x v="1"/>
    <x v="2"/>
    <x v="1"/>
    <x v="2"/>
    <n v="4"/>
    <n v="27834"/>
    <n v="0"/>
    <n v="27834"/>
    <n v="111336"/>
    <n v="1000"/>
    <x v="2"/>
    <x v="2"/>
    <d v="2025-06-02T00:00:00"/>
    <s v="excellent"/>
    <x v="2"/>
    <n v="8"/>
  </r>
  <r>
    <x v="28"/>
    <x v="108"/>
    <s v="Bonny"/>
    <x v="2"/>
    <x v="8"/>
    <x v="0"/>
    <x v="1"/>
    <n v="4"/>
    <n v="37741"/>
    <n v="20"/>
    <n v="30192.799999999999"/>
    <n v="120771.2"/>
    <n v="2000"/>
    <x v="0"/>
    <x v="2"/>
    <d v="2025-03-18T00:00:00"/>
    <s v="excellent"/>
    <x v="2"/>
    <n v="7"/>
  </r>
  <r>
    <x v="43"/>
    <x v="109"/>
    <s v="Ogbomosho"/>
    <x v="0"/>
    <x v="11"/>
    <x v="0"/>
    <x v="0"/>
    <n v="3"/>
    <n v="60200"/>
    <n v="15"/>
    <n v="51170"/>
    <n v="153510"/>
    <n v="1500"/>
    <x v="1"/>
    <x v="0"/>
    <m/>
    <s v="okay"/>
    <x v="0"/>
    <n v="0"/>
  </r>
  <r>
    <x v="83"/>
    <x v="110"/>
    <s v="Surulere"/>
    <x v="3"/>
    <x v="6"/>
    <x v="2"/>
    <x v="5"/>
    <n v="4"/>
    <n v="36197"/>
    <n v="15"/>
    <n v="30767.45"/>
    <n v="123069.8"/>
    <n v="1500"/>
    <x v="1"/>
    <x v="2"/>
    <d v="2025-06-26T00:00:00"/>
    <s v="excellent"/>
    <x v="2"/>
    <n v="9"/>
  </r>
  <r>
    <x v="84"/>
    <x v="111"/>
    <s v="Ikeja"/>
    <x v="3"/>
    <x v="1"/>
    <x v="0"/>
    <x v="1"/>
    <n v="3"/>
    <n v="75778"/>
    <n v="5"/>
    <n v="71989.100000000006"/>
    <n v="215967.3"/>
    <n v="2000"/>
    <x v="0"/>
    <x v="0"/>
    <m/>
    <s v="okay"/>
    <x v="0"/>
    <n v="0"/>
  </r>
  <r>
    <x v="85"/>
    <x v="112"/>
    <s v="Maitama"/>
    <x v="1"/>
    <x v="0"/>
    <x v="0"/>
    <x v="0"/>
    <n v="5"/>
    <n v="31815"/>
    <n v="20"/>
    <n v="25452"/>
    <n v="127260"/>
    <n v="1000"/>
    <x v="1"/>
    <x v="0"/>
    <m/>
    <s v="okay"/>
    <x v="0"/>
    <n v="0"/>
  </r>
  <r>
    <x v="86"/>
    <x v="113"/>
    <s v="Wuse"/>
    <x v="1"/>
    <x v="4"/>
    <x v="2"/>
    <x v="3"/>
    <n v="5"/>
    <n v="36831"/>
    <n v="10"/>
    <n v="33147.9"/>
    <n v="165739.5"/>
    <n v="1500"/>
    <x v="1"/>
    <x v="0"/>
    <m/>
    <s v="okay"/>
    <x v="0"/>
    <n v="0"/>
  </r>
  <r>
    <x v="87"/>
    <x v="114"/>
    <s v="Ikeja"/>
    <x v="3"/>
    <x v="9"/>
    <x v="2"/>
    <x v="3"/>
    <n v="4"/>
    <n v="35322"/>
    <n v="20"/>
    <n v="28257.599999999999"/>
    <n v="113030.39999999999"/>
    <n v="1500"/>
    <x v="2"/>
    <x v="1"/>
    <m/>
    <s v="no comment"/>
    <x v="1"/>
    <n v="0"/>
  </r>
  <r>
    <x v="88"/>
    <x v="115"/>
    <s v="Iseyin"/>
    <x v="0"/>
    <x v="10"/>
    <x v="1"/>
    <x v="4"/>
    <n v="4"/>
    <n v="20624"/>
    <n v="10"/>
    <n v="18561.599999999999"/>
    <n v="74246.399999999994"/>
    <n v="2000"/>
    <x v="1"/>
    <x v="1"/>
    <m/>
    <s v="no comment"/>
    <x v="1"/>
    <n v="0"/>
  </r>
  <r>
    <x v="89"/>
    <x v="116"/>
    <s v="Maitama"/>
    <x v="1"/>
    <x v="3"/>
    <x v="1"/>
    <x v="2"/>
    <n v="3"/>
    <n v="63437"/>
    <n v="15"/>
    <n v="53921.45"/>
    <n v="161764.35"/>
    <n v="1000"/>
    <x v="2"/>
    <x v="0"/>
    <m/>
    <s v="okay"/>
    <x v="0"/>
    <n v="0"/>
  </r>
  <r>
    <x v="23"/>
    <x v="117"/>
    <s v="Ibadan"/>
    <x v="0"/>
    <x v="8"/>
    <x v="0"/>
    <x v="1"/>
    <n v="5"/>
    <n v="23718"/>
    <n v="15"/>
    <n v="20160.3"/>
    <n v="100801.5"/>
    <n v="1500"/>
    <x v="2"/>
    <x v="0"/>
    <m/>
    <s v="okay"/>
    <x v="0"/>
    <n v="0"/>
  </r>
  <r>
    <x v="90"/>
    <x v="118"/>
    <s v="Iseyin"/>
    <x v="0"/>
    <x v="4"/>
    <x v="2"/>
    <x v="3"/>
    <n v="2"/>
    <n v="77478"/>
    <n v="0"/>
    <n v="77478"/>
    <n v="154956"/>
    <n v="1000"/>
    <x v="2"/>
    <x v="1"/>
    <m/>
    <s v="no comment"/>
    <x v="1"/>
    <n v="0"/>
  </r>
  <r>
    <x v="91"/>
    <x v="119"/>
    <s v="Ogbomosho"/>
    <x v="0"/>
    <x v="0"/>
    <x v="0"/>
    <x v="0"/>
    <n v="2"/>
    <n v="31352"/>
    <n v="10"/>
    <n v="28216.799999999999"/>
    <n v="56433.599999999999"/>
    <n v="1500"/>
    <x v="0"/>
    <x v="1"/>
    <m/>
    <s v="no comment"/>
    <x v="1"/>
    <n v="0"/>
  </r>
  <r>
    <x v="92"/>
    <x v="120"/>
    <s v="Bonny"/>
    <x v="2"/>
    <x v="7"/>
    <x v="2"/>
    <x v="5"/>
    <n v="1"/>
    <n v="53647"/>
    <n v="10"/>
    <n v="45599.95"/>
    <n v="45599.95"/>
    <n v="2000"/>
    <x v="2"/>
    <x v="2"/>
    <d v="2025-02-05T00:00:00"/>
    <s v="excellent"/>
    <x v="2"/>
    <n v="8"/>
  </r>
  <r>
    <x v="93"/>
    <x v="121"/>
    <s v="Lekki"/>
    <x v="3"/>
    <x v="1"/>
    <x v="0"/>
    <x v="1"/>
    <n v="3"/>
    <n v="15220"/>
    <n v="15"/>
    <n v="12937"/>
    <n v="38811"/>
    <n v="1500"/>
    <x v="1"/>
    <x v="1"/>
    <m/>
    <s v="no comment"/>
    <x v="1"/>
    <n v="0"/>
  </r>
  <r>
    <x v="94"/>
    <x v="122"/>
    <s v="Lekki"/>
    <x v="3"/>
    <x v="4"/>
    <x v="2"/>
    <x v="3"/>
    <n v="5"/>
    <n v="24167"/>
    <n v="20"/>
    <n v="19333.599999999999"/>
    <n v="96668"/>
    <n v="2000"/>
    <x v="0"/>
    <x v="0"/>
    <m/>
    <s v="okay"/>
    <x v="0"/>
    <n v="0"/>
  </r>
  <r>
    <x v="95"/>
    <x v="123"/>
    <s v="Eruwa"/>
    <x v="0"/>
    <x v="2"/>
    <x v="1"/>
    <x v="2"/>
    <n v="1"/>
    <n v="38882"/>
    <n v="0"/>
    <n v="38882"/>
    <n v="38882"/>
    <n v="1000"/>
    <x v="1"/>
    <x v="0"/>
    <m/>
    <s v="okay"/>
    <x v="0"/>
    <n v="0"/>
  </r>
  <r>
    <x v="96"/>
    <x v="124"/>
    <s v="Ikeja"/>
    <x v="3"/>
    <x v="10"/>
    <x v="1"/>
    <x v="4"/>
    <n v="2"/>
    <n v="37530"/>
    <n v="5"/>
    <n v="35653.5"/>
    <n v="71307"/>
    <n v="1000"/>
    <x v="0"/>
    <x v="2"/>
    <d v="2025-01-10T00:00:00"/>
    <s v="excellent"/>
    <x v="2"/>
    <n v="7"/>
  </r>
  <r>
    <x v="25"/>
    <x v="125"/>
    <s v="Obio-Akpor"/>
    <x v="2"/>
    <x v="8"/>
    <x v="0"/>
    <x v="1"/>
    <n v="1"/>
    <n v="7037"/>
    <n v="15"/>
    <n v="5981.45"/>
    <n v="5981.45"/>
    <n v="2000"/>
    <x v="0"/>
    <x v="0"/>
    <m/>
    <s v="okay"/>
    <x v="0"/>
    <n v="0"/>
  </r>
  <r>
    <x v="58"/>
    <x v="126"/>
    <s v="Bonny"/>
    <x v="2"/>
    <x v="1"/>
    <x v="0"/>
    <x v="1"/>
    <n v="4"/>
    <n v="24762"/>
    <n v="20"/>
    <n v="19809.599999999999"/>
    <n v="79238.399999999994"/>
    <n v="1500"/>
    <x v="2"/>
    <x v="2"/>
    <d v="2025-05-04T00:00:00"/>
    <s v="excellent"/>
    <x v="2"/>
    <n v="6"/>
  </r>
  <r>
    <x v="49"/>
    <x v="127"/>
    <s v="Port Harcourt"/>
    <x v="2"/>
    <x v="4"/>
    <x v="2"/>
    <x v="3"/>
    <n v="1"/>
    <n v="57360"/>
    <n v="5"/>
    <n v="54492"/>
    <n v="54492"/>
    <n v="1500"/>
    <x v="1"/>
    <x v="2"/>
    <d v="2025-03-04T00:00:00"/>
    <s v="excellent"/>
    <x v="2"/>
    <n v="7"/>
  </r>
  <r>
    <x v="32"/>
    <x v="128"/>
    <s v="Eruwa"/>
    <x v="0"/>
    <x v="7"/>
    <x v="2"/>
    <x v="5"/>
    <n v="2"/>
    <n v="13653"/>
    <n v="15"/>
    <n v="11605.05"/>
    <n v="23210.1"/>
    <n v="2000"/>
    <x v="1"/>
    <x v="2"/>
    <d v="2025-04-05T00:00:00"/>
    <s v="excellent"/>
    <x v="2"/>
    <n v="4"/>
  </r>
  <r>
    <x v="62"/>
    <x v="129"/>
    <s v="Maitama"/>
    <x v="1"/>
    <x v="0"/>
    <x v="0"/>
    <x v="0"/>
    <n v="2"/>
    <n v="56812"/>
    <n v="0"/>
    <n v="56812"/>
    <n v="113624"/>
    <n v="1500"/>
    <x v="2"/>
    <x v="2"/>
    <d v="2025-06-14T00:00:00"/>
    <s v="excellent"/>
    <x v="2"/>
    <n v="3"/>
  </r>
  <r>
    <x v="23"/>
    <x v="130"/>
    <s v="Yaba"/>
    <x v="3"/>
    <x v="8"/>
    <x v="0"/>
    <x v="1"/>
    <n v="1"/>
    <n v="60646"/>
    <n v="20"/>
    <n v="48516.800000000003"/>
    <n v="48516.800000000003"/>
    <n v="1500"/>
    <x v="1"/>
    <x v="1"/>
    <m/>
    <s v="no comment"/>
    <x v="1"/>
    <n v="0"/>
  </r>
  <r>
    <x v="97"/>
    <x v="131"/>
    <s v="Eruwa"/>
    <x v="0"/>
    <x v="2"/>
    <x v="1"/>
    <x v="2"/>
    <n v="1"/>
    <n v="46080"/>
    <n v="0"/>
    <n v="46080"/>
    <n v="46080"/>
    <n v="1000"/>
    <x v="2"/>
    <x v="0"/>
    <m/>
    <s v="okay"/>
    <x v="0"/>
    <n v="0"/>
  </r>
  <r>
    <x v="56"/>
    <x v="132"/>
    <s v="Asokoro"/>
    <x v="1"/>
    <x v="10"/>
    <x v="1"/>
    <x v="4"/>
    <n v="4"/>
    <n v="24135"/>
    <n v="5"/>
    <n v="22928.25"/>
    <n v="91713"/>
    <n v="2000"/>
    <x v="0"/>
    <x v="0"/>
    <m/>
    <s v="okay"/>
    <x v="0"/>
    <n v="0"/>
  </r>
  <r>
    <x v="98"/>
    <x v="133"/>
    <s v="Eruwa"/>
    <x v="0"/>
    <x v="3"/>
    <x v="1"/>
    <x v="2"/>
    <n v="2"/>
    <n v="60917"/>
    <n v="20"/>
    <n v="48733.599999999999"/>
    <n v="97467.199999999997"/>
    <n v="1500"/>
    <x v="1"/>
    <x v="1"/>
    <m/>
    <s v="no comment"/>
    <x v="1"/>
    <n v="0"/>
  </r>
  <r>
    <x v="32"/>
    <x v="134"/>
    <s v="Gwarinpa"/>
    <x v="1"/>
    <x v="1"/>
    <x v="0"/>
    <x v="1"/>
    <n v="2"/>
    <n v="31522"/>
    <n v="10"/>
    <n v="28369.8"/>
    <n v="56739.6"/>
    <n v="1000"/>
    <x v="1"/>
    <x v="0"/>
    <m/>
    <s v="okay"/>
    <x v="0"/>
    <n v="0"/>
  </r>
  <r>
    <x v="99"/>
    <x v="135"/>
    <s v="Lekki"/>
    <x v="3"/>
    <x v="7"/>
    <x v="2"/>
    <x v="5"/>
    <n v="4"/>
    <n v="25745"/>
    <n v="5"/>
    <n v="24457.75"/>
    <n v="97831"/>
    <n v="1500"/>
    <x v="2"/>
    <x v="0"/>
    <m/>
    <s v="okay"/>
    <x v="0"/>
    <n v="0"/>
  </r>
  <r>
    <x v="100"/>
    <x v="136"/>
    <s v="Ogbomosho"/>
    <x v="0"/>
    <x v="8"/>
    <x v="0"/>
    <x v="1"/>
    <n v="5"/>
    <n v="37214"/>
    <n v="20"/>
    <n v="29771.200000000001"/>
    <n v="148856"/>
    <n v="1000"/>
    <x v="2"/>
    <x v="0"/>
    <m/>
    <s v="okay"/>
    <x v="0"/>
    <n v="0"/>
  </r>
  <r>
    <x v="101"/>
    <x v="137"/>
    <s v="Gwarinpa"/>
    <x v="1"/>
    <x v="3"/>
    <x v="1"/>
    <x v="2"/>
    <n v="3"/>
    <n v="77637"/>
    <n v="10"/>
    <n v="69873.3"/>
    <n v="209619.9"/>
    <n v="1500"/>
    <x v="0"/>
    <x v="0"/>
    <m/>
    <s v="okay"/>
    <x v="0"/>
    <n v="0"/>
  </r>
  <r>
    <x v="79"/>
    <x v="138"/>
    <s v="Bonny"/>
    <x v="2"/>
    <x v="1"/>
    <x v="0"/>
    <x v="1"/>
    <n v="5"/>
    <n v="16693"/>
    <n v="5"/>
    <n v="15858.35"/>
    <n v="79291.75"/>
    <n v="1000"/>
    <x v="0"/>
    <x v="0"/>
    <m/>
    <s v="okay"/>
    <x v="0"/>
    <n v="0"/>
  </r>
  <r>
    <x v="102"/>
    <x v="139"/>
    <s v="Port Harcourt"/>
    <x v="2"/>
    <x v="10"/>
    <x v="1"/>
    <x v="4"/>
    <n v="3"/>
    <n v="13847"/>
    <n v="0"/>
    <n v="13847"/>
    <n v="41541"/>
    <n v="1500"/>
    <x v="1"/>
    <x v="2"/>
    <d v="2025-02-27T00:00:00"/>
    <s v="excellent"/>
    <x v="2"/>
    <n v="6"/>
  </r>
  <r>
    <x v="47"/>
    <x v="140"/>
    <s v="Iseyin"/>
    <x v="0"/>
    <x v="1"/>
    <x v="0"/>
    <x v="1"/>
    <n v="4"/>
    <n v="75961"/>
    <n v="5"/>
    <n v="72162.95"/>
    <n v="288651.8"/>
    <n v="1000"/>
    <x v="0"/>
    <x v="1"/>
    <m/>
    <s v="no comment"/>
    <x v="1"/>
    <n v="0"/>
  </r>
  <r>
    <x v="80"/>
    <x v="141"/>
    <s v="Gwarinpa"/>
    <x v="1"/>
    <x v="3"/>
    <x v="1"/>
    <x v="2"/>
    <n v="4"/>
    <n v="48326"/>
    <n v="15"/>
    <n v="41077.1"/>
    <n v="164308.4"/>
    <n v="1000"/>
    <x v="0"/>
    <x v="0"/>
    <m/>
    <s v="okay"/>
    <x v="0"/>
    <n v="0"/>
  </r>
  <r>
    <x v="91"/>
    <x v="142"/>
    <s v="Maitama"/>
    <x v="1"/>
    <x v="7"/>
    <x v="2"/>
    <x v="5"/>
    <n v="4"/>
    <n v="71372"/>
    <n v="5"/>
    <n v="67803.399999999994"/>
    <n v="271213.59999999998"/>
    <n v="1000"/>
    <x v="1"/>
    <x v="2"/>
    <d v="2025-06-15T00:00:00"/>
    <s v="excellent"/>
    <x v="2"/>
    <n v="6"/>
  </r>
  <r>
    <x v="0"/>
    <x v="143"/>
    <s v="Oyigbo"/>
    <x v="2"/>
    <x v="8"/>
    <x v="0"/>
    <x v="1"/>
    <n v="5"/>
    <n v="21881"/>
    <n v="5"/>
    <n v="20786.95"/>
    <n v="103934.75"/>
    <n v="1000"/>
    <x v="1"/>
    <x v="2"/>
    <d v="2025-04-07T00:00:00"/>
    <s v="excellent"/>
    <x v="2"/>
    <n v="9"/>
  </r>
  <r>
    <x v="103"/>
    <x v="144"/>
    <s v="Port Harcourt"/>
    <x v="2"/>
    <x v="11"/>
    <x v="0"/>
    <x v="0"/>
    <n v="5"/>
    <n v="31925"/>
    <n v="15"/>
    <n v="27136.25"/>
    <n v="135681.25"/>
    <n v="1500"/>
    <x v="1"/>
    <x v="0"/>
    <m/>
    <s v="okay"/>
    <x v="0"/>
    <n v="0"/>
  </r>
  <r>
    <x v="93"/>
    <x v="145"/>
    <s v="Port Harcourt"/>
    <x v="2"/>
    <x v="2"/>
    <x v="1"/>
    <x v="2"/>
    <n v="3"/>
    <n v="70291"/>
    <n v="5"/>
    <n v="66776.45"/>
    <n v="200329.35"/>
    <n v="1000"/>
    <x v="2"/>
    <x v="2"/>
    <d v="2025-06-12T00:00:00"/>
    <s v="excellent"/>
    <x v="2"/>
    <n v="6"/>
  </r>
  <r>
    <x v="89"/>
    <x v="146"/>
    <s v="Surulere"/>
    <x v="3"/>
    <x v="11"/>
    <x v="0"/>
    <x v="0"/>
    <n v="3"/>
    <n v="60334"/>
    <n v="5"/>
    <n v="57317.3"/>
    <n v="171951.9"/>
    <n v="2000"/>
    <x v="2"/>
    <x v="1"/>
    <m/>
    <s v="no comment"/>
    <x v="1"/>
    <n v="0"/>
  </r>
  <r>
    <x v="25"/>
    <x v="147"/>
    <s v="Maitama"/>
    <x v="1"/>
    <x v="5"/>
    <x v="1"/>
    <x v="4"/>
    <n v="4"/>
    <n v="13154"/>
    <n v="15"/>
    <n v="11180.9"/>
    <n v="44723.6"/>
    <n v="1000"/>
    <x v="0"/>
    <x v="1"/>
    <m/>
    <s v="no comment"/>
    <x v="1"/>
    <n v="0"/>
  </r>
  <r>
    <x v="104"/>
    <x v="148"/>
    <s v="Ikeja"/>
    <x v="3"/>
    <x v="6"/>
    <x v="2"/>
    <x v="5"/>
    <n v="5"/>
    <n v="74756"/>
    <n v="10"/>
    <n v="67280.399999999994"/>
    <n v="336402"/>
    <n v="2000"/>
    <x v="2"/>
    <x v="0"/>
    <m/>
    <s v="okay"/>
    <x v="0"/>
    <n v="0"/>
  </r>
  <r>
    <x v="105"/>
    <x v="149"/>
    <s v="Eruwa"/>
    <x v="0"/>
    <x v="11"/>
    <x v="0"/>
    <x v="0"/>
    <n v="4"/>
    <n v="79103"/>
    <n v="5"/>
    <n v="75147.850000000006"/>
    <n v="300591.40000000002"/>
    <n v="1000"/>
    <x v="1"/>
    <x v="1"/>
    <m/>
    <s v="no comment"/>
    <x v="1"/>
    <n v="0"/>
  </r>
  <r>
    <x v="37"/>
    <x v="150"/>
    <s v="Ibadan"/>
    <x v="0"/>
    <x v="4"/>
    <x v="2"/>
    <x v="3"/>
    <n v="1"/>
    <n v="26789"/>
    <n v="15"/>
    <n v="22770.65"/>
    <n v="22770.65"/>
    <n v="1000"/>
    <x v="1"/>
    <x v="2"/>
    <d v="2025-02-11T00:00:00"/>
    <s v="excellent"/>
    <x v="2"/>
    <n v="2"/>
  </r>
  <r>
    <x v="106"/>
    <x v="151"/>
    <s v="Port Harcourt"/>
    <x v="2"/>
    <x v="7"/>
    <x v="2"/>
    <x v="5"/>
    <n v="5"/>
    <n v="40326"/>
    <n v="0"/>
    <n v="40326"/>
    <n v="201630"/>
    <n v="1000"/>
    <x v="1"/>
    <x v="1"/>
    <m/>
    <s v="no comment"/>
    <x v="1"/>
    <n v="0"/>
  </r>
  <r>
    <x v="107"/>
    <x v="152"/>
    <s v="Ibadan"/>
    <x v="0"/>
    <x v="6"/>
    <x v="2"/>
    <x v="5"/>
    <n v="2"/>
    <n v="70930"/>
    <n v="5"/>
    <n v="67383.5"/>
    <n v="134767"/>
    <n v="1500"/>
    <x v="2"/>
    <x v="2"/>
    <d v="2025-03-29T00:00:00"/>
    <s v="excellent"/>
    <x v="2"/>
    <n v="9"/>
  </r>
  <r>
    <x v="31"/>
    <x v="153"/>
    <s v="Wuse"/>
    <x v="1"/>
    <x v="5"/>
    <x v="1"/>
    <x v="4"/>
    <n v="1"/>
    <n v="75825"/>
    <n v="5"/>
    <n v="72033.75"/>
    <n v="72033.75"/>
    <n v="1000"/>
    <x v="0"/>
    <x v="2"/>
    <d v="2025-02-16T00:00:00"/>
    <s v="excellent"/>
    <x v="2"/>
    <n v="5"/>
  </r>
  <r>
    <x v="108"/>
    <x v="154"/>
    <s v="Maitama"/>
    <x v="1"/>
    <x v="9"/>
    <x v="2"/>
    <x v="3"/>
    <n v="5"/>
    <n v="19087"/>
    <n v="0"/>
    <n v="19087"/>
    <n v="95435"/>
    <n v="1000"/>
    <x v="0"/>
    <x v="1"/>
    <m/>
    <s v="no comment"/>
    <x v="1"/>
    <n v="0"/>
  </r>
  <r>
    <x v="109"/>
    <x v="155"/>
    <s v="Bonny"/>
    <x v="2"/>
    <x v="2"/>
    <x v="1"/>
    <x v="2"/>
    <n v="3"/>
    <n v="3918"/>
    <n v="15"/>
    <n v="3330.3"/>
    <n v="9990.9000000000015"/>
    <n v="2000"/>
    <x v="0"/>
    <x v="2"/>
    <d v="2025-03-16T00:00:00"/>
    <s v="excellent"/>
    <x v="2"/>
    <n v="4"/>
  </r>
  <r>
    <x v="110"/>
    <x v="156"/>
    <s v="Eruwa"/>
    <x v="0"/>
    <x v="10"/>
    <x v="1"/>
    <x v="4"/>
    <n v="4"/>
    <n v="44036"/>
    <n v="20"/>
    <n v="35228.800000000003"/>
    <n v="140915.20000000001"/>
    <n v="2000"/>
    <x v="0"/>
    <x v="1"/>
    <m/>
    <s v="no comment"/>
    <x v="1"/>
    <n v="0"/>
  </r>
  <r>
    <x v="111"/>
    <x v="157"/>
    <s v="Obio-Akpor"/>
    <x v="2"/>
    <x v="0"/>
    <x v="0"/>
    <x v="0"/>
    <n v="5"/>
    <n v="58030"/>
    <n v="20"/>
    <n v="46424"/>
    <n v="232120"/>
    <n v="2000"/>
    <x v="1"/>
    <x v="2"/>
    <d v="2025-04-08T00:00:00"/>
    <s v="excellent"/>
    <x v="2"/>
    <n v="2"/>
  </r>
  <r>
    <x v="34"/>
    <x v="158"/>
    <s v="Bonny"/>
    <x v="2"/>
    <x v="3"/>
    <x v="1"/>
    <x v="2"/>
    <n v="2"/>
    <n v="77749"/>
    <n v="5"/>
    <n v="73861.55"/>
    <n v="147723.1"/>
    <n v="2000"/>
    <x v="2"/>
    <x v="1"/>
    <m/>
    <s v="no comment"/>
    <x v="1"/>
    <n v="0"/>
  </r>
  <r>
    <x v="14"/>
    <x v="159"/>
    <s v="Obio-Akpor"/>
    <x v="2"/>
    <x v="1"/>
    <x v="0"/>
    <x v="1"/>
    <n v="1"/>
    <n v="27504"/>
    <n v="20"/>
    <n v="22003.200000000001"/>
    <n v="22003.200000000001"/>
    <n v="2000"/>
    <x v="1"/>
    <x v="0"/>
    <m/>
    <s v="okay"/>
    <x v="0"/>
    <n v="0"/>
  </r>
  <r>
    <x v="71"/>
    <x v="160"/>
    <s v="Ogbomosho"/>
    <x v="0"/>
    <x v="6"/>
    <x v="2"/>
    <x v="5"/>
    <n v="1"/>
    <n v="16656"/>
    <n v="20"/>
    <n v="13324.8"/>
    <n v="13324.8"/>
    <n v="1000"/>
    <x v="1"/>
    <x v="0"/>
    <m/>
    <s v="okay"/>
    <x v="0"/>
    <n v="0"/>
  </r>
  <r>
    <x v="59"/>
    <x v="161"/>
    <s v="Maitama"/>
    <x v="1"/>
    <x v="4"/>
    <x v="2"/>
    <x v="3"/>
    <n v="1"/>
    <n v="2928"/>
    <n v="10"/>
    <n v="2635.2"/>
    <n v="2635.2"/>
    <n v="1500"/>
    <x v="2"/>
    <x v="1"/>
    <m/>
    <s v="no comment"/>
    <x v="1"/>
    <n v="0"/>
  </r>
  <r>
    <x v="45"/>
    <x v="162"/>
    <s v="Ibadan"/>
    <x v="0"/>
    <x v="2"/>
    <x v="1"/>
    <x v="2"/>
    <n v="2"/>
    <n v="69402"/>
    <n v="20"/>
    <n v="55521.599999999999"/>
    <n v="111043.2"/>
    <n v="1000"/>
    <x v="1"/>
    <x v="1"/>
    <m/>
    <s v="no comment"/>
    <x v="1"/>
    <n v="0"/>
  </r>
  <r>
    <x v="112"/>
    <x v="163"/>
    <s v="Lekki"/>
    <x v="3"/>
    <x v="10"/>
    <x v="1"/>
    <x v="4"/>
    <n v="5"/>
    <n v="12156"/>
    <n v="15"/>
    <n v="10332.6"/>
    <n v="51663"/>
    <n v="2000"/>
    <x v="1"/>
    <x v="2"/>
    <d v="2025-02-15T00:00:00"/>
    <s v="excellent"/>
    <x v="2"/>
    <n v="10"/>
  </r>
  <r>
    <x v="2"/>
    <x v="164"/>
    <s v="Obio-Akpor"/>
    <x v="2"/>
    <x v="4"/>
    <x v="2"/>
    <x v="3"/>
    <n v="4"/>
    <n v="70482"/>
    <n v="15"/>
    <n v="59909.7"/>
    <n v="239638.8"/>
    <n v="1000"/>
    <x v="2"/>
    <x v="2"/>
    <d v="2025-03-18T00:00:00"/>
    <s v="excellent"/>
    <x v="2"/>
    <n v="5"/>
  </r>
  <r>
    <x v="4"/>
    <x v="165"/>
    <s v="Oyigbo"/>
    <x v="2"/>
    <x v="8"/>
    <x v="0"/>
    <x v="1"/>
    <n v="1"/>
    <n v="54425"/>
    <n v="5"/>
    <n v="51703.75"/>
    <n v="51703.75"/>
    <n v="2000"/>
    <x v="0"/>
    <x v="0"/>
    <m/>
    <s v="okay"/>
    <x v="0"/>
    <n v="0"/>
  </r>
  <r>
    <x v="98"/>
    <x v="166"/>
    <s v="Asokoro"/>
    <x v="1"/>
    <x v="6"/>
    <x v="2"/>
    <x v="5"/>
    <n v="1"/>
    <n v="41729"/>
    <n v="5"/>
    <n v="39642.550000000003"/>
    <n v="39642.550000000003"/>
    <n v="2000"/>
    <x v="1"/>
    <x v="2"/>
    <d v="2025-01-27T00:00:00"/>
    <s v="excellent"/>
    <x v="2"/>
    <n v="8"/>
  </r>
  <r>
    <x v="13"/>
    <x v="167"/>
    <s v="Asokoro"/>
    <x v="1"/>
    <x v="6"/>
    <x v="2"/>
    <x v="5"/>
    <n v="2"/>
    <n v="43711"/>
    <n v="20"/>
    <n v="34968.800000000003"/>
    <n v="69937.600000000006"/>
    <n v="2000"/>
    <x v="2"/>
    <x v="1"/>
    <m/>
    <s v="no comment"/>
    <x v="1"/>
    <n v="0"/>
  </r>
  <r>
    <x v="83"/>
    <x v="168"/>
    <s v="Ibadan"/>
    <x v="0"/>
    <x v="2"/>
    <x v="1"/>
    <x v="2"/>
    <n v="4"/>
    <n v="16156"/>
    <n v="15"/>
    <n v="13732.6"/>
    <n v="54930.400000000001"/>
    <n v="1500"/>
    <x v="1"/>
    <x v="1"/>
    <m/>
    <s v="no comment"/>
    <x v="1"/>
    <n v="0"/>
  </r>
  <r>
    <x v="79"/>
    <x v="169"/>
    <s v="Ibadan"/>
    <x v="0"/>
    <x v="3"/>
    <x v="1"/>
    <x v="2"/>
    <n v="4"/>
    <n v="71780"/>
    <n v="10"/>
    <n v="64602"/>
    <n v="258408"/>
    <n v="1000"/>
    <x v="0"/>
    <x v="1"/>
    <m/>
    <s v="no comment"/>
    <x v="1"/>
    <n v="0"/>
  </r>
  <r>
    <x v="113"/>
    <x v="170"/>
    <s v="Lekki"/>
    <x v="3"/>
    <x v="7"/>
    <x v="2"/>
    <x v="5"/>
    <n v="3"/>
    <n v="46573"/>
    <n v="0"/>
    <n v="46573"/>
    <n v="139719"/>
    <n v="2000"/>
    <x v="0"/>
    <x v="2"/>
    <d v="2025-02-26T00:00:00"/>
    <s v="excellent"/>
    <x v="2"/>
    <n v="8"/>
  </r>
  <r>
    <x v="67"/>
    <x v="171"/>
    <s v="Eruwa"/>
    <x v="0"/>
    <x v="7"/>
    <x v="2"/>
    <x v="5"/>
    <n v="2"/>
    <n v="62311"/>
    <n v="15"/>
    <n v="52964.35"/>
    <n v="105928.7"/>
    <n v="1000"/>
    <x v="0"/>
    <x v="2"/>
    <d v="2025-02-12T00:00:00"/>
    <s v="excellent"/>
    <x v="2"/>
    <n v="8"/>
  </r>
  <r>
    <x v="114"/>
    <x v="172"/>
    <s v="Gwarinpa"/>
    <x v="1"/>
    <x v="9"/>
    <x v="2"/>
    <x v="3"/>
    <n v="3"/>
    <n v="44525"/>
    <n v="20"/>
    <n v="35620"/>
    <n v="106860"/>
    <n v="1000"/>
    <x v="2"/>
    <x v="0"/>
    <m/>
    <s v="okay"/>
    <x v="0"/>
    <n v="0"/>
  </r>
  <r>
    <x v="78"/>
    <x v="173"/>
    <s v="Iseyin"/>
    <x v="0"/>
    <x v="11"/>
    <x v="0"/>
    <x v="0"/>
    <n v="2"/>
    <n v="21279"/>
    <n v="10"/>
    <n v="19151.099999999999"/>
    <n v="38302.199999999997"/>
    <n v="1500"/>
    <x v="2"/>
    <x v="0"/>
    <m/>
    <s v="okay"/>
    <x v="0"/>
    <n v="0"/>
  </r>
  <r>
    <x v="115"/>
    <x v="174"/>
    <s v="Surulere"/>
    <x v="3"/>
    <x v="6"/>
    <x v="2"/>
    <x v="5"/>
    <n v="1"/>
    <n v="34325"/>
    <n v="0"/>
    <n v="34325"/>
    <n v="34325"/>
    <n v="2000"/>
    <x v="1"/>
    <x v="0"/>
    <m/>
    <s v="okay"/>
    <x v="0"/>
    <n v="0"/>
  </r>
  <r>
    <x v="42"/>
    <x v="175"/>
    <s v="Eruwa"/>
    <x v="0"/>
    <x v="2"/>
    <x v="1"/>
    <x v="2"/>
    <n v="5"/>
    <n v="67122"/>
    <n v="10"/>
    <n v="60409.8"/>
    <n v="302049"/>
    <n v="2000"/>
    <x v="1"/>
    <x v="1"/>
    <m/>
    <s v="no comment"/>
    <x v="1"/>
    <n v="0"/>
  </r>
  <r>
    <x v="116"/>
    <x v="176"/>
    <s v="Iseyin"/>
    <x v="0"/>
    <x v="0"/>
    <x v="0"/>
    <x v="0"/>
    <n v="5"/>
    <n v="31300"/>
    <n v="20"/>
    <n v="25040"/>
    <n v="125200"/>
    <n v="1000"/>
    <x v="0"/>
    <x v="1"/>
    <m/>
    <s v="no comment"/>
    <x v="1"/>
    <n v="0"/>
  </r>
  <r>
    <x v="117"/>
    <x v="177"/>
    <s v="Obio-Akpor"/>
    <x v="2"/>
    <x v="3"/>
    <x v="1"/>
    <x v="2"/>
    <n v="2"/>
    <n v="52464"/>
    <n v="20"/>
    <n v="41971.199999999997"/>
    <n v="83942.399999999994"/>
    <n v="1500"/>
    <x v="2"/>
    <x v="1"/>
    <m/>
    <s v="no comment"/>
    <x v="1"/>
    <n v="0"/>
  </r>
  <r>
    <x v="118"/>
    <x v="178"/>
    <s v="Ikeja"/>
    <x v="3"/>
    <x v="9"/>
    <x v="2"/>
    <x v="3"/>
    <n v="1"/>
    <n v="28696"/>
    <n v="15"/>
    <n v="24391.599999999999"/>
    <n v="24391.599999999999"/>
    <n v="1000"/>
    <x v="2"/>
    <x v="2"/>
    <d v="2025-06-30T00:00:00"/>
    <s v="excellent"/>
    <x v="2"/>
    <n v="5"/>
  </r>
  <r>
    <x v="119"/>
    <x v="179"/>
    <s v="Obio-Akpor"/>
    <x v="2"/>
    <x v="10"/>
    <x v="1"/>
    <x v="4"/>
    <n v="2"/>
    <n v="42566"/>
    <n v="5"/>
    <n v="40437.699999999997"/>
    <n v="80875.399999999994"/>
    <n v="1000"/>
    <x v="1"/>
    <x v="1"/>
    <m/>
    <s v="no comment"/>
    <x v="1"/>
    <n v="0"/>
  </r>
  <r>
    <x v="120"/>
    <x v="180"/>
    <s v="Ikeja"/>
    <x v="3"/>
    <x v="11"/>
    <x v="0"/>
    <x v="0"/>
    <n v="4"/>
    <n v="46112"/>
    <n v="0"/>
    <n v="46112"/>
    <n v="184448"/>
    <n v="1000"/>
    <x v="0"/>
    <x v="2"/>
    <d v="2025-02-04T00:00:00"/>
    <s v="excellent"/>
    <x v="2"/>
    <n v="13"/>
  </r>
  <r>
    <x v="4"/>
    <x v="181"/>
    <s v="Wuse"/>
    <x v="1"/>
    <x v="11"/>
    <x v="0"/>
    <x v="0"/>
    <n v="1"/>
    <n v="53823"/>
    <n v="10"/>
    <n v="48440.7"/>
    <n v="48440.7"/>
    <n v="2000"/>
    <x v="1"/>
    <x v="0"/>
    <m/>
    <s v="okay"/>
    <x v="0"/>
    <n v="0"/>
  </r>
  <r>
    <x v="77"/>
    <x v="182"/>
    <s v="Obio-Akpor"/>
    <x v="2"/>
    <x v="3"/>
    <x v="1"/>
    <x v="2"/>
    <n v="4"/>
    <n v="8666"/>
    <n v="0"/>
    <n v="8666"/>
    <n v="34664"/>
    <n v="2000"/>
    <x v="1"/>
    <x v="1"/>
    <m/>
    <s v="no comment"/>
    <x v="1"/>
    <n v="0"/>
  </r>
  <r>
    <x v="24"/>
    <x v="183"/>
    <s v="Wuse"/>
    <x v="1"/>
    <x v="3"/>
    <x v="1"/>
    <x v="2"/>
    <n v="4"/>
    <n v="56273"/>
    <n v="15"/>
    <n v="47832.05"/>
    <n v="191328.2"/>
    <n v="1000"/>
    <x v="2"/>
    <x v="1"/>
    <m/>
    <s v="no comment"/>
    <x v="1"/>
    <n v="0"/>
  </r>
  <r>
    <x v="31"/>
    <x v="184"/>
    <s v="Eruwa"/>
    <x v="0"/>
    <x v="1"/>
    <x v="0"/>
    <x v="1"/>
    <n v="3"/>
    <n v="1606"/>
    <n v="15"/>
    <n v="1365.1"/>
    <n v="4095.3"/>
    <n v="2000"/>
    <x v="2"/>
    <x v="0"/>
    <m/>
    <s v="okay"/>
    <x v="0"/>
    <n v="0"/>
  </r>
  <r>
    <x v="63"/>
    <x v="185"/>
    <s v="Ibadan"/>
    <x v="0"/>
    <x v="0"/>
    <x v="0"/>
    <x v="0"/>
    <n v="2"/>
    <n v="29426"/>
    <n v="5"/>
    <n v="27954.7"/>
    <n v="55909.4"/>
    <n v="1500"/>
    <x v="0"/>
    <x v="1"/>
    <m/>
    <s v="no comment"/>
    <x v="1"/>
    <n v="0"/>
  </r>
  <r>
    <x v="121"/>
    <x v="186"/>
    <s v="Iseyin"/>
    <x v="0"/>
    <x v="8"/>
    <x v="0"/>
    <x v="1"/>
    <n v="2"/>
    <n v="42410"/>
    <n v="0"/>
    <n v="42410"/>
    <n v="84820"/>
    <n v="1500"/>
    <x v="0"/>
    <x v="2"/>
    <d v="2025-04-16T00:00:00"/>
    <s v="excellent"/>
    <x v="2"/>
    <n v="2"/>
  </r>
  <r>
    <x v="122"/>
    <x v="187"/>
    <s v="Asokoro"/>
    <x v="1"/>
    <x v="11"/>
    <x v="0"/>
    <x v="0"/>
    <n v="2"/>
    <n v="10277"/>
    <n v="10"/>
    <n v="9249.2999999999993"/>
    <n v="18498.599999999999"/>
    <n v="1500"/>
    <x v="2"/>
    <x v="1"/>
    <m/>
    <s v="no comment"/>
    <x v="1"/>
    <n v="0"/>
  </r>
  <r>
    <x v="123"/>
    <x v="188"/>
    <s v="Ogbomosho"/>
    <x v="0"/>
    <x v="5"/>
    <x v="1"/>
    <x v="4"/>
    <n v="2"/>
    <n v="69815"/>
    <n v="15"/>
    <n v="59342.75"/>
    <n v="118685.5"/>
    <n v="2000"/>
    <x v="0"/>
    <x v="2"/>
    <d v="2025-04-08T00:00:00"/>
    <s v="excellent"/>
    <x v="2"/>
    <n v="6"/>
  </r>
  <r>
    <x v="84"/>
    <x v="189"/>
    <s v="Iseyin"/>
    <x v="0"/>
    <x v="4"/>
    <x v="2"/>
    <x v="3"/>
    <n v="3"/>
    <n v="75867"/>
    <n v="5"/>
    <n v="72073.649999999994"/>
    <n v="216220.95"/>
    <n v="2000"/>
    <x v="2"/>
    <x v="1"/>
    <m/>
    <s v="no comment"/>
    <x v="1"/>
    <n v="0"/>
  </r>
  <r>
    <x v="124"/>
    <x v="190"/>
    <s v="Lekki"/>
    <x v="3"/>
    <x v="8"/>
    <x v="0"/>
    <x v="1"/>
    <n v="5"/>
    <n v="33830"/>
    <n v="0"/>
    <n v="33830"/>
    <n v="169150"/>
    <n v="1500"/>
    <x v="0"/>
    <x v="2"/>
    <d v="2025-01-30T00:00:00"/>
    <s v="excellent"/>
    <x v="2"/>
    <n v="14"/>
  </r>
  <r>
    <x v="123"/>
    <x v="191"/>
    <s v="Gwarinpa"/>
    <x v="1"/>
    <x v="8"/>
    <x v="0"/>
    <x v="1"/>
    <n v="2"/>
    <n v="77819"/>
    <n v="5"/>
    <n v="73928.05"/>
    <n v="147856.1"/>
    <n v="2000"/>
    <x v="1"/>
    <x v="2"/>
    <d v="2025-04-07T00:00:00"/>
    <s v="excellent"/>
    <x v="2"/>
    <n v="5"/>
  </r>
  <r>
    <x v="125"/>
    <x v="192"/>
    <s v="Iseyin"/>
    <x v="0"/>
    <x v="2"/>
    <x v="1"/>
    <x v="2"/>
    <n v="2"/>
    <n v="6017"/>
    <n v="10"/>
    <n v="5415.3"/>
    <n v="10830.6"/>
    <n v="1500"/>
    <x v="2"/>
    <x v="1"/>
    <m/>
    <s v="no comment"/>
    <x v="1"/>
    <n v="0"/>
  </r>
  <r>
    <x v="6"/>
    <x v="193"/>
    <s v="Eruwa"/>
    <x v="0"/>
    <x v="1"/>
    <x v="0"/>
    <x v="1"/>
    <n v="4"/>
    <n v="40036"/>
    <n v="15"/>
    <n v="34030.6"/>
    <n v="136122.4"/>
    <n v="1500"/>
    <x v="2"/>
    <x v="0"/>
    <m/>
    <s v="okay"/>
    <x v="0"/>
    <n v="0"/>
  </r>
  <r>
    <x v="57"/>
    <x v="194"/>
    <s v="Iseyin"/>
    <x v="0"/>
    <x v="9"/>
    <x v="2"/>
    <x v="3"/>
    <n v="5"/>
    <n v="2662"/>
    <n v="5"/>
    <n v="2528.9"/>
    <n v="12644.5"/>
    <n v="1000"/>
    <x v="1"/>
    <x v="0"/>
    <m/>
    <s v="okay"/>
    <x v="0"/>
    <n v="0"/>
  </r>
  <r>
    <x v="18"/>
    <x v="195"/>
    <s v="Maitama"/>
    <x v="1"/>
    <x v="1"/>
    <x v="0"/>
    <x v="1"/>
    <n v="5"/>
    <n v="3726"/>
    <n v="0"/>
    <n v="3726"/>
    <n v="18630"/>
    <n v="1500"/>
    <x v="1"/>
    <x v="1"/>
    <m/>
    <s v="no comment"/>
    <x v="1"/>
    <n v="0"/>
  </r>
  <r>
    <x v="18"/>
    <x v="196"/>
    <s v="Gwarinpa"/>
    <x v="1"/>
    <x v="7"/>
    <x v="2"/>
    <x v="5"/>
    <n v="2"/>
    <n v="2429"/>
    <n v="10"/>
    <n v="2307.5500000000002"/>
    <n v="4615.1000000000004"/>
    <n v="1500"/>
    <x v="2"/>
    <x v="1"/>
    <m/>
    <s v="no comment"/>
    <x v="1"/>
    <n v="0"/>
  </r>
  <r>
    <x v="126"/>
    <x v="197"/>
    <s v="Eruwa"/>
    <x v="0"/>
    <x v="9"/>
    <x v="2"/>
    <x v="3"/>
    <n v="4"/>
    <n v="66382"/>
    <n v="0"/>
    <n v="66382"/>
    <n v="265528"/>
    <n v="1000"/>
    <x v="1"/>
    <x v="0"/>
    <m/>
    <s v="okay"/>
    <x v="0"/>
    <n v="0"/>
  </r>
  <r>
    <x v="127"/>
    <x v="198"/>
    <s v="Maitama"/>
    <x v="1"/>
    <x v="5"/>
    <x v="1"/>
    <x v="4"/>
    <n v="4"/>
    <n v="6765"/>
    <n v="15"/>
    <n v="5750.25"/>
    <n v="23001"/>
    <n v="1000"/>
    <x v="2"/>
    <x v="2"/>
    <d v="2025-02-26T00:00:00"/>
    <s v="excellent"/>
    <x v="2"/>
    <n v="2"/>
  </r>
  <r>
    <x v="128"/>
    <x v="199"/>
    <s v="Bonny"/>
    <x v="2"/>
    <x v="5"/>
    <x v="1"/>
    <x v="4"/>
    <n v="2"/>
    <n v="22497"/>
    <n v="5"/>
    <n v="21372.15"/>
    <n v="42744.3"/>
    <n v="1500"/>
    <x v="2"/>
    <x v="2"/>
    <d v="2025-04-21T00:00:00"/>
    <s v="excellent"/>
    <x v="2"/>
    <n v="4"/>
  </r>
  <r>
    <x v="44"/>
    <x v="200"/>
    <s v="Maitama"/>
    <x v="1"/>
    <x v="6"/>
    <x v="2"/>
    <x v="5"/>
    <n v="5"/>
    <n v="22745"/>
    <n v="20"/>
    <n v="18196"/>
    <n v="90980"/>
    <n v="1500"/>
    <x v="2"/>
    <x v="1"/>
    <m/>
    <s v="no comment"/>
    <x v="1"/>
    <n v="0"/>
  </r>
  <r>
    <x v="26"/>
    <x v="201"/>
    <s v="Gwarinpa"/>
    <x v="1"/>
    <x v="8"/>
    <x v="0"/>
    <x v="1"/>
    <n v="2"/>
    <n v="72934"/>
    <n v="20"/>
    <n v="58347.199999999997"/>
    <n v="116694.39999999999"/>
    <n v="1500"/>
    <x v="0"/>
    <x v="0"/>
    <m/>
    <s v="okay"/>
    <x v="0"/>
    <n v="0"/>
  </r>
  <r>
    <x v="27"/>
    <x v="202"/>
    <s v="Iseyin"/>
    <x v="0"/>
    <x v="11"/>
    <x v="0"/>
    <x v="0"/>
    <n v="2"/>
    <n v="60207"/>
    <n v="20"/>
    <n v="48165.599999999999"/>
    <n v="96331.199999999997"/>
    <n v="1000"/>
    <x v="0"/>
    <x v="1"/>
    <m/>
    <s v="no comment"/>
    <x v="1"/>
    <n v="0"/>
  </r>
  <r>
    <x v="129"/>
    <x v="203"/>
    <s v="Port Harcourt"/>
    <x v="2"/>
    <x v="7"/>
    <x v="2"/>
    <x v="5"/>
    <n v="2"/>
    <n v="36877"/>
    <n v="15"/>
    <n v="31345.45"/>
    <n v="62690.9"/>
    <n v="2000"/>
    <x v="2"/>
    <x v="0"/>
    <m/>
    <s v="okay"/>
    <x v="0"/>
    <n v="0"/>
  </r>
  <r>
    <x v="6"/>
    <x v="204"/>
    <s v="Oyigbo"/>
    <x v="2"/>
    <x v="4"/>
    <x v="2"/>
    <x v="3"/>
    <n v="2"/>
    <n v="33192"/>
    <n v="15"/>
    <n v="28213.200000000001"/>
    <n v="56426.400000000001"/>
    <n v="1500"/>
    <x v="2"/>
    <x v="2"/>
    <d v="2025-04-26T00:00:00"/>
    <s v="excellent"/>
    <x v="2"/>
    <n v="10"/>
  </r>
  <r>
    <x v="2"/>
    <x v="205"/>
    <s v="Asokoro"/>
    <x v="1"/>
    <x v="7"/>
    <x v="2"/>
    <x v="5"/>
    <n v="3"/>
    <n v="77594"/>
    <n v="5"/>
    <n v="73714.3"/>
    <n v="221142.9"/>
    <n v="1500"/>
    <x v="1"/>
    <x v="1"/>
    <m/>
    <s v="no comment"/>
    <x v="1"/>
    <n v="0"/>
  </r>
  <r>
    <x v="83"/>
    <x v="206"/>
    <s v="Surulere"/>
    <x v="3"/>
    <x v="6"/>
    <x v="2"/>
    <x v="5"/>
    <n v="1"/>
    <n v="36460"/>
    <n v="15"/>
    <n v="30991"/>
    <n v="30991"/>
    <n v="1500"/>
    <x v="1"/>
    <x v="1"/>
    <m/>
    <s v="no comment"/>
    <x v="1"/>
    <n v="0"/>
  </r>
  <r>
    <x v="14"/>
    <x v="207"/>
    <s v="Wuse"/>
    <x v="1"/>
    <x v="3"/>
    <x v="1"/>
    <x v="2"/>
    <n v="5"/>
    <n v="33695"/>
    <n v="0"/>
    <n v="33695"/>
    <n v="168475"/>
    <n v="1000"/>
    <x v="1"/>
    <x v="2"/>
    <d v="2025-03-27T00:00:00"/>
    <s v="excellent"/>
    <x v="2"/>
    <n v="11"/>
  </r>
  <r>
    <x v="14"/>
    <x v="208"/>
    <s v="Obio-Akpor"/>
    <x v="2"/>
    <x v="5"/>
    <x v="1"/>
    <x v="4"/>
    <n v="2"/>
    <n v="39124"/>
    <n v="5"/>
    <n v="37167.800000000003"/>
    <n v="74335.600000000006"/>
    <n v="1000"/>
    <x v="2"/>
    <x v="2"/>
    <d v="2025-03-20T00:00:00"/>
    <s v="excellent"/>
    <x v="2"/>
    <n v="4"/>
  </r>
  <r>
    <x v="29"/>
    <x v="209"/>
    <s v="Gwarinpa"/>
    <x v="1"/>
    <x v="6"/>
    <x v="2"/>
    <x v="5"/>
    <n v="1"/>
    <n v="31138"/>
    <n v="5"/>
    <n v="29581.1"/>
    <n v="29581.1"/>
    <n v="2000"/>
    <x v="1"/>
    <x v="1"/>
    <m/>
    <s v="no comment"/>
    <x v="1"/>
    <n v="0"/>
  </r>
  <r>
    <x v="130"/>
    <x v="210"/>
    <s v="Surulere"/>
    <x v="3"/>
    <x v="3"/>
    <x v="1"/>
    <x v="2"/>
    <n v="3"/>
    <n v="24656"/>
    <n v="0"/>
    <n v="24656"/>
    <n v="73968"/>
    <n v="2000"/>
    <x v="2"/>
    <x v="2"/>
    <d v="2025-05-06T00:00:00"/>
    <s v="excellent"/>
    <x v="2"/>
    <n v="3"/>
  </r>
  <r>
    <x v="66"/>
    <x v="211"/>
    <s v="Maitama"/>
    <x v="1"/>
    <x v="6"/>
    <x v="2"/>
    <x v="5"/>
    <n v="4"/>
    <n v="9376"/>
    <n v="10"/>
    <n v="8438.4"/>
    <n v="33753.599999999999"/>
    <n v="1000"/>
    <x v="1"/>
    <x v="0"/>
    <m/>
    <s v="okay"/>
    <x v="0"/>
    <n v="0"/>
  </r>
  <r>
    <x v="131"/>
    <x v="212"/>
    <s v="Surulere"/>
    <x v="3"/>
    <x v="4"/>
    <x v="2"/>
    <x v="3"/>
    <n v="3"/>
    <n v="18436"/>
    <n v="20"/>
    <n v="14748.8"/>
    <n v="44246.399999999987"/>
    <n v="1000"/>
    <x v="0"/>
    <x v="0"/>
    <m/>
    <s v="okay"/>
    <x v="0"/>
    <n v="0"/>
  </r>
  <r>
    <x v="38"/>
    <x v="213"/>
    <s v="Lekki"/>
    <x v="3"/>
    <x v="8"/>
    <x v="0"/>
    <x v="1"/>
    <n v="5"/>
    <n v="65710"/>
    <n v="15"/>
    <n v="55853.5"/>
    <n v="279267.5"/>
    <n v="1500"/>
    <x v="0"/>
    <x v="0"/>
    <m/>
    <s v="okay"/>
    <x v="0"/>
    <n v="0"/>
  </r>
  <r>
    <x v="132"/>
    <x v="214"/>
    <s v="Gwarinpa"/>
    <x v="1"/>
    <x v="6"/>
    <x v="2"/>
    <x v="5"/>
    <n v="1"/>
    <n v="36023"/>
    <n v="10"/>
    <n v="32420.7"/>
    <n v="32420.7"/>
    <n v="2000"/>
    <x v="1"/>
    <x v="1"/>
    <m/>
    <s v="no comment"/>
    <x v="1"/>
    <n v="0"/>
  </r>
  <r>
    <x v="66"/>
    <x v="215"/>
    <s v="Surulere"/>
    <x v="3"/>
    <x v="8"/>
    <x v="0"/>
    <x v="1"/>
    <n v="4"/>
    <n v="49863"/>
    <n v="10"/>
    <n v="44876.7"/>
    <n v="179506.8"/>
    <n v="1000"/>
    <x v="2"/>
    <x v="1"/>
    <m/>
    <s v="no comment"/>
    <x v="1"/>
    <n v="0"/>
  </r>
  <r>
    <x v="110"/>
    <x v="216"/>
    <s v="Bonny"/>
    <x v="2"/>
    <x v="1"/>
    <x v="0"/>
    <x v="1"/>
    <n v="1"/>
    <n v="78397"/>
    <n v="20"/>
    <n v="62717.599999999999"/>
    <n v="62717.599999999999"/>
    <n v="1500"/>
    <x v="1"/>
    <x v="1"/>
    <m/>
    <s v="no comment"/>
    <x v="1"/>
    <n v="0"/>
  </r>
  <r>
    <x v="96"/>
    <x v="217"/>
    <s v="Wuse"/>
    <x v="1"/>
    <x v="10"/>
    <x v="1"/>
    <x v="4"/>
    <n v="4"/>
    <n v="72737"/>
    <n v="15"/>
    <n v="61826.45"/>
    <n v="247305.8"/>
    <n v="2000"/>
    <x v="2"/>
    <x v="2"/>
    <d v="2025-01-08T00:00:00"/>
    <s v="excellent"/>
    <x v="2"/>
    <n v="5"/>
  </r>
  <r>
    <x v="7"/>
    <x v="218"/>
    <s v="Eruwa"/>
    <x v="0"/>
    <x v="9"/>
    <x v="2"/>
    <x v="3"/>
    <n v="3"/>
    <n v="59500"/>
    <n v="10"/>
    <n v="53550"/>
    <n v="160650"/>
    <n v="2000"/>
    <x v="1"/>
    <x v="1"/>
    <m/>
    <s v="no comment"/>
    <x v="1"/>
    <n v="0"/>
  </r>
  <r>
    <x v="101"/>
    <x v="219"/>
    <s v="Iseyin"/>
    <x v="0"/>
    <x v="4"/>
    <x v="2"/>
    <x v="3"/>
    <n v="4"/>
    <n v="47070"/>
    <n v="0"/>
    <n v="47070"/>
    <n v="188280"/>
    <n v="1500"/>
    <x v="1"/>
    <x v="0"/>
    <m/>
    <s v="okay"/>
    <x v="0"/>
    <n v="0"/>
  </r>
  <r>
    <x v="70"/>
    <x v="220"/>
    <s v="Gwarinpa"/>
    <x v="1"/>
    <x v="2"/>
    <x v="1"/>
    <x v="2"/>
    <n v="3"/>
    <n v="65849"/>
    <n v="5"/>
    <n v="62556.55"/>
    <n v="187669.65"/>
    <n v="2000"/>
    <x v="0"/>
    <x v="1"/>
    <m/>
    <s v="no comment"/>
    <x v="1"/>
    <n v="0"/>
  </r>
  <r>
    <x v="133"/>
    <x v="221"/>
    <s v="Yaba"/>
    <x v="3"/>
    <x v="8"/>
    <x v="0"/>
    <x v="1"/>
    <n v="5"/>
    <n v="6089"/>
    <n v="5"/>
    <n v="5784.55"/>
    <n v="28922.75"/>
    <n v="1500"/>
    <x v="0"/>
    <x v="0"/>
    <m/>
    <s v="okay"/>
    <x v="0"/>
    <n v="0"/>
  </r>
  <r>
    <x v="12"/>
    <x v="222"/>
    <s v="Surulere"/>
    <x v="3"/>
    <x v="0"/>
    <x v="0"/>
    <x v="0"/>
    <n v="4"/>
    <n v="8680"/>
    <n v="20"/>
    <n v="6944"/>
    <n v="27776"/>
    <n v="2000"/>
    <x v="0"/>
    <x v="2"/>
    <d v="2025-04-04T00:00:00"/>
    <s v="excellent"/>
    <x v="2"/>
    <n v="13"/>
  </r>
  <r>
    <x v="80"/>
    <x v="223"/>
    <s v="Ikeja"/>
    <x v="3"/>
    <x v="4"/>
    <x v="2"/>
    <x v="3"/>
    <n v="1"/>
    <n v="13041"/>
    <n v="0"/>
    <n v="13041"/>
    <n v="13041"/>
    <n v="1500"/>
    <x v="2"/>
    <x v="2"/>
    <d v="2025-05-05T00:00:00"/>
    <s v="excellent"/>
    <x v="2"/>
    <n v="14"/>
  </r>
  <r>
    <x v="76"/>
    <x v="224"/>
    <s v="Eruwa"/>
    <x v="0"/>
    <x v="2"/>
    <x v="1"/>
    <x v="2"/>
    <n v="2"/>
    <n v="67391"/>
    <n v="10"/>
    <n v="60651.9"/>
    <n v="121303.8"/>
    <n v="1500"/>
    <x v="2"/>
    <x v="2"/>
    <d v="2025-03-23T00:00:00"/>
    <s v="excellent"/>
    <x v="2"/>
    <n v="2"/>
  </r>
  <r>
    <x v="1"/>
    <x v="225"/>
    <s v="Oyigbo"/>
    <x v="2"/>
    <x v="5"/>
    <x v="1"/>
    <x v="4"/>
    <n v="2"/>
    <n v="57934"/>
    <n v="10"/>
    <n v="52140.6"/>
    <n v="104281.2"/>
    <n v="1000"/>
    <x v="0"/>
    <x v="1"/>
    <m/>
    <s v="no comment"/>
    <x v="1"/>
    <n v="0"/>
  </r>
  <r>
    <x v="134"/>
    <x v="226"/>
    <s v="Gwarinpa"/>
    <x v="1"/>
    <x v="10"/>
    <x v="1"/>
    <x v="4"/>
    <n v="5"/>
    <n v="75400"/>
    <n v="20"/>
    <n v="60320"/>
    <n v="301600"/>
    <n v="1000"/>
    <x v="1"/>
    <x v="2"/>
    <d v="2025-06-21T00:00:00"/>
    <s v="excellent"/>
    <x v="2"/>
    <n v="7"/>
  </r>
  <r>
    <x v="131"/>
    <x v="227"/>
    <s v="Ikeja"/>
    <x v="3"/>
    <x v="0"/>
    <x v="0"/>
    <x v="0"/>
    <n v="3"/>
    <n v="56414"/>
    <n v="5"/>
    <n v="53593.3"/>
    <n v="160779.9"/>
    <n v="1500"/>
    <x v="2"/>
    <x v="0"/>
    <m/>
    <s v="okay"/>
    <x v="0"/>
    <n v="0"/>
  </r>
  <r>
    <x v="23"/>
    <x v="228"/>
    <s v="Ikeja"/>
    <x v="3"/>
    <x v="4"/>
    <x v="2"/>
    <x v="3"/>
    <n v="2"/>
    <n v="7757"/>
    <n v="10"/>
    <n v="6981.3"/>
    <n v="13962.6"/>
    <n v="1500"/>
    <x v="2"/>
    <x v="1"/>
    <m/>
    <s v="no comment"/>
    <x v="1"/>
    <n v="0"/>
  </r>
  <r>
    <x v="95"/>
    <x v="229"/>
    <s v="Wuse"/>
    <x v="1"/>
    <x v="11"/>
    <x v="0"/>
    <x v="0"/>
    <n v="5"/>
    <n v="46734"/>
    <n v="5"/>
    <n v="44397.3"/>
    <n v="221986.5"/>
    <n v="2000"/>
    <x v="2"/>
    <x v="0"/>
    <m/>
    <s v="okay"/>
    <x v="0"/>
    <n v="0"/>
  </r>
  <r>
    <x v="67"/>
    <x v="230"/>
    <s v="Bonny"/>
    <x v="2"/>
    <x v="1"/>
    <x v="0"/>
    <x v="1"/>
    <n v="2"/>
    <n v="28737"/>
    <n v="5"/>
    <n v="27300.15"/>
    <n v="54600.3"/>
    <n v="2000"/>
    <x v="0"/>
    <x v="0"/>
    <m/>
    <s v="okay"/>
    <x v="0"/>
    <n v="0"/>
  </r>
  <r>
    <x v="15"/>
    <x v="231"/>
    <s v="Obio-Akpor"/>
    <x v="2"/>
    <x v="3"/>
    <x v="1"/>
    <x v="2"/>
    <n v="3"/>
    <n v="61822"/>
    <n v="0"/>
    <n v="61822"/>
    <n v="185466"/>
    <n v="1500"/>
    <x v="0"/>
    <x v="1"/>
    <m/>
    <s v="no comment"/>
    <x v="1"/>
    <n v="0"/>
  </r>
  <r>
    <x v="135"/>
    <x v="232"/>
    <s v="Surulere"/>
    <x v="3"/>
    <x v="6"/>
    <x v="2"/>
    <x v="5"/>
    <n v="5"/>
    <n v="59775"/>
    <n v="5"/>
    <n v="56786.25"/>
    <n v="283931.25"/>
    <n v="2000"/>
    <x v="0"/>
    <x v="2"/>
    <d v="2025-06-08T00:00:00"/>
    <s v="excellent"/>
    <x v="2"/>
    <n v="8"/>
  </r>
  <r>
    <x v="91"/>
    <x v="233"/>
    <s v="Oyigbo"/>
    <x v="2"/>
    <x v="7"/>
    <x v="2"/>
    <x v="5"/>
    <n v="1"/>
    <n v="77056"/>
    <n v="20"/>
    <n v="61644.800000000003"/>
    <n v="61644.800000000003"/>
    <n v="1500"/>
    <x v="2"/>
    <x v="1"/>
    <m/>
    <s v="no comment"/>
    <x v="1"/>
    <n v="0"/>
  </r>
  <r>
    <x v="69"/>
    <x v="234"/>
    <s v="Lekki"/>
    <x v="3"/>
    <x v="7"/>
    <x v="2"/>
    <x v="5"/>
    <n v="4"/>
    <n v="53137"/>
    <n v="10"/>
    <n v="47823.3"/>
    <n v="191293.2"/>
    <n v="1500"/>
    <x v="1"/>
    <x v="0"/>
    <m/>
    <s v="okay"/>
    <x v="0"/>
    <n v="0"/>
  </r>
  <r>
    <x v="77"/>
    <x v="235"/>
    <s v="Bonny"/>
    <x v="2"/>
    <x v="0"/>
    <x v="0"/>
    <x v="0"/>
    <n v="2"/>
    <n v="67084"/>
    <n v="20"/>
    <n v="53667.199999999997"/>
    <n v="107334.39999999999"/>
    <n v="2000"/>
    <x v="1"/>
    <x v="0"/>
    <m/>
    <s v="okay"/>
    <x v="0"/>
    <n v="0"/>
  </r>
  <r>
    <x v="4"/>
    <x v="236"/>
    <s v="Eruwa"/>
    <x v="0"/>
    <x v="10"/>
    <x v="1"/>
    <x v="4"/>
    <n v="5"/>
    <n v="44255"/>
    <n v="15"/>
    <n v="37616.75"/>
    <n v="188083.75"/>
    <n v="1000"/>
    <x v="1"/>
    <x v="1"/>
    <m/>
    <s v="no comment"/>
    <x v="1"/>
    <n v="0"/>
  </r>
  <r>
    <x v="136"/>
    <x v="237"/>
    <s v="Yaba"/>
    <x v="3"/>
    <x v="2"/>
    <x v="1"/>
    <x v="2"/>
    <n v="5"/>
    <n v="50114"/>
    <n v="15"/>
    <n v="42596.9"/>
    <n v="212984.5"/>
    <n v="1500"/>
    <x v="1"/>
    <x v="0"/>
    <m/>
    <s v="okay"/>
    <x v="0"/>
    <n v="0"/>
  </r>
  <r>
    <x v="107"/>
    <x v="238"/>
    <s v="Iseyin"/>
    <x v="0"/>
    <x v="11"/>
    <x v="0"/>
    <x v="0"/>
    <n v="4"/>
    <n v="46683"/>
    <n v="20"/>
    <n v="37346.400000000001"/>
    <n v="149385.60000000001"/>
    <n v="1000"/>
    <x v="2"/>
    <x v="2"/>
    <d v="2025-03-27T00:00:00"/>
    <s v="excellent"/>
    <x v="2"/>
    <n v="7"/>
  </r>
  <r>
    <x v="137"/>
    <x v="239"/>
    <s v="Gwarinpa"/>
    <x v="1"/>
    <x v="7"/>
    <x v="2"/>
    <x v="5"/>
    <n v="1"/>
    <n v="76538"/>
    <n v="10"/>
    <n v="68884.2"/>
    <n v="68884.2"/>
    <n v="1000"/>
    <x v="1"/>
    <x v="1"/>
    <m/>
    <s v="no comment"/>
    <x v="1"/>
    <n v="0"/>
  </r>
  <r>
    <x v="82"/>
    <x v="240"/>
    <s v="Ikeja"/>
    <x v="3"/>
    <x v="3"/>
    <x v="1"/>
    <x v="2"/>
    <n v="1"/>
    <n v="58162"/>
    <n v="5"/>
    <n v="55253.9"/>
    <n v="55253.9"/>
    <n v="1000"/>
    <x v="0"/>
    <x v="2"/>
    <d v="2025-06-03T00:00:00"/>
    <s v="excellent"/>
    <x v="2"/>
    <n v="9"/>
  </r>
  <r>
    <x v="86"/>
    <x v="241"/>
    <s v="Ibadan"/>
    <x v="0"/>
    <x v="0"/>
    <x v="0"/>
    <x v="0"/>
    <n v="4"/>
    <n v="66058"/>
    <n v="20"/>
    <n v="52846.400000000001"/>
    <n v="211385.60000000001"/>
    <n v="2000"/>
    <x v="0"/>
    <x v="0"/>
    <m/>
    <s v="okay"/>
    <x v="0"/>
    <n v="0"/>
  </r>
  <r>
    <x v="138"/>
    <x v="242"/>
    <s v="Obio-Akpor"/>
    <x v="2"/>
    <x v="11"/>
    <x v="0"/>
    <x v="0"/>
    <n v="3"/>
    <n v="54022"/>
    <n v="10"/>
    <n v="48619.8"/>
    <n v="145859.4"/>
    <n v="1500"/>
    <x v="1"/>
    <x v="1"/>
    <m/>
    <s v="no comment"/>
    <x v="1"/>
    <n v="0"/>
  </r>
  <r>
    <x v="70"/>
    <x v="243"/>
    <s v="Port Harcourt"/>
    <x v="2"/>
    <x v="3"/>
    <x v="1"/>
    <x v="2"/>
    <n v="2"/>
    <n v="61722"/>
    <n v="5"/>
    <n v="58635.9"/>
    <n v="117271.8"/>
    <n v="2000"/>
    <x v="1"/>
    <x v="0"/>
    <m/>
    <s v="okay"/>
    <x v="0"/>
    <n v="0"/>
  </r>
  <r>
    <x v="139"/>
    <x v="244"/>
    <s v="Asokoro"/>
    <x v="1"/>
    <x v="1"/>
    <x v="0"/>
    <x v="1"/>
    <n v="3"/>
    <n v="71773"/>
    <n v="5"/>
    <n v="68184.350000000006"/>
    <n v="204553.05"/>
    <n v="1000"/>
    <x v="1"/>
    <x v="0"/>
    <m/>
    <s v="okay"/>
    <x v="0"/>
    <n v="0"/>
  </r>
  <r>
    <x v="108"/>
    <x v="245"/>
    <s v="Gwarinpa"/>
    <x v="1"/>
    <x v="9"/>
    <x v="2"/>
    <x v="3"/>
    <n v="2"/>
    <n v="7448"/>
    <n v="10"/>
    <n v="6703.2"/>
    <n v="13406.4"/>
    <n v="1500"/>
    <x v="2"/>
    <x v="1"/>
    <m/>
    <s v="no comment"/>
    <x v="1"/>
    <n v="0"/>
  </r>
  <r>
    <x v="107"/>
    <x v="246"/>
    <s v="Eruwa"/>
    <x v="0"/>
    <x v="4"/>
    <x v="2"/>
    <x v="3"/>
    <n v="5"/>
    <n v="26908"/>
    <n v="10"/>
    <n v="24217.200000000001"/>
    <n v="121086"/>
    <n v="1000"/>
    <x v="2"/>
    <x v="0"/>
    <m/>
    <s v="okay"/>
    <x v="0"/>
    <n v="0"/>
  </r>
  <r>
    <x v="99"/>
    <x v="247"/>
    <s v="Yaba"/>
    <x v="3"/>
    <x v="5"/>
    <x v="1"/>
    <x v="4"/>
    <n v="5"/>
    <n v="14062"/>
    <n v="0"/>
    <n v="14062"/>
    <n v="70310"/>
    <n v="2000"/>
    <x v="1"/>
    <x v="2"/>
    <d v="2025-01-31T00:00:00"/>
    <s v="excellent"/>
    <x v="2"/>
    <n v="6"/>
  </r>
  <r>
    <x v="26"/>
    <x v="248"/>
    <s v="Asokoro"/>
    <x v="1"/>
    <x v="1"/>
    <x v="0"/>
    <x v="1"/>
    <n v="3"/>
    <n v="32279"/>
    <n v="20"/>
    <n v="25823.200000000001"/>
    <n v="77469.600000000006"/>
    <n v="1500"/>
    <x v="1"/>
    <x v="1"/>
    <m/>
    <s v="no comment"/>
    <x v="1"/>
    <n v="0"/>
  </r>
  <r>
    <x v="133"/>
    <x v="249"/>
    <s v="Bonny"/>
    <x v="2"/>
    <x v="1"/>
    <x v="0"/>
    <x v="1"/>
    <n v="4"/>
    <n v="72794"/>
    <n v="20"/>
    <n v="58235.199999999997"/>
    <n v="232940.79999999999"/>
    <n v="1000"/>
    <x v="0"/>
    <x v="0"/>
    <m/>
    <s v="okay"/>
    <x v="0"/>
    <n v="0"/>
  </r>
  <r>
    <x v="140"/>
    <x v="250"/>
    <s v="Ikeja"/>
    <x v="3"/>
    <x v="8"/>
    <x v="0"/>
    <x v="1"/>
    <n v="3"/>
    <n v="20362"/>
    <n v="15"/>
    <n v="17307.7"/>
    <n v="51923.100000000013"/>
    <n v="1000"/>
    <x v="1"/>
    <x v="0"/>
    <m/>
    <s v="okay"/>
    <x v="0"/>
    <n v="0"/>
  </r>
  <r>
    <x v="60"/>
    <x v="251"/>
    <s v="Gwarinpa"/>
    <x v="1"/>
    <x v="9"/>
    <x v="2"/>
    <x v="3"/>
    <n v="1"/>
    <n v="2720"/>
    <n v="0"/>
    <n v="2720"/>
    <n v="2720"/>
    <n v="1000"/>
    <x v="2"/>
    <x v="2"/>
    <d v="2025-01-28T00:00:00"/>
    <s v="excellent"/>
    <x v="2"/>
    <n v="2"/>
  </r>
  <r>
    <x v="28"/>
    <x v="252"/>
    <s v="Ibadan"/>
    <x v="0"/>
    <x v="11"/>
    <x v="0"/>
    <x v="0"/>
    <n v="1"/>
    <n v="37321"/>
    <n v="10"/>
    <n v="33588.9"/>
    <n v="33588.9"/>
    <n v="2000"/>
    <x v="1"/>
    <x v="2"/>
    <d v="2025-03-14T00:00:00"/>
    <s v="excellent"/>
    <x v="2"/>
    <n v="3"/>
  </r>
  <r>
    <x v="70"/>
    <x v="253"/>
    <s v="Yaba"/>
    <x v="3"/>
    <x v="6"/>
    <x v="2"/>
    <x v="5"/>
    <n v="3"/>
    <n v="72362"/>
    <n v="0"/>
    <n v="72362"/>
    <n v="217086"/>
    <n v="2000"/>
    <x v="2"/>
    <x v="1"/>
    <m/>
    <s v="no comment"/>
    <x v="1"/>
    <n v="0"/>
  </r>
  <r>
    <x v="2"/>
    <x v="254"/>
    <s v="Yaba"/>
    <x v="3"/>
    <x v="0"/>
    <x v="0"/>
    <x v="0"/>
    <n v="3"/>
    <n v="21163"/>
    <n v="0"/>
    <n v="21163"/>
    <n v="63489"/>
    <n v="1500"/>
    <x v="2"/>
    <x v="1"/>
    <m/>
    <s v="no comment"/>
    <x v="1"/>
    <n v="0"/>
  </r>
  <r>
    <x v="88"/>
    <x v="255"/>
    <s v="Ibadan"/>
    <x v="0"/>
    <x v="2"/>
    <x v="1"/>
    <x v="2"/>
    <n v="4"/>
    <n v="79703"/>
    <n v="5"/>
    <n v="75717.850000000006"/>
    <n v="302871.40000000002"/>
    <n v="1500"/>
    <x v="2"/>
    <x v="1"/>
    <m/>
    <s v="no comment"/>
    <x v="1"/>
    <n v="0"/>
  </r>
  <r>
    <x v="45"/>
    <x v="256"/>
    <s v="Oyigbo"/>
    <x v="2"/>
    <x v="0"/>
    <x v="0"/>
    <x v="0"/>
    <n v="5"/>
    <n v="73986"/>
    <n v="10"/>
    <n v="66587.399999999994"/>
    <n v="332937"/>
    <n v="2000"/>
    <x v="1"/>
    <x v="2"/>
    <d v="2025-02-01T00:00:00"/>
    <s v="excellent"/>
    <x v="2"/>
    <n v="3"/>
  </r>
  <r>
    <x v="141"/>
    <x v="257"/>
    <s v="Gwarinpa"/>
    <x v="1"/>
    <x v="7"/>
    <x v="2"/>
    <x v="5"/>
    <n v="2"/>
    <n v="9004"/>
    <n v="10"/>
    <n v="8103.6"/>
    <n v="16207.2"/>
    <n v="2000"/>
    <x v="0"/>
    <x v="2"/>
    <d v="2025-03-02T00:00:00"/>
    <s v="excellent"/>
    <x v="2"/>
    <n v="13"/>
  </r>
  <r>
    <x v="101"/>
    <x v="258"/>
    <s v="Iseyin"/>
    <x v="0"/>
    <x v="7"/>
    <x v="2"/>
    <x v="5"/>
    <n v="2"/>
    <n v="11958"/>
    <n v="5"/>
    <n v="11360.1"/>
    <n v="22720.2"/>
    <n v="2000"/>
    <x v="1"/>
    <x v="1"/>
    <m/>
    <s v="no comment"/>
    <x v="1"/>
    <n v="0"/>
  </r>
  <r>
    <x v="66"/>
    <x v="259"/>
    <s v="Gwarinpa"/>
    <x v="1"/>
    <x v="7"/>
    <x v="2"/>
    <x v="5"/>
    <n v="3"/>
    <n v="69565"/>
    <n v="20"/>
    <n v="55652"/>
    <n v="166956"/>
    <n v="1500"/>
    <x v="2"/>
    <x v="2"/>
    <d v="2025-06-17T00:00:00"/>
    <s v="excellent"/>
    <x v="2"/>
    <n v="7"/>
  </r>
  <r>
    <x v="142"/>
    <x v="260"/>
    <s v="Wuse"/>
    <x v="1"/>
    <x v="7"/>
    <x v="2"/>
    <x v="5"/>
    <n v="1"/>
    <n v="15601"/>
    <n v="20"/>
    <n v="12480.8"/>
    <n v="12480.8"/>
    <n v="2000"/>
    <x v="0"/>
    <x v="0"/>
    <m/>
    <s v="okay"/>
    <x v="0"/>
    <n v="0"/>
  </r>
  <r>
    <x v="16"/>
    <x v="261"/>
    <s v="Obio-Akpor"/>
    <x v="2"/>
    <x v="9"/>
    <x v="2"/>
    <x v="3"/>
    <n v="3"/>
    <n v="75046"/>
    <n v="15"/>
    <n v="63789.1"/>
    <n v="191367.3"/>
    <n v="2000"/>
    <x v="0"/>
    <x v="1"/>
    <m/>
    <s v="no comment"/>
    <x v="1"/>
    <n v="0"/>
  </r>
  <r>
    <x v="45"/>
    <x v="262"/>
    <s v="Ikeja"/>
    <x v="3"/>
    <x v="7"/>
    <x v="2"/>
    <x v="5"/>
    <n v="4"/>
    <n v="33738"/>
    <n v="15"/>
    <n v="28677.3"/>
    <n v="114709.2"/>
    <n v="1000"/>
    <x v="2"/>
    <x v="0"/>
    <m/>
    <s v="okay"/>
    <x v="0"/>
    <n v="0"/>
  </r>
  <r>
    <x v="35"/>
    <x v="263"/>
    <s v="Lekki"/>
    <x v="3"/>
    <x v="10"/>
    <x v="1"/>
    <x v="4"/>
    <n v="5"/>
    <n v="16952"/>
    <n v="15"/>
    <n v="14409.2"/>
    <n v="72046"/>
    <n v="2000"/>
    <x v="1"/>
    <x v="0"/>
    <m/>
    <s v="okay"/>
    <x v="0"/>
    <n v="0"/>
  </r>
  <r>
    <x v="45"/>
    <x v="264"/>
    <s v="Asokoro"/>
    <x v="1"/>
    <x v="5"/>
    <x v="1"/>
    <x v="4"/>
    <n v="2"/>
    <n v="14003"/>
    <n v="0"/>
    <n v="14003"/>
    <n v="28006"/>
    <n v="1500"/>
    <x v="1"/>
    <x v="0"/>
    <m/>
    <s v="okay"/>
    <x v="0"/>
    <n v="0"/>
  </r>
  <r>
    <x v="143"/>
    <x v="265"/>
    <s v="Gwarinpa"/>
    <x v="1"/>
    <x v="8"/>
    <x v="0"/>
    <x v="1"/>
    <n v="2"/>
    <n v="50336"/>
    <n v="10"/>
    <n v="45302.400000000001"/>
    <n v="90604.800000000003"/>
    <n v="1500"/>
    <x v="0"/>
    <x v="1"/>
    <m/>
    <s v="no comment"/>
    <x v="1"/>
    <n v="0"/>
  </r>
  <r>
    <x v="144"/>
    <x v="266"/>
    <s v="Ibadan"/>
    <x v="0"/>
    <x v="1"/>
    <x v="0"/>
    <x v="1"/>
    <n v="5"/>
    <n v="14991"/>
    <n v="15"/>
    <n v="12742.35"/>
    <n v="63711.75"/>
    <n v="2000"/>
    <x v="2"/>
    <x v="0"/>
    <m/>
    <s v="okay"/>
    <x v="0"/>
    <n v="0"/>
  </r>
  <r>
    <x v="66"/>
    <x v="267"/>
    <s v="Surulere"/>
    <x v="3"/>
    <x v="0"/>
    <x v="0"/>
    <x v="0"/>
    <n v="3"/>
    <n v="34511"/>
    <n v="20"/>
    <n v="27608.799999999999"/>
    <n v="82826.399999999994"/>
    <n v="1500"/>
    <x v="2"/>
    <x v="1"/>
    <m/>
    <s v="no comment"/>
    <x v="1"/>
    <n v="0"/>
  </r>
  <r>
    <x v="145"/>
    <x v="268"/>
    <s v="Ikeja"/>
    <x v="3"/>
    <x v="2"/>
    <x v="1"/>
    <x v="2"/>
    <n v="2"/>
    <n v="78319"/>
    <n v="20"/>
    <n v="62655.199999999997"/>
    <n v="125310.39999999999"/>
    <n v="1000"/>
    <x v="0"/>
    <x v="1"/>
    <m/>
    <s v="no comment"/>
    <x v="1"/>
    <n v="0"/>
  </r>
  <r>
    <x v="146"/>
    <x v="269"/>
    <s v="Ikeja"/>
    <x v="3"/>
    <x v="5"/>
    <x v="1"/>
    <x v="4"/>
    <n v="1"/>
    <n v="43873"/>
    <n v="15"/>
    <n v="37292.050000000003"/>
    <n v="37292.050000000003"/>
    <n v="1500"/>
    <x v="0"/>
    <x v="2"/>
    <d v="2025-06-11T00:00:00"/>
    <s v="excellent"/>
    <x v="2"/>
    <n v="13"/>
  </r>
  <r>
    <x v="99"/>
    <x v="270"/>
    <s v="Oyigbo"/>
    <x v="2"/>
    <x v="0"/>
    <x v="0"/>
    <x v="0"/>
    <n v="5"/>
    <n v="46629"/>
    <n v="15"/>
    <n v="39634.65"/>
    <n v="198173.25"/>
    <n v="1500"/>
    <x v="0"/>
    <x v="0"/>
    <m/>
    <s v="okay"/>
    <x v="0"/>
    <n v="0"/>
  </r>
  <r>
    <x v="147"/>
    <x v="271"/>
    <s v="Maitama"/>
    <x v="1"/>
    <x v="9"/>
    <x v="2"/>
    <x v="3"/>
    <n v="2"/>
    <n v="40641"/>
    <n v="20"/>
    <n v="32512.799999999999"/>
    <n v="65025.599999999999"/>
    <n v="1500"/>
    <x v="2"/>
    <x v="0"/>
    <m/>
    <s v="okay"/>
    <x v="0"/>
    <n v="0"/>
  </r>
  <r>
    <x v="148"/>
    <x v="272"/>
    <s v="Ogbomosho"/>
    <x v="0"/>
    <x v="2"/>
    <x v="1"/>
    <x v="2"/>
    <n v="3"/>
    <n v="37077"/>
    <n v="0"/>
    <n v="37077"/>
    <n v="111231"/>
    <n v="2000"/>
    <x v="1"/>
    <x v="1"/>
    <m/>
    <s v="no comment"/>
    <x v="1"/>
    <n v="0"/>
  </r>
  <r>
    <x v="117"/>
    <x v="273"/>
    <s v="Surulere"/>
    <x v="3"/>
    <x v="3"/>
    <x v="1"/>
    <x v="2"/>
    <n v="4"/>
    <n v="46420"/>
    <n v="10"/>
    <n v="41778"/>
    <n v="167112"/>
    <n v="1500"/>
    <x v="0"/>
    <x v="1"/>
    <m/>
    <s v="no comment"/>
    <x v="1"/>
    <n v="0"/>
  </r>
  <r>
    <x v="79"/>
    <x v="274"/>
    <s v="Gwarinpa"/>
    <x v="1"/>
    <x v="1"/>
    <x v="0"/>
    <x v="1"/>
    <n v="2"/>
    <n v="56210"/>
    <n v="20"/>
    <n v="44968"/>
    <n v="89936"/>
    <n v="1500"/>
    <x v="1"/>
    <x v="0"/>
    <m/>
    <s v="okay"/>
    <x v="0"/>
    <n v="0"/>
  </r>
  <r>
    <x v="14"/>
    <x v="275"/>
    <s v="Port Harcourt"/>
    <x v="2"/>
    <x v="2"/>
    <x v="1"/>
    <x v="2"/>
    <n v="2"/>
    <n v="10632"/>
    <n v="0"/>
    <n v="10632"/>
    <n v="21264"/>
    <n v="1500"/>
    <x v="2"/>
    <x v="0"/>
    <m/>
    <s v="okay"/>
    <x v="0"/>
    <n v="0"/>
  </r>
  <r>
    <x v="51"/>
    <x v="276"/>
    <s v="Lekki"/>
    <x v="3"/>
    <x v="4"/>
    <x v="2"/>
    <x v="3"/>
    <n v="2"/>
    <n v="32427"/>
    <n v="20"/>
    <n v="25941.599999999999"/>
    <n v="51883.199999999997"/>
    <n v="2000"/>
    <x v="0"/>
    <x v="0"/>
    <m/>
    <s v="okay"/>
    <x v="0"/>
    <n v="0"/>
  </r>
  <r>
    <x v="20"/>
    <x v="277"/>
    <s v="Ibadan"/>
    <x v="0"/>
    <x v="8"/>
    <x v="0"/>
    <x v="1"/>
    <n v="5"/>
    <n v="56627"/>
    <n v="20"/>
    <n v="45301.599999999999"/>
    <n v="226508"/>
    <n v="1500"/>
    <x v="1"/>
    <x v="1"/>
    <m/>
    <s v="no comment"/>
    <x v="1"/>
    <n v="0"/>
  </r>
  <r>
    <x v="24"/>
    <x v="278"/>
    <s v="Gwarinpa"/>
    <x v="1"/>
    <x v="6"/>
    <x v="2"/>
    <x v="5"/>
    <n v="3"/>
    <n v="79984"/>
    <n v="20"/>
    <n v="63987.199999999997"/>
    <n v="191961.60000000001"/>
    <n v="2000"/>
    <x v="2"/>
    <x v="1"/>
    <m/>
    <s v="no comment"/>
    <x v="1"/>
    <n v="0"/>
  </r>
  <r>
    <x v="58"/>
    <x v="279"/>
    <s v="Ibadan"/>
    <x v="0"/>
    <x v="4"/>
    <x v="2"/>
    <x v="3"/>
    <n v="1"/>
    <n v="48691"/>
    <n v="15"/>
    <n v="41387.35"/>
    <n v="41387.35"/>
    <n v="1500"/>
    <x v="1"/>
    <x v="2"/>
    <d v="2025-05-02T00:00:00"/>
    <s v="excellent"/>
    <x v="2"/>
    <n v="4"/>
  </r>
  <r>
    <x v="28"/>
    <x v="280"/>
    <s v="Ibadan"/>
    <x v="0"/>
    <x v="3"/>
    <x v="1"/>
    <x v="2"/>
    <n v="3"/>
    <n v="59166"/>
    <n v="20"/>
    <n v="47332.800000000003"/>
    <n v="141998.39999999999"/>
    <n v="2000"/>
    <x v="0"/>
    <x v="0"/>
    <m/>
    <s v="okay"/>
    <x v="0"/>
    <n v="0"/>
  </r>
  <r>
    <x v="9"/>
    <x v="281"/>
    <s v="Bonny"/>
    <x v="2"/>
    <x v="10"/>
    <x v="1"/>
    <x v="4"/>
    <n v="4"/>
    <n v="68247"/>
    <n v="10"/>
    <n v="61422.3"/>
    <n v="245689.2"/>
    <n v="1500"/>
    <x v="1"/>
    <x v="2"/>
    <d v="2025-05-24T00:00:00"/>
    <s v="excellent"/>
    <x v="2"/>
    <n v="10"/>
  </r>
  <r>
    <x v="132"/>
    <x v="282"/>
    <s v="Port Harcourt"/>
    <x v="2"/>
    <x v="7"/>
    <x v="2"/>
    <x v="5"/>
    <n v="3"/>
    <n v="63767"/>
    <n v="0"/>
    <n v="63767"/>
    <n v="191301"/>
    <n v="1500"/>
    <x v="2"/>
    <x v="2"/>
    <d v="2025-07-04T00:00:00"/>
    <s v="excellent"/>
    <x v="2"/>
    <n v="5"/>
  </r>
  <r>
    <x v="72"/>
    <x v="283"/>
    <s v="Wuse"/>
    <x v="1"/>
    <x v="8"/>
    <x v="0"/>
    <x v="1"/>
    <n v="5"/>
    <n v="68990"/>
    <n v="20"/>
    <n v="55192"/>
    <n v="275960"/>
    <n v="2000"/>
    <x v="0"/>
    <x v="1"/>
    <m/>
    <s v="no comment"/>
    <x v="1"/>
    <n v="0"/>
  </r>
  <r>
    <x v="97"/>
    <x v="284"/>
    <s v="Obio-Akpor"/>
    <x v="2"/>
    <x v="11"/>
    <x v="0"/>
    <x v="0"/>
    <n v="3"/>
    <n v="8183"/>
    <n v="15"/>
    <n v="6955.55"/>
    <n v="20866.650000000001"/>
    <n v="2000"/>
    <x v="2"/>
    <x v="1"/>
    <m/>
    <s v="no comment"/>
    <x v="1"/>
    <n v="0"/>
  </r>
  <r>
    <x v="27"/>
    <x v="285"/>
    <s v="Ogbomosho"/>
    <x v="0"/>
    <x v="0"/>
    <x v="0"/>
    <x v="0"/>
    <n v="2"/>
    <n v="10194"/>
    <n v="15"/>
    <n v="8664.9"/>
    <n v="17329.8"/>
    <n v="2000"/>
    <x v="1"/>
    <x v="0"/>
    <m/>
    <s v="okay"/>
    <x v="0"/>
    <n v="0"/>
  </r>
  <r>
    <x v="149"/>
    <x v="286"/>
    <s v="Port Harcourt"/>
    <x v="2"/>
    <x v="6"/>
    <x v="2"/>
    <x v="5"/>
    <n v="1"/>
    <n v="2422"/>
    <n v="15"/>
    <n v="2058.6999999999998"/>
    <n v="2058.6999999999998"/>
    <n v="1000"/>
    <x v="2"/>
    <x v="1"/>
    <m/>
    <s v="no comment"/>
    <x v="1"/>
    <n v="0"/>
  </r>
  <r>
    <x v="128"/>
    <x v="287"/>
    <s v="Port Harcourt"/>
    <x v="2"/>
    <x v="1"/>
    <x v="0"/>
    <x v="1"/>
    <n v="2"/>
    <n v="66819"/>
    <n v="20"/>
    <n v="53455.199999999997"/>
    <n v="106910.39999999999"/>
    <n v="2000"/>
    <x v="0"/>
    <x v="0"/>
    <m/>
    <s v="okay"/>
    <x v="0"/>
    <n v="0"/>
  </r>
  <r>
    <x v="150"/>
    <x v="288"/>
    <s v="Wuse"/>
    <x v="1"/>
    <x v="5"/>
    <x v="1"/>
    <x v="4"/>
    <n v="2"/>
    <n v="14001"/>
    <n v="20"/>
    <n v="11200.8"/>
    <n v="22401.599999999999"/>
    <n v="1000"/>
    <x v="2"/>
    <x v="1"/>
    <m/>
    <s v="no comment"/>
    <x v="1"/>
    <n v="0"/>
  </r>
  <r>
    <x v="4"/>
    <x v="289"/>
    <s v="Maitama"/>
    <x v="1"/>
    <x v="1"/>
    <x v="0"/>
    <x v="1"/>
    <n v="5"/>
    <n v="79934"/>
    <n v="10"/>
    <n v="71940.600000000006"/>
    <n v="359703"/>
    <n v="1000"/>
    <x v="0"/>
    <x v="2"/>
    <d v="2025-03-09T00:00:00"/>
    <s v="excellent"/>
    <x v="2"/>
    <n v="3"/>
  </r>
  <r>
    <x v="151"/>
    <x v="290"/>
    <s v="Port Harcourt"/>
    <x v="2"/>
    <x v="10"/>
    <x v="1"/>
    <x v="4"/>
    <n v="2"/>
    <n v="67434"/>
    <n v="5"/>
    <n v="64062.3"/>
    <n v="128124.6"/>
    <n v="2000"/>
    <x v="0"/>
    <x v="1"/>
    <m/>
    <s v="no comment"/>
    <x v="1"/>
    <n v="0"/>
  </r>
  <r>
    <x v="13"/>
    <x v="291"/>
    <s v="Yaba"/>
    <x v="3"/>
    <x v="2"/>
    <x v="1"/>
    <x v="2"/>
    <n v="5"/>
    <n v="35274"/>
    <n v="15"/>
    <n v="29982.9"/>
    <n v="149914.5"/>
    <n v="2000"/>
    <x v="2"/>
    <x v="1"/>
    <m/>
    <s v="no comment"/>
    <x v="1"/>
    <n v="0"/>
  </r>
  <r>
    <x v="142"/>
    <x v="292"/>
    <s v="Oyigbo"/>
    <x v="2"/>
    <x v="8"/>
    <x v="0"/>
    <x v="1"/>
    <n v="2"/>
    <n v="30634"/>
    <n v="20"/>
    <n v="24507.200000000001"/>
    <n v="49014.400000000001"/>
    <n v="2000"/>
    <x v="0"/>
    <x v="0"/>
    <m/>
    <s v="okay"/>
    <x v="0"/>
    <n v="0"/>
  </r>
  <r>
    <x v="152"/>
    <x v="293"/>
    <s v="Yaba"/>
    <x v="3"/>
    <x v="5"/>
    <x v="1"/>
    <x v="4"/>
    <n v="2"/>
    <n v="44334"/>
    <n v="5"/>
    <n v="42117.3"/>
    <n v="84234.6"/>
    <n v="2000"/>
    <x v="0"/>
    <x v="2"/>
    <d v="2025-01-01T00:00:00"/>
    <s v="excellent"/>
    <x v="2"/>
    <n v="2"/>
  </r>
  <r>
    <x v="153"/>
    <x v="294"/>
    <s v="Ogbomosho"/>
    <x v="0"/>
    <x v="4"/>
    <x v="2"/>
    <x v="3"/>
    <n v="5"/>
    <n v="24902"/>
    <n v="5"/>
    <n v="23656.9"/>
    <n v="118284.5"/>
    <n v="1500"/>
    <x v="2"/>
    <x v="0"/>
    <m/>
    <s v="okay"/>
    <x v="0"/>
    <n v="0"/>
  </r>
  <r>
    <x v="115"/>
    <x v="295"/>
    <s v="Ibadan"/>
    <x v="0"/>
    <x v="8"/>
    <x v="0"/>
    <x v="1"/>
    <n v="4"/>
    <n v="4929"/>
    <n v="20"/>
    <n v="3943.2"/>
    <n v="15772.8"/>
    <n v="1500"/>
    <x v="2"/>
    <x v="1"/>
    <m/>
    <s v="no comment"/>
    <x v="1"/>
    <n v="0"/>
  </r>
  <r>
    <x v="110"/>
    <x v="296"/>
    <s v="Ikeja"/>
    <x v="3"/>
    <x v="5"/>
    <x v="1"/>
    <x v="4"/>
    <n v="5"/>
    <n v="12750"/>
    <n v="10"/>
    <n v="11475"/>
    <n v="57375"/>
    <n v="2000"/>
    <x v="0"/>
    <x v="1"/>
    <m/>
    <s v="no comment"/>
    <x v="1"/>
    <n v="0"/>
  </r>
  <r>
    <x v="154"/>
    <x v="297"/>
    <s v="Asokoro"/>
    <x v="1"/>
    <x v="1"/>
    <x v="0"/>
    <x v="1"/>
    <n v="2"/>
    <n v="33473"/>
    <n v="20"/>
    <n v="26778.400000000001"/>
    <n v="53556.800000000003"/>
    <n v="1000"/>
    <x v="1"/>
    <x v="0"/>
    <m/>
    <s v="okay"/>
    <x v="0"/>
    <n v="0"/>
  </r>
  <r>
    <x v="90"/>
    <x v="298"/>
    <s v="Eruwa"/>
    <x v="0"/>
    <x v="1"/>
    <x v="0"/>
    <x v="1"/>
    <n v="2"/>
    <n v="64888"/>
    <n v="20"/>
    <n v="51910.400000000001"/>
    <n v="103820.8"/>
    <n v="1500"/>
    <x v="0"/>
    <x v="1"/>
    <m/>
    <s v="no comment"/>
    <x v="1"/>
    <n v="0"/>
  </r>
  <r>
    <x v="37"/>
    <x v="299"/>
    <s v="Bonny"/>
    <x v="2"/>
    <x v="1"/>
    <x v="0"/>
    <x v="1"/>
    <n v="4"/>
    <n v="53299"/>
    <n v="5"/>
    <n v="50634.05"/>
    <n v="202536.2"/>
    <n v="1000"/>
    <x v="1"/>
    <x v="0"/>
    <m/>
    <s v="okay"/>
    <x v="0"/>
    <n v="0"/>
  </r>
  <r>
    <x v="123"/>
    <x v="300"/>
    <s v="Bonny"/>
    <x v="2"/>
    <x v="2"/>
    <x v="1"/>
    <x v="2"/>
    <n v="2"/>
    <n v="29531"/>
    <n v="20"/>
    <n v="23624.799999999999"/>
    <n v="47249.599999999999"/>
    <n v="2000"/>
    <x v="2"/>
    <x v="0"/>
    <m/>
    <s v="okay"/>
    <x v="0"/>
    <n v="0"/>
  </r>
  <r>
    <x v="100"/>
    <x v="301"/>
    <s v="Lekki"/>
    <x v="3"/>
    <x v="2"/>
    <x v="1"/>
    <x v="2"/>
    <n v="5"/>
    <n v="8953"/>
    <n v="20"/>
    <n v="7162.4"/>
    <n v="35812"/>
    <n v="2000"/>
    <x v="0"/>
    <x v="0"/>
    <m/>
    <s v="okay"/>
    <x v="0"/>
    <n v="0"/>
  </r>
  <r>
    <x v="155"/>
    <x v="302"/>
    <s v="Yaba"/>
    <x v="3"/>
    <x v="4"/>
    <x v="2"/>
    <x v="3"/>
    <n v="2"/>
    <n v="69388"/>
    <n v="20"/>
    <n v="55510.400000000001"/>
    <n v="111020.8"/>
    <n v="1000"/>
    <x v="1"/>
    <x v="1"/>
    <m/>
    <s v="no comment"/>
    <x v="1"/>
    <n v="0"/>
  </r>
  <r>
    <x v="103"/>
    <x v="303"/>
    <s v="Wuse"/>
    <x v="1"/>
    <x v="1"/>
    <x v="0"/>
    <x v="1"/>
    <n v="5"/>
    <n v="28049"/>
    <n v="15"/>
    <n v="23841.65"/>
    <n v="119208.25"/>
    <n v="2000"/>
    <x v="1"/>
    <x v="2"/>
    <d v="2025-05-21T00:00:00"/>
    <s v="excellent"/>
    <x v="2"/>
    <n v="14"/>
  </r>
  <r>
    <x v="0"/>
    <x v="304"/>
    <s v="Oyigbo"/>
    <x v="2"/>
    <x v="1"/>
    <x v="0"/>
    <x v="1"/>
    <n v="4"/>
    <n v="67306"/>
    <n v="20"/>
    <n v="53844.800000000003"/>
    <n v="215379.20000000001"/>
    <n v="1000"/>
    <x v="2"/>
    <x v="1"/>
    <m/>
    <s v="no comment"/>
    <x v="1"/>
    <n v="0"/>
  </r>
  <r>
    <x v="74"/>
    <x v="305"/>
    <s v="Yaba"/>
    <x v="3"/>
    <x v="4"/>
    <x v="2"/>
    <x v="3"/>
    <n v="4"/>
    <n v="34330"/>
    <n v="5"/>
    <n v="32613.5"/>
    <n v="130454"/>
    <n v="1500"/>
    <x v="1"/>
    <x v="0"/>
    <m/>
    <s v="okay"/>
    <x v="0"/>
    <n v="0"/>
  </r>
  <r>
    <x v="45"/>
    <x v="306"/>
    <s v="Oyigbo"/>
    <x v="2"/>
    <x v="0"/>
    <x v="0"/>
    <x v="0"/>
    <n v="2"/>
    <n v="9003"/>
    <n v="20"/>
    <n v="7202.4"/>
    <n v="14404.8"/>
    <n v="2000"/>
    <x v="0"/>
    <x v="0"/>
    <m/>
    <s v="okay"/>
    <x v="0"/>
    <n v="0"/>
  </r>
  <r>
    <x v="23"/>
    <x v="307"/>
    <s v="Surulere"/>
    <x v="3"/>
    <x v="2"/>
    <x v="1"/>
    <x v="2"/>
    <n v="4"/>
    <n v="20597"/>
    <n v="0"/>
    <n v="20597"/>
    <n v="82388"/>
    <n v="1000"/>
    <x v="2"/>
    <x v="0"/>
    <m/>
    <s v="okay"/>
    <x v="0"/>
    <n v="0"/>
  </r>
  <r>
    <x v="118"/>
    <x v="308"/>
    <s v="Port Harcourt"/>
    <x v="2"/>
    <x v="4"/>
    <x v="2"/>
    <x v="3"/>
    <n v="2"/>
    <n v="64566"/>
    <n v="10"/>
    <n v="58109.4"/>
    <n v="116218.8"/>
    <n v="1000"/>
    <x v="2"/>
    <x v="2"/>
    <d v="2025-07-01T00:00:00"/>
    <s v="excellent"/>
    <x v="2"/>
    <n v="6"/>
  </r>
  <r>
    <x v="151"/>
    <x v="309"/>
    <s v="Asokoro"/>
    <x v="1"/>
    <x v="1"/>
    <x v="0"/>
    <x v="1"/>
    <n v="3"/>
    <n v="61390"/>
    <n v="20"/>
    <n v="49112"/>
    <n v="147336"/>
    <n v="1000"/>
    <x v="1"/>
    <x v="0"/>
    <m/>
    <s v="okay"/>
    <x v="0"/>
    <n v="0"/>
  </r>
  <r>
    <x v="109"/>
    <x v="310"/>
    <s v="Bonny"/>
    <x v="2"/>
    <x v="9"/>
    <x v="2"/>
    <x v="3"/>
    <n v="1"/>
    <n v="22184"/>
    <n v="20"/>
    <n v="17747.2"/>
    <n v="17747.2"/>
    <n v="1500"/>
    <x v="0"/>
    <x v="1"/>
    <m/>
    <s v="no comment"/>
    <x v="1"/>
    <n v="0"/>
  </r>
  <r>
    <x v="113"/>
    <x v="311"/>
    <s v="Bonny"/>
    <x v="2"/>
    <x v="9"/>
    <x v="2"/>
    <x v="3"/>
    <n v="4"/>
    <n v="44767"/>
    <n v="20"/>
    <n v="35813.599999999999"/>
    <n v="143254.39999999999"/>
    <n v="1500"/>
    <x v="1"/>
    <x v="2"/>
    <d v="2025-02-20T00:00:00"/>
    <s v="excellent"/>
    <x v="2"/>
    <n v="2"/>
  </r>
  <r>
    <x v="18"/>
    <x v="312"/>
    <s v="Maitama"/>
    <x v="1"/>
    <x v="1"/>
    <x v="0"/>
    <x v="1"/>
    <n v="2"/>
    <n v="11407"/>
    <n v="10"/>
    <n v="10266.299999999999"/>
    <n v="20532.599999999999"/>
    <n v="1500"/>
    <x v="0"/>
    <x v="1"/>
    <m/>
    <s v="no comment"/>
    <x v="1"/>
    <n v="0"/>
  </r>
  <r>
    <x v="14"/>
    <x v="313"/>
    <s v="Obio-Akpor"/>
    <x v="2"/>
    <x v="2"/>
    <x v="1"/>
    <x v="2"/>
    <n v="3"/>
    <n v="1888"/>
    <n v="20"/>
    <n v="1510.4"/>
    <n v="4531.2000000000007"/>
    <n v="1500"/>
    <x v="0"/>
    <x v="0"/>
    <m/>
    <s v="okay"/>
    <x v="0"/>
    <n v="0"/>
  </r>
  <r>
    <x v="142"/>
    <x v="314"/>
    <s v="Asokoro"/>
    <x v="1"/>
    <x v="0"/>
    <x v="0"/>
    <x v="0"/>
    <n v="3"/>
    <n v="29653"/>
    <n v="5"/>
    <n v="28170.35"/>
    <n v="84511.049999999988"/>
    <n v="1500"/>
    <x v="1"/>
    <x v="2"/>
    <d v="2025-04-24T00:00:00"/>
    <s v="excellent"/>
    <x v="2"/>
    <n v="2"/>
  </r>
  <r>
    <x v="116"/>
    <x v="315"/>
    <s v="Bonny"/>
    <x v="2"/>
    <x v="9"/>
    <x v="2"/>
    <x v="3"/>
    <n v="1"/>
    <n v="9249"/>
    <n v="0"/>
    <n v="9249"/>
    <n v="9249"/>
    <n v="2000"/>
    <x v="1"/>
    <x v="2"/>
    <d v="2025-05-06T00:00:00"/>
    <s v="excellent"/>
    <x v="2"/>
    <n v="13"/>
  </r>
  <r>
    <x v="143"/>
    <x v="316"/>
    <s v="Ikeja"/>
    <x v="3"/>
    <x v="10"/>
    <x v="1"/>
    <x v="4"/>
    <n v="2"/>
    <n v="35080"/>
    <n v="5"/>
    <n v="33326"/>
    <n v="66652"/>
    <n v="1000"/>
    <x v="2"/>
    <x v="2"/>
    <d v="2025-02-05T00:00:00"/>
    <s v="excellent"/>
    <x v="2"/>
    <n v="5"/>
  </r>
  <r>
    <x v="156"/>
    <x v="317"/>
    <s v="Lekki"/>
    <x v="3"/>
    <x v="0"/>
    <x v="0"/>
    <x v="0"/>
    <n v="2"/>
    <n v="69401"/>
    <n v="5"/>
    <n v="65930.95"/>
    <n v="131861.9"/>
    <n v="1000"/>
    <x v="0"/>
    <x v="0"/>
    <m/>
    <s v="okay"/>
    <x v="0"/>
    <n v="0"/>
  </r>
  <r>
    <x v="97"/>
    <x v="318"/>
    <s v="Gwarinpa"/>
    <x v="1"/>
    <x v="0"/>
    <x v="0"/>
    <x v="0"/>
    <n v="2"/>
    <n v="49043"/>
    <n v="10"/>
    <n v="44138.7"/>
    <n v="88277.4"/>
    <n v="2000"/>
    <x v="0"/>
    <x v="0"/>
    <m/>
    <s v="okay"/>
    <x v="0"/>
    <n v="0"/>
  </r>
  <r>
    <x v="70"/>
    <x v="319"/>
    <s v="Ogbomosho"/>
    <x v="0"/>
    <x v="2"/>
    <x v="1"/>
    <x v="2"/>
    <n v="3"/>
    <n v="58257"/>
    <n v="10"/>
    <n v="52431.3"/>
    <n v="157293.9"/>
    <n v="1000"/>
    <x v="2"/>
    <x v="2"/>
    <d v="2025-04-26T00:00:00"/>
    <s v="excellent"/>
    <x v="2"/>
    <n v="6"/>
  </r>
  <r>
    <x v="157"/>
    <x v="320"/>
    <s v="Ikeja"/>
    <x v="3"/>
    <x v="0"/>
    <x v="0"/>
    <x v="0"/>
    <n v="5"/>
    <n v="11096"/>
    <n v="5"/>
    <n v="10541.2"/>
    <n v="52706"/>
    <n v="1000"/>
    <x v="0"/>
    <x v="0"/>
    <m/>
    <s v="okay"/>
    <x v="0"/>
    <n v="0"/>
  </r>
  <r>
    <x v="39"/>
    <x v="321"/>
    <s v="Ogbomosho"/>
    <x v="0"/>
    <x v="0"/>
    <x v="0"/>
    <x v="0"/>
    <n v="2"/>
    <n v="61615"/>
    <n v="15"/>
    <n v="52372.75"/>
    <n v="104745.5"/>
    <n v="2000"/>
    <x v="2"/>
    <x v="1"/>
    <m/>
    <s v="no comment"/>
    <x v="1"/>
    <n v="0"/>
  </r>
  <r>
    <x v="118"/>
    <x v="322"/>
    <s v="Lekki"/>
    <x v="3"/>
    <x v="0"/>
    <x v="0"/>
    <x v="0"/>
    <n v="1"/>
    <n v="16489"/>
    <n v="10"/>
    <n v="14840.1"/>
    <n v="14840.1"/>
    <n v="1500"/>
    <x v="0"/>
    <x v="0"/>
    <m/>
    <s v="okay"/>
    <x v="0"/>
    <n v="0"/>
  </r>
  <r>
    <x v="4"/>
    <x v="323"/>
    <s v="Bonny"/>
    <x v="2"/>
    <x v="0"/>
    <x v="0"/>
    <x v="0"/>
    <n v="4"/>
    <n v="16578"/>
    <n v="5"/>
    <n v="15749.1"/>
    <n v="62996.4"/>
    <n v="2000"/>
    <x v="2"/>
    <x v="1"/>
    <m/>
    <s v="no comment"/>
    <x v="1"/>
    <n v="0"/>
  </r>
  <r>
    <x v="46"/>
    <x v="324"/>
    <s v="Wuse"/>
    <x v="1"/>
    <x v="0"/>
    <x v="0"/>
    <x v="0"/>
    <n v="4"/>
    <n v="28333"/>
    <n v="10"/>
    <n v="25499.7"/>
    <n v="101998.8"/>
    <n v="1500"/>
    <x v="2"/>
    <x v="0"/>
    <m/>
    <s v="okay"/>
    <x v="0"/>
    <n v="0"/>
  </r>
  <r>
    <x v="77"/>
    <x v="325"/>
    <s v="Surulere"/>
    <x v="3"/>
    <x v="1"/>
    <x v="0"/>
    <x v="1"/>
    <n v="4"/>
    <n v="57436"/>
    <n v="5"/>
    <n v="54564.2"/>
    <n v="218256.8"/>
    <n v="2000"/>
    <x v="2"/>
    <x v="0"/>
    <m/>
    <s v="okay"/>
    <x v="0"/>
    <n v="0"/>
  </r>
  <r>
    <x v="1"/>
    <x v="326"/>
    <s v="Surulere"/>
    <x v="3"/>
    <x v="9"/>
    <x v="2"/>
    <x v="3"/>
    <n v="4"/>
    <n v="27050"/>
    <n v="20"/>
    <n v="21640"/>
    <n v="86560"/>
    <n v="1500"/>
    <x v="0"/>
    <x v="1"/>
    <m/>
    <s v="no comment"/>
    <x v="1"/>
    <n v="0"/>
  </r>
  <r>
    <x v="77"/>
    <x v="327"/>
    <s v="Gwarinpa"/>
    <x v="1"/>
    <x v="8"/>
    <x v="0"/>
    <x v="1"/>
    <n v="1"/>
    <n v="40171"/>
    <n v="10"/>
    <n v="36153.9"/>
    <n v="36153.9"/>
    <n v="2000"/>
    <x v="0"/>
    <x v="2"/>
    <d v="2025-06-17T00:00:00"/>
    <s v="excellent"/>
    <x v="2"/>
    <n v="10"/>
  </r>
  <r>
    <x v="154"/>
    <x v="328"/>
    <s v="Yaba"/>
    <x v="3"/>
    <x v="4"/>
    <x v="2"/>
    <x v="3"/>
    <n v="2"/>
    <n v="56511"/>
    <n v="0"/>
    <n v="56511"/>
    <n v="113022"/>
    <n v="1000"/>
    <x v="2"/>
    <x v="0"/>
    <m/>
    <s v="okay"/>
    <x v="0"/>
    <n v="0"/>
  </r>
  <r>
    <x v="125"/>
    <x v="329"/>
    <s v="Obio-Akpor"/>
    <x v="2"/>
    <x v="8"/>
    <x v="0"/>
    <x v="1"/>
    <n v="3"/>
    <n v="27223"/>
    <n v="10"/>
    <n v="24500.7"/>
    <n v="73502.100000000006"/>
    <n v="2000"/>
    <x v="1"/>
    <x v="1"/>
    <m/>
    <s v="no comment"/>
    <x v="1"/>
    <n v="0"/>
  </r>
  <r>
    <x v="23"/>
    <x v="330"/>
    <s v="Lekki"/>
    <x v="3"/>
    <x v="0"/>
    <x v="0"/>
    <x v="0"/>
    <n v="3"/>
    <n v="17264"/>
    <n v="15"/>
    <n v="14674.4"/>
    <n v="44023.199999999997"/>
    <n v="1500"/>
    <x v="0"/>
    <x v="2"/>
    <d v="2025-05-23T00:00:00"/>
    <s v="excellent"/>
    <x v="2"/>
    <n v="2"/>
  </r>
  <r>
    <x v="158"/>
    <x v="331"/>
    <s v="Wuse"/>
    <x v="1"/>
    <x v="4"/>
    <x v="2"/>
    <x v="3"/>
    <n v="4"/>
    <n v="17924"/>
    <n v="15"/>
    <n v="15235.4"/>
    <n v="60941.599999999999"/>
    <n v="2000"/>
    <x v="2"/>
    <x v="1"/>
    <m/>
    <s v="no comment"/>
    <x v="1"/>
    <n v="0"/>
  </r>
  <r>
    <x v="159"/>
    <x v="332"/>
    <s v="Gwarinpa"/>
    <x v="1"/>
    <x v="7"/>
    <x v="2"/>
    <x v="5"/>
    <n v="3"/>
    <n v="32579"/>
    <n v="5"/>
    <n v="30950.05"/>
    <n v="92850.15"/>
    <n v="2000"/>
    <x v="2"/>
    <x v="0"/>
    <m/>
    <s v="okay"/>
    <x v="0"/>
    <n v="0"/>
  </r>
  <r>
    <x v="160"/>
    <x v="333"/>
    <s v="Ibadan"/>
    <x v="0"/>
    <x v="7"/>
    <x v="2"/>
    <x v="5"/>
    <n v="4"/>
    <n v="52145"/>
    <n v="20"/>
    <n v="41716"/>
    <n v="166864"/>
    <n v="1000"/>
    <x v="0"/>
    <x v="0"/>
    <m/>
    <s v="okay"/>
    <x v="0"/>
    <n v="0"/>
  </r>
  <r>
    <x v="115"/>
    <x v="334"/>
    <s v="Bonny"/>
    <x v="2"/>
    <x v="6"/>
    <x v="2"/>
    <x v="5"/>
    <n v="2"/>
    <n v="51832"/>
    <n v="15"/>
    <n v="44057.2"/>
    <n v="88114.4"/>
    <n v="2000"/>
    <x v="2"/>
    <x v="1"/>
    <m/>
    <s v="no comment"/>
    <x v="1"/>
    <n v="0"/>
  </r>
  <r>
    <x v="116"/>
    <x v="335"/>
    <s v="Oyigbo"/>
    <x v="2"/>
    <x v="6"/>
    <x v="2"/>
    <x v="5"/>
    <n v="5"/>
    <n v="8175"/>
    <n v="10"/>
    <n v="7357.5"/>
    <n v="36787.5"/>
    <n v="2000"/>
    <x v="0"/>
    <x v="1"/>
    <m/>
    <s v="no comment"/>
    <x v="1"/>
    <n v="0"/>
  </r>
  <r>
    <x v="141"/>
    <x v="336"/>
    <s v="Gwarinpa"/>
    <x v="1"/>
    <x v="8"/>
    <x v="0"/>
    <x v="1"/>
    <n v="4"/>
    <n v="12893"/>
    <n v="15"/>
    <n v="10959.05"/>
    <n v="43836.2"/>
    <n v="1500"/>
    <x v="1"/>
    <x v="0"/>
    <m/>
    <s v="okay"/>
    <x v="0"/>
    <n v="0"/>
  </r>
  <r>
    <x v="41"/>
    <x v="337"/>
    <s v="Wuse"/>
    <x v="1"/>
    <x v="10"/>
    <x v="1"/>
    <x v="4"/>
    <n v="1"/>
    <n v="35549"/>
    <n v="15"/>
    <n v="30216.65"/>
    <n v="30216.65"/>
    <n v="1000"/>
    <x v="0"/>
    <x v="0"/>
    <m/>
    <s v="okay"/>
    <x v="0"/>
    <n v="0"/>
  </r>
  <r>
    <x v="79"/>
    <x v="338"/>
    <s v="Lekki"/>
    <x v="3"/>
    <x v="11"/>
    <x v="0"/>
    <x v="0"/>
    <n v="4"/>
    <n v="11058"/>
    <n v="5"/>
    <n v="10505.1"/>
    <n v="42020.4"/>
    <n v="1500"/>
    <x v="2"/>
    <x v="1"/>
    <m/>
    <s v="no comment"/>
    <x v="1"/>
    <n v="0"/>
  </r>
  <r>
    <x v="38"/>
    <x v="339"/>
    <s v="Eruwa"/>
    <x v="0"/>
    <x v="3"/>
    <x v="1"/>
    <x v="2"/>
    <n v="1"/>
    <n v="75041"/>
    <n v="15"/>
    <n v="63784.85"/>
    <n v="63784.85"/>
    <n v="1000"/>
    <x v="2"/>
    <x v="2"/>
    <d v="2025-01-20T00:00:00"/>
    <s v="excellent"/>
    <x v="2"/>
    <n v="5"/>
  </r>
  <r>
    <x v="133"/>
    <x v="340"/>
    <s v="Wuse"/>
    <x v="1"/>
    <x v="7"/>
    <x v="2"/>
    <x v="5"/>
    <n v="2"/>
    <n v="45223"/>
    <n v="10"/>
    <n v="40700.699999999997"/>
    <n v="81401.399999999994"/>
    <n v="1000"/>
    <x v="1"/>
    <x v="2"/>
    <d v="2025-06-25T00:00:00"/>
    <s v="excellent"/>
    <x v="2"/>
    <n v="12"/>
  </r>
  <r>
    <x v="61"/>
    <x v="341"/>
    <s v="Gwarinpa"/>
    <x v="1"/>
    <x v="8"/>
    <x v="0"/>
    <x v="1"/>
    <n v="1"/>
    <n v="28605"/>
    <n v="0"/>
    <n v="28605"/>
    <n v="28605"/>
    <n v="2000"/>
    <x v="1"/>
    <x v="2"/>
    <d v="2025-03-17T00:00:00"/>
    <s v="excellent"/>
    <x v="2"/>
    <n v="2"/>
  </r>
  <r>
    <x v="86"/>
    <x v="342"/>
    <s v="Surulere"/>
    <x v="3"/>
    <x v="10"/>
    <x v="1"/>
    <x v="4"/>
    <n v="3"/>
    <n v="55650"/>
    <n v="15"/>
    <n v="47302.5"/>
    <n v="141907.5"/>
    <n v="1500"/>
    <x v="1"/>
    <x v="2"/>
    <d v="2025-04-21T00:00:00"/>
    <s v="excellent"/>
    <x v="2"/>
    <n v="10"/>
  </r>
  <r>
    <x v="161"/>
    <x v="343"/>
    <s v="Iseyin"/>
    <x v="0"/>
    <x v="7"/>
    <x v="2"/>
    <x v="5"/>
    <n v="5"/>
    <n v="30646"/>
    <n v="20"/>
    <n v="24516.799999999999"/>
    <n v="122584"/>
    <n v="1500"/>
    <x v="0"/>
    <x v="1"/>
    <m/>
    <s v="no comment"/>
    <x v="1"/>
    <n v="0"/>
  </r>
  <r>
    <x v="162"/>
    <x v="344"/>
    <s v="Yaba"/>
    <x v="3"/>
    <x v="0"/>
    <x v="0"/>
    <x v="0"/>
    <n v="1"/>
    <n v="37948"/>
    <n v="0"/>
    <n v="37948"/>
    <n v="37948"/>
    <n v="2000"/>
    <x v="1"/>
    <x v="1"/>
    <m/>
    <s v="no comment"/>
    <x v="1"/>
    <n v="0"/>
  </r>
  <r>
    <x v="108"/>
    <x v="345"/>
    <s v="Surulere"/>
    <x v="3"/>
    <x v="6"/>
    <x v="2"/>
    <x v="5"/>
    <n v="4"/>
    <n v="41257"/>
    <n v="15"/>
    <n v="35068.449999999997"/>
    <n v="140273.79999999999"/>
    <n v="1500"/>
    <x v="1"/>
    <x v="1"/>
    <m/>
    <s v="no comment"/>
    <x v="1"/>
    <n v="0"/>
  </r>
  <r>
    <x v="143"/>
    <x v="346"/>
    <s v="Oyigbo"/>
    <x v="2"/>
    <x v="7"/>
    <x v="2"/>
    <x v="5"/>
    <n v="4"/>
    <n v="56866"/>
    <n v="20"/>
    <n v="45492.800000000003"/>
    <n v="181971.20000000001"/>
    <n v="1000"/>
    <x v="2"/>
    <x v="0"/>
    <m/>
    <s v="okay"/>
    <x v="0"/>
    <n v="0"/>
  </r>
  <r>
    <x v="162"/>
    <x v="347"/>
    <s v="Port Harcourt"/>
    <x v="2"/>
    <x v="7"/>
    <x v="2"/>
    <x v="5"/>
    <n v="5"/>
    <n v="21336"/>
    <n v="20"/>
    <n v="17068.8"/>
    <n v="85344"/>
    <n v="1000"/>
    <x v="0"/>
    <x v="2"/>
    <d v="2025-07-03T00:00:00"/>
    <s v="excellent"/>
    <x v="2"/>
    <n v="12"/>
  </r>
  <r>
    <x v="52"/>
    <x v="348"/>
    <s v="Ogbomosho"/>
    <x v="0"/>
    <x v="5"/>
    <x v="1"/>
    <x v="4"/>
    <n v="1"/>
    <n v="12572"/>
    <n v="15"/>
    <n v="10686.2"/>
    <n v="10686.2"/>
    <n v="1000"/>
    <x v="0"/>
    <x v="1"/>
    <m/>
    <s v="no comment"/>
    <x v="1"/>
    <n v="0"/>
  </r>
  <r>
    <x v="40"/>
    <x v="349"/>
    <s v="Asokoro"/>
    <x v="1"/>
    <x v="7"/>
    <x v="2"/>
    <x v="5"/>
    <n v="4"/>
    <n v="7265"/>
    <n v="5"/>
    <n v="6901.75"/>
    <n v="27607"/>
    <n v="1500"/>
    <x v="0"/>
    <x v="1"/>
    <m/>
    <s v="no comment"/>
    <x v="1"/>
    <n v="0"/>
  </r>
  <r>
    <x v="143"/>
    <x v="350"/>
    <s v="Yaba"/>
    <x v="3"/>
    <x v="2"/>
    <x v="1"/>
    <x v="2"/>
    <n v="2"/>
    <n v="8796"/>
    <n v="15"/>
    <n v="7476.6"/>
    <n v="14953.2"/>
    <n v="2000"/>
    <x v="0"/>
    <x v="0"/>
    <m/>
    <s v="okay"/>
    <x v="0"/>
    <n v="0"/>
  </r>
  <r>
    <x v="108"/>
    <x v="351"/>
    <s v="Bonny"/>
    <x v="2"/>
    <x v="4"/>
    <x v="2"/>
    <x v="3"/>
    <n v="4"/>
    <n v="22060"/>
    <n v="10"/>
    <n v="19854"/>
    <n v="79416"/>
    <n v="1000"/>
    <x v="2"/>
    <x v="1"/>
    <m/>
    <s v="no comment"/>
    <x v="1"/>
    <n v="0"/>
  </r>
  <r>
    <x v="115"/>
    <x v="352"/>
    <s v="Bonny"/>
    <x v="2"/>
    <x v="11"/>
    <x v="0"/>
    <x v="0"/>
    <n v="2"/>
    <n v="23932"/>
    <n v="5"/>
    <n v="22735.4"/>
    <n v="45470.8"/>
    <n v="1000"/>
    <x v="2"/>
    <x v="0"/>
    <m/>
    <s v="okay"/>
    <x v="0"/>
    <n v="0"/>
  </r>
  <r>
    <x v="16"/>
    <x v="353"/>
    <s v="Iseyin"/>
    <x v="0"/>
    <x v="9"/>
    <x v="2"/>
    <x v="3"/>
    <n v="4"/>
    <n v="76718"/>
    <n v="10"/>
    <n v="69046.2"/>
    <n v="276184.8"/>
    <n v="2000"/>
    <x v="2"/>
    <x v="2"/>
    <d v="2025-02-07T00:00:00"/>
    <s v="excellent"/>
    <x v="2"/>
    <n v="14"/>
  </r>
  <r>
    <x v="126"/>
    <x v="354"/>
    <s v="Oyigbo"/>
    <x v="2"/>
    <x v="5"/>
    <x v="1"/>
    <x v="4"/>
    <n v="4"/>
    <n v="13291"/>
    <n v="5"/>
    <n v="12626.45"/>
    <n v="50505.8"/>
    <n v="2000"/>
    <x v="0"/>
    <x v="2"/>
    <d v="2025-06-23T00:00:00"/>
    <s v="excellent"/>
    <x v="2"/>
    <n v="11"/>
  </r>
  <r>
    <x v="152"/>
    <x v="355"/>
    <s v="Wuse"/>
    <x v="1"/>
    <x v="8"/>
    <x v="0"/>
    <x v="1"/>
    <n v="2"/>
    <n v="68483"/>
    <n v="5"/>
    <n v="65058.85"/>
    <n v="130117.7"/>
    <n v="2000"/>
    <x v="2"/>
    <x v="0"/>
    <m/>
    <s v="okay"/>
    <x v="0"/>
    <n v="0"/>
  </r>
  <r>
    <x v="163"/>
    <x v="356"/>
    <s v="Wuse"/>
    <x v="1"/>
    <x v="1"/>
    <x v="0"/>
    <x v="1"/>
    <n v="4"/>
    <n v="57392"/>
    <n v="10"/>
    <n v="51652.800000000003"/>
    <n v="206611.20000000001"/>
    <n v="1000"/>
    <x v="1"/>
    <x v="0"/>
    <m/>
    <s v="okay"/>
    <x v="0"/>
    <n v="0"/>
  </r>
  <r>
    <x v="100"/>
    <x v="357"/>
    <s v="Maitama"/>
    <x v="1"/>
    <x v="0"/>
    <x v="0"/>
    <x v="0"/>
    <n v="4"/>
    <n v="50085"/>
    <n v="15"/>
    <n v="42572.25"/>
    <n v="170289"/>
    <n v="1000"/>
    <x v="1"/>
    <x v="0"/>
    <m/>
    <s v="okay"/>
    <x v="0"/>
    <n v="0"/>
  </r>
  <r>
    <x v="146"/>
    <x v="358"/>
    <s v="Oyigbo"/>
    <x v="2"/>
    <x v="11"/>
    <x v="0"/>
    <x v="0"/>
    <n v="3"/>
    <n v="53521"/>
    <n v="0"/>
    <n v="53521"/>
    <n v="160563"/>
    <n v="1000"/>
    <x v="2"/>
    <x v="2"/>
    <d v="2025-06-12T00:00:00"/>
    <s v="excellent"/>
    <x v="2"/>
    <n v="14"/>
  </r>
  <r>
    <x v="164"/>
    <x v="359"/>
    <s v="Lekki"/>
    <x v="3"/>
    <x v="1"/>
    <x v="0"/>
    <x v="1"/>
    <n v="2"/>
    <n v="76741"/>
    <n v="0"/>
    <n v="76741"/>
    <n v="153482"/>
    <n v="1500"/>
    <x v="1"/>
    <x v="1"/>
    <m/>
    <s v="no comment"/>
    <x v="1"/>
    <n v="0"/>
  </r>
  <r>
    <x v="37"/>
    <x v="360"/>
    <s v="Obio-Akpor"/>
    <x v="2"/>
    <x v="7"/>
    <x v="2"/>
    <x v="5"/>
    <n v="5"/>
    <n v="30291"/>
    <n v="0"/>
    <n v="30291"/>
    <n v="151455"/>
    <n v="1500"/>
    <x v="1"/>
    <x v="2"/>
    <d v="2025-02-17T00:00:00"/>
    <s v="excellent"/>
    <x v="2"/>
    <n v="8"/>
  </r>
  <r>
    <x v="116"/>
    <x v="361"/>
    <s v="Oyigbo"/>
    <x v="2"/>
    <x v="11"/>
    <x v="0"/>
    <x v="0"/>
    <n v="3"/>
    <n v="65879"/>
    <n v="20"/>
    <n v="52703.199999999997"/>
    <n v="158109.6"/>
    <n v="1000"/>
    <x v="0"/>
    <x v="1"/>
    <m/>
    <s v="no comment"/>
    <x v="1"/>
    <n v="0"/>
  </r>
  <r>
    <x v="146"/>
    <x v="362"/>
    <s v="Ogbomosho"/>
    <x v="0"/>
    <x v="9"/>
    <x v="2"/>
    <x v="3"/>
    <n v="3"/>
    <n v="39199"/>
    <n v="15"/>
    <n v="33319.15"/>
    <n v="99957.450000000012"/>
    <n v="1500"/>
    <x v="1"/>
    <x v="1"/>
    <m/>
    <s v="no comment"/>
    <x v="1"/>
    <n v="0"/>
  </r>
  <r>
    <x v="95"/>
    <x v="363"/>
    <s v="Maitama"/>
    <x v="1"/>
    <x v="4"/>
    <x v="2"/>
    <x v="3"/>
    <n v="4"/>
    <n v="26784"/>
    <n v="20"/>
    <n v="21427.200000000001"/>
    <n v="85708.800000000003"/>
    <n v="1500"/>
    <x v="1"/>
    <x v="1"/>
    <m/>
    <s v="no comment"/>
    <x v="1"/>
    <n v="0"/>
  </r>
  <r>
    <x v="75"/>
    <x v="364"/>
    <s v="Oyigbo"/>
    <x v="2"/>
    <x v="1"/>
    <x v="0"/>
    <x v="1"/>
    <n v="5"/>
    <n v="2509"/>
    <n v="5"/>
    <n v="2383.5500000000002"/>
    <n v="11917.75"/>
    <n v="2000"/>
    <x v="2"/>
    <x v="1"/>
    <m/>
    <s v="no comment"/>
    <x v="1"/>
    <n v="0"/>
  </r>
  <r>
    <x v="29"/>
    <x v="365"/>
    <s v="Port Harcourt"/>
    <x v="2"/>
    <x v="10"/>
    <x v="1"/>
    <x v="4"/>
    <n v="4"/>
    <n v="62027"/>
    <n v="0"/>
    <n v="62027"/>
    <n v="248108"/>
    <n v="1500"/>
    <x v="2"/>
    <x v="0"/>
    <m/>
    <s v="okay"/>
    <x v="0"/>
    <n v="0"/>
  </r>
  <r>
    <x v="59"/>
    <x v="366"/>
    <s v="Maitama"/>
    <x v="1"/>
    <x v="2"/>
    <x v="1"/>
    <x v="2"/>
    <n v="2"/>
    <n v="54700"/>
    <n v="0"/>
    <n v="54700"/>
    <n v="109400"/>
    <n v="1500"/>
    <x v="2"/>
    <x v="1"/>
    <m/>
    <s v="no comment"/>
    <x v="1"/>
    <n v="0"/>
  </r>
  <r>
    <x v="21"/>
    <x v="367"/>
    <s v="Oyigbo"/>
    <x v="2"/>
    <x v="10"/>
    <x v="1"/>
    <x v="4"/>
    <n v="2"/>
    <n v="35759"/>
    <n v="5"/>
    <n v="33971.050000000003"/>
    <n v="67942.100000000006"/>
    <n v="1000"/>
    <x v="2"/>
    <x v="0"/>
    <m/>
    <s v="okay"/>
    <x v="0"/>
    <n v="0"/>
  </r>
  <r>
    <x v="155"/>
    <x v="368"/>
    <s v="Yaba"/>
    <x v="3"/>
    <x v="1"/>
    <x v="0"/>
    <x v="1"/>
    <n v="5"/>
    <n v="6463"/>
    <n v="10"/>
    <n v="5816.7"/>
    <n v="29083.5"/>
    <n v="1000"/>
    <x v="1"/>
    <x v="1"/>
    <m/>
    <s v="no comment"/>
    <x v="1"/>
    <n v="0"/>
  </r>
  <r>
    <x v="65"/>
    <x v="369"/>
    <s v="Asokoro"/>
    <x v="1"/>
    <x v="8"/>
    <x v="0"/>
    <x v="1"/>
    <n v="5"/>
    <n v="11857"/>
    <n v="10"/>
    <n v="10671.3"/>
    <n v="53356.5"/>
    <n v="1500"/>
    <x v="1"/>
    <x v="0"/>
    <m/>
    <s v="okay"/>
    <x v="0"/>
    <n v="0"/>
  </r>
  <r>
    <x v="36"/>
    <x v="370"/>
    <s v="Surulere"/>
    <x v="3"/>
    <x v="1"/>
    <x v="0"/>
    <x v="1"/>
    <n v="1"/>
    <n v="17894"/>
    <n v="20"/>
    <n v="14315.2"/>
    <n v="14315.2"/>
    <n v="1000"/>
    <x v="1"/>
    <x v="0"/>
    <m/>
    <s v="okay"/>
    <x v="0"/>
    <n v="0"/>
  </r>
  <r>
    <x v="40"/>
    <x v="371"/>
    <s v="Obio-Akpor"/>
    <x v="2"/>
    <x v="11"/>
    <x v="0"/>
    <x v="0"/>
    <n v="4"/>
    <n v="57179"/>
    <n v="15"/>
    <n v="48602.15"/>
    <n v="194408.6"/>
    <n v="1500"/>
    <x v="2"/>
    <x v="2"/>
    <d v="2025-06-26T00:00:00"/>
    <s v="excellent"/>
    <x v="2"/>
    <n v="8"/>
  </r>
  <r>
    <x v="32"/>
    <x v="372"/>
    <s v="Asokoro"/>
    <x v="1"/>
    <x v="8"/>
    <x v="0"/>
    <x v="1"/>
    <n v="1"/>
    <n v="12657"/>
    <n v="20"/>
    <n v="10125.6"/>
    <n v="10125.6"/>
    <n v="2000"/>
    <x v="1"/>
    <x v="0"/>
    <m/>
    <s v="okay"/>
    <x v="0"/>
    <n v="0"/>
  </r>
  <r>
    <x v="23"/>
    <x v="373"/>
    <s v="Bonny"/>
    <x v="2"/>
    <x v="4"/>
    <x v="2"/>
    <x v="3"/>
    <n v="3"/>
    <n v="13363"/>
    <n v="0"/>
    <n v="13363"/>
    <n v="40089"/>
    <n v="2000"/>
    <x v="1"/>
    <x v="2"/>
    <d v="2025-06-03T00:00:00"/>
    <s v="excellent"/>
    <x v="2"/>
    <n v="13"/>
  </r>
  <r>
    <x v="6"/>
    <x v="374"/>
    <s v="Ibadan"/>
    <x v="0"/>
    <x v="11"/>
    <x v="0"/>
    <x v="0"/>
    <n v="2"/>
    <n v="14042"/>
    <n v="10"/>
    <n v="11233.6"/>
    <n v="22467.200000000001"/>
    <n v="1000"/>
    <x v="2"/>
    <x v="2"/>
    <d v="2025-04-24T00:00:00"/>
    <s v="excellent"/>
    <x v="2"/>
    <n v="8"/>
  </r>
  <r>
    <x v="113"/>
    <x v="375"/>
    <s v="Ikeja"/>
    <x v="3"/>
    <x v="11"/>
    <x v="0"/>
    <x v="0"/>
    <n v="2"/>
    <n v="63696"/>
    <n v="10"/>
    <n v="57326.400000000001"/>
    <n v="114652.8"/>
    <n v="1500"/>
    <x v="2"/>
    <x v="1"/>
    <m/>
    <s v="no comment"/>
    <x v="1"/>
    <n v="0"/>
  </r>
  <r>
    <x v="156"/>
    <x v="376"/>
    <s v="Lekki"/>
    <x v="3"/>
    <x v="7"/>
    <x v="2"/>
    <x v="5"/>
    <n v="4"/>
    <n v="64084"/>
    <n v="0"/>
    <n v="64084"/>
    <n v="256336"/>
    <n v="2000"/>
    <x v="1"/>
    <x v="2"/>
    <d v="2025-01-08T00:00:00"/>
    <s v="excellent"/>
    <x v="2"/>
    <n v="4"/>
  </r>
  <r>
    <x v="44"/>
    <x v="377"/>
    <s v="Eruwa"/>
    <x v="0"/>
    <x v="5"/>
    <x v="1"/>
    <x v="4"/>
    <n v="5"/>
    <n v="7962"/>
    <n v="15"/>
    <n v="6767.7"/>
    <n v="33838.5"/>
    <n v="1000"/>
    <x v="0"/>
    <x v="1"/>
    <m/>
    <s v="no comment"/>
    <x v="1"/>
    <n v="0"/>
  </r>
  <r>
    <x v="13"/>
    <x v="378"/>
    <s v="Wuse"/>
    <x v="1"/>
    <x v="9"/>
    <x v="2"/>
    <x v="3"/>
    <n v="5"/>
    <n v="66028"/>
    <n v="0"/>
    <n v="66028"/>
    <n v="330140"/>
    <n v="1000"/>
    <x v="2"/>
    <x v="2"/>
    <d v="2025-02-27T00:00:00"/>
    <s v="excellent"/>
    <x v="2"/>
    <n v="12"/>
  </r>
  <r>
    <x v="165"/>
    <x v="379"/>
    <s v="Iseyin"/>
    <x v="0"/>
    <x v="0"/>
    <x v="0"/>
    <x v="0"/>
    <n v="4"/>
    <n v="13043"/>
    <n v="10"/>
    <n v="11738.7"/>
    <n v="46954.8"/>
    <n v="1000"/>
    <x v="1"/>
    <x v="1"/>
    <m/>
    <s v="no comment"/>
    <x v="1"/>
    <n v="0"/>
  </r>
  <r>
    <x v="159"/>
    <x v="380"/>
    <s v="Oyigbo"/>
    <x v="2"/>
    <x v="8"/>
    <x v="0"/>
    <x v="1"/>
    <n v="3"/>
    <n v="21875"/>
    <n v="15"/>
    <n v="18593.75"/>
    <n v="55781.25"/>
    <n v="1500"/>
    <x v="1"/>
    <x v="2"/>
    <d v="2025-01-18T00:00:00"/>
    <s v="excellent"/>
    <x v="2"/>
    <n v="5"/>
  </r>
  <r>
    <x v="35"/>
    <x v="381"/>
    <s v="Obio-Akpor"/>
    <x v="2"/>
    <x v="7"/>
    <x v="2"/>
    <x v="5"/>
    <n v="5"/>
    <n v="53337"/>
    <n v="10"/>
    <n v="48003.3"/>
    <n v="240016.5"/>
    <n v="2000"/>
    <x v="1"/>
    <x v="2"/>
    <d v="2025-01-17T00:00:00"/>
    <s v="excellent"/>
    <x v="2"/>
    <n v="9"/>
  </r>
  <r>
    <x v="67"/>
    <x v="382"/>
    <s v="Maitama"/>
    <x v="1"/>
    <x v="2"/>
    <x v="1"/>
    <x v="2"/>
    <n v="2"/>
    <n v="58247"/>
    <n v="5"/>
    <n v="55334.65"/>
    <n v="110669.3"/>
    <n v="2000"/>
    <x v="2"/>
    <x v="2"/>
    <d v="2025-02-14T00:00:00"/>
    <s v="excellent"/>
    <x v="2"/>
    <n v="10"/>
  </r>
  <r>
    <x v="166"/>
    <x v="383"/>
    <s v="Ibadan"/>
    <x v="0"/>
    <x v="10"/>
    <x v="1"/>
    <x v="4"/>
    <n v="3"/>
    <n v="27787"/>
    <n v="10"/>
    <n v="25008.3"/>
    <n v="75024.899999999994"/>
    <n v="1500"/>
    <x v="1"/>
    <x v="0"/>
    <m/>
    <s v="okay"/>
    <x v="0"/>
    <n v="0"/>
  </r>
  <r>
    <x v="142"/>
    <x v="384"/>
    <s v="Ikeja"/>
    <x v="3"/>
    <x v="0"/>
    <x v="0"/>
    <x v="0"/>
    <n v="4"/>
    <n v="72733"/>
    <n v="15"/>
    <n v="61823.05"/>
    <n v="247292.2"/>
    <n v="2000"/>
    <x v="1"/>
    <x v="1"/>
    <m/>
    <s v="no comment"/>
    <x v="1"/>
    <n v="0"/>
  </r>
  <r>
    <x v="30"/>
    <x v="70"/>
    <s v="Port Harcourt"/>
    <x v="2"/>
    <x v="3"/>
    <x v="1"/>
    <x v="2"/>
    <n v="5"/>
    <n v="23231"/>
    <n v="0"/>
    <n v="23231"/>
    <n v="116155"/>
    <n v="2000"/>
    <x v="2"/>
    <x v="0"/>
    <m/>
    <s v="okay"/>
    <x v="0"/>
    <n v="0"/>
  </r>
  <r>
    <x v="92"/>
    <x v="385"/>
    <s v="Maitama"/>
    <x v="1"/>
    <x v="8"/>
    <x v="0"/>
    <x v="1"/>
    <n v="5"/>
    <n v="7519"/>
    <n v="20"/>
    <n v="6015.2"/>
    <n v="30076"/>
    <n v="1000"/>
    <x v="0"/>
    <x v="2"/>
    <d v="2025-02-07T00:00:00"/>
    <s v="excellent"/>
    <x v="2"/>
    <n v="10"/>
  </r>
  <r>
    <x v="132"/>
    <x v="386"/>
    <s v="Wuse"/>
    <x v="1"/>
    <x v="0"/>
    <x v="0"/>
    <x v="0"/>
    <n v="2"/>
    <n v="35596"/>
    <n v="5"/>
    <n v="33816.199999999997"/>
    <n v="67632.399999999994"/>
    <n v="2000"/>
    <x v="0"/>
    <x v="0"/>
    <m/>
    <s v="okay"/>
    <x v="0"/>
    <n v="0"/>
  </r>
  <r>
    <x v="95"/>
    <x v="387"/>
    <s v="Surulere"/>
    <x v="3"/>
    <x v="3"/>
    <x v="1"/>
    <x v="2"/>
    <n v="5"/>
    <n v="41146"/>
    <n v="5"/>
    <n v="39088.699999999997"/>
    <n v="195443.5"/>
    <n v="1500"/>
    <x v="2"/>
    <x v="1"/>
    <m/>
    <s v="no comment"/>
    <x v="1"/>
    <n v="0"/>
  </r>
  <r>
    <x v="87"/>
    <x v="388"/>
    <s v="Ogbomosho"/>
    <x v="0"/>
    <x v="6"/>
    <x v="2"/>
    <x v="5"/>
    <n v="2"/>
    <n v="20171"/>
    <n v="10"/>
    <n v="18153.900000000001"/>
    <n v="36307.800000000003"/>
    <n v="1500"/>
    <x v="2"/>
    <x v="0"/>
    <m/>
    <s v="okay"/>
    <x v="0"/>
    <n v="0"/>
  </r>
  <r>
    <x v="167"/>
    <x v="389"/>
    <s v="Obio-Akpor"/>
    <x v="2"/>
    <x v="1"/>
    <x v="0"/>
    <x v="1"/>
    <n v="5"/>
    <n v="24385"/>
    <n v="0"/>
    <n v="24385"/>
    <n v="121925"/>
    <n v="2000"/>
    <x v="0"/>
    <x v="1"/>
    <m/>
    <s v="no comment"/>
    <x v="1"/>
    <n v="0"/>
  </r>
  <r>
    <x v="27"/>
    <x v="390"/>
    <s v="Ikeja"/>
    <x v="3"/>
    <x v="9"/>
    <x v="2"/>
    <x v="3"/>
    <n v="3"/>
    <n v="17275"/>
    <n v="5"/>
    <n v="16411.25"/>
    <n v="49233.75"/>
    <n v="1500"/>
    <x v="0"/>
    <x v="2"/>
    <d v="2025-06-22T00:00:00"/>
    <s v="excellent"/>
    <x v="2"/>
    <n v="6"/>
  </r>
  <r>
    <x v="75"/>
    <x v="391"/>
    <s v="Surulere"/>
    <x v="3"/>
    <x v="10"/>
    <x v="1"/>
    <x v="4"/>
    <n v="1"/>
    <n v="32511"/>
    <n v="15"/>
    <n v="27634.35"/>
    <n v="27634.35"/>
    <n v="2000"/>
    <x v="2"/>
    <x v="2"/>
    <d v="2025-02-07T00:00:00"/>
    <s v="excellent"/>
    <x v="2"/>
    <n v="6"/>
  </r>
  <r>
    <x v="166"/>
    <x v="392"/>
    <s v="Port Harcourt"/>
    <x v="2"/>
    <x v="7"/>
    <x v="2"/>
    <x v="5"/>
    <n v="3"/>
    <n v="33390"/>
    <n v="10"/>
    <n v="30051"/>
    <n v="90153"/>
    <n v="1000"/>
    <x v="0"/>
    <x v="1"/>
    <m/>
    <s v="no comment"/>
    <x v="1"/>
    <n v="0"/>
  </r>
  <r>
    <x v="0"/>
    <x v="393"/>
    <s v="Lekki"/>
    <x v="3"/>
    <x v="0"/>
    <x v="0"/>
    <x v="0"/>
    <n v="4"/>
    <n v="44332"/>
    <n v="10"/>
    <n v="39898.800000000003"/>
    <n v="159595.20000000001"/>
    <n v="1500"/>
    <x v="0"/>
    <x v="2"/>
    <d v="2025-04-04T00:00:00"/>
    <s v="excellent"/>
    <x v="2"/>
    <n v="6"/>
  </r>
  <r>
    <x v="158"/>
    <x v="394"/>
    <s v="Ogbomosho"/>
    <x v="0"/>
    <x v="10"/>
    <x v="1"/>
    <x v="4"/>
    <n v="5"/>
    <n v="22801"/>
    <n v="0"/>
    <n v="22801"/>
    <n v="114005"/>
    <n v="1000"/>
    <x v="2"/>
    <x v="2"/>
    <d v="2025-01-26T00:00:00"/>
    <s v="excellent"/>
    <x v="2"/>
    <n v="14"/>
  </r>
  <r>
    <x v="168"/>
    <x v="395"/>
    <s v="Wuse"/>
    <x v="1"/>
    <x v="10"/>
    <x v="1"/>
    <x v="4"/>
    <n v="2"/>
    <n v="74416"/>
    <n v="10"/>
    <n v="66974.399999999994"/>
    <n v="133948.79999999999"/>
    <n v="2000"/>
    <x v="2"/>
    <x v="0"/>
    <m/>
    <s v="okay"/>
    <x v="0"/>
    <n v="0"/>
  </r>
  <r>
    <x v="62"/>
    <x v="396"/>
    <s v="Iseyin"/>
    <x v="0"/>
    <x v="9"/>
    <x v="2"/>
    <x v="3"/>
    <n v="2"/>
    <n v="56635"/>
    <n v="0"/>
    <n v="56635"/>
    <n v="113270"/>
    <n v="2000"/>
    <x v="0"/>
    <x v="0"/>
    <m/>
    <s v="okay"/>
    <x v="0"/>
    <n v="0"/>
  </r>
  <r>
    <x v="14"/>
    <x v="397"/>
    <s v="Oyigbo"/>
    <x v="2"/>
    <x v="7"/>
    <x v="2"/>
    <x v="5"/>
    <n v="4"/>
    <n v="37063"/>
    <n v="20"/>
    <n v="29650.400000000001"/>
    <n v="118601.60000000001"/>
    <n v="2000"/>
    <x v="0"/>
    <x v="0"/>
    <m/>
    <s v="okay"/>
    <x v="0"/>
    <n v="0"/>
  </r>
  <r>
    <x v="130"/>
    <x v="398"/>
    <s v="Asokoro"/>
    <x v="1"/>
    <x v="0"/>
    <x v="0"/>
    <x v="0"/>
    <n v="5"/>
    <n v="16026"/>
    <n v="5"/>
    <n v="15224.7"/>
    <n v="76123.5"/>
    <n v="1000"/>
    <x v="2"/>
    <x v="1"/>
    <m/>
    <s v="no comment"/>
    <x v="1"/>
    <n v="0"/>
  </r>
  <r>
    <x v="135"/>
    <x v="399"/>
    <s v="Oyigbo"/>
    <x v="2"/>
    <x v="5"/>
    <x v="1"/>
    <x v="4"/>
    <n v="2"/>
    <n v="34793"/>
    <n v="0"/>
    <n v="34793"/>
    <n v="69586"/>
    <n v="1500"/>
    <x v="2"/>
    <x v="0"/>
    <m/>
    <s v="okay"/>
    <x v="0"/>
    <n v="0"/>
  </r>
  <r>
    <x v="122"/>
    <x v="400"/>
    <s v="Lekki"/>
    <x v="3"/>
    <x v="8"/>
    <x v="0"/>
    <x v="1"/>
    <n v="2"/>
    <n v="49001"/>
    <n v="10"/>
    <n v="44100.9"/>
    <n v="88201.8"/>
    <n v="1500"/>
    <x v="0"/>
    <x v="2"/>
    <d v="2025-01-17T00:00:00"/>
    <s v="excellent"/>
    <x v="2"/>
    <n v="6"/>
  </r>
  <r>
    <x v="120"/>
    <x v="401"/>
    <s v="Wuse"/>
    <x v="1"/>
    <x v="4"/>
    <x v="2"/>
    <x v="3"/>
    <n v="3"/>
    <n v="59516"/>
    <n v="20"/>
    <n v="47612.800000000003"/>
    <n v="142838.39999999999"/>
    <n v="2000"/>
    <x v="2"/>
    <x v="0"/>
    <m/>
    <s v="okay"/>
    <x v="0"/>
    <n v="0"/>
  </r>
  <r>
    <x v="117"/>
    <x v="402"/>
    <s v="Wuse"/>
    <x v="1"/>
    <x v="8"/>
    <x v="0"/>
    <x v="1"/>
    <n v="3"/>
    <n v="73779"/>
    <n v="10"/>
    <n v="66401.100000000006"/>
    <n v="199203.3"/>
    <n v="1500"/>
    <x v="0"/>
    <x v="0"/>
    <m/>
    <s v="okay"/>
    <x v="0"/>
    <n v="0"/>
  </r>
  <r>
    <x v="103"/>
    <x v="403"/>
    <s v="Lekki"/>
    <x v="3"/>
    <x v="7"/>
    <x v="2"/>
    <x v="5"/>
    <n v="2"/>
    <n v="44654"/>
    <n v="20"/>
    <n v="35723.199999999997"/>
    <n v="71446.399999999994"/>
    <n v="1000"/>
    <x v="0"/>
    <x v="1"/>
    <m/>
    <s v="no comment"/>
    <x v="1"/>
    <n v="0"/>
  </r>
  <r>
    <x v="161"/>
    <x v="404"/>
    <s v="Oyigbo"/>
    <x v="2"/>
    <x v="0"/>
    <x v="0"/>
    <x v="0"/>
    <n v="4"/>
    <n v="34979"/>
    <n v="5"/>
    <n v="33230.050000000003"/>
    <n v="132920.20000000001"/>
    <n v="2000"/>
    <x v="0"/>
    <x v="2"/>
    <d v="2025-05-18T00:00:00"/>
    <s v="excellent"/>
    <x v="2"/>
    <n v="2"/>
  </r>
  <r>
    <x v="45"/>
    <x v="405"/>
    <s v="Surulere"/>
    <x v="3"/>
    <x v="11"/>
    <x v="0"/>
    <x v="0"/>
    <n v="4"/>
    <n v="24822"/>
    <n v="5"/>
    <n v="23580.9"/>
    <n v="94323.6"/>
    <n v="1000"/>
    <x v="2"/>
    <x v="0"/>
    <m/>
    <s v="okay"/>
    <x v="0"/>
    <n v="0"/>
  </r>
  <r>
    <x v="85"/>
    <x v="406"/>
    <s v="Wuse"/>
    <x v="1"/>
    <x v="4"/>
    <x v="2"/>
    <x v="3"/>
    <n v="4"/>
    <n v="73072"/>
    <n v="10"/>
    <n v="65764.800000000003"/>
    <n v="263059.20000000001"/>
    <n v="1500"/>
    <x v="1"/>
    <x v="2"/>
    <d v="2025-05-21T00:00:00"/>
    <s v="excellent"/>
    <x v="2"/>
    <n v="10"/>
  </r>
  <r>
    <x v="15"/>
    <x v="407"/>
    <s v="Ikeja"/>
    <x v="3"/>
    <x v="4"/>
    <x v="2"/>
    <x v="3"/>
    <n v="1"/>
    <n v="10714"/>
    <n v="20"/>
    <n v="8571.2000000000007"/>
    <n v="8571.2000000000007"/>
    <n v="1500"/>
    <x v="2"/>
    <x v="1"/>
    <m/>
    <s v="no comment"/>
    <x v="1"/>
    <n v="0"/>
  </r>
  <r>
    <x v="13"/>
    <x v="408"/>
    <s v="Iseyin"/>
    <x v="0"/>
    <x v="11"/>
    <x v="0"/>
    <x v="0"/>
    <n v="4"/>
    <n v="26523"/>
    <n v="15"/>
    <n v="22544.55"/>
    <n v="90178.2"/>
    <n v="1000"/>
    <x v="2"/>
    <x v="2"/>
    <d v="2025-02-20T00:00:00"/>
    <s v="excellent"/>
    <x v="2"/>
    <n v="5"/>
  </r>
  <r>
    <x v="2"/>
    <x v="409"/>
    <s v="Yaba"/>
    <x v="3"/>
    <x v="4"/>
    <x v="2"/>
    <x v="3"/>
    <n v="5"/>
    <n v="73733"/>
    <n v="5"/>
    <n v="70046.350000000006"/>
    <n v="350231.75"/>
    <n v="2000"/>
    <x v="1"/>
    <x v="2"/>
    <d v="2025-03-22T00:00:00"/>
    <s v="excellent"/>
    <x v="2"/>
    <n v="9"/>
  </r>
  <r>
    <x v="116"/>
    <x v="410"/>
    <s v="Eruwa"/>
    <x v="0"/>
    <x v="0"/>
    <x v="0"/>
    <x v="0"/>
    <n v="2"/>
    <n v="66551"/>
    <n v="0"/>
    <n v="66551"/>
    <n v="133102"/>
    <n v="1000"/>
    <x v="1"/>
    <x v="0"/>
    <m/>
    <s v="okay"/>
    <x v="0"/>
    <n v="0"/>
  </r>
  <r>
    <x v="65"/>
    <x v="411"/>
    <s v="Ikeja"/>
    <x v="3"/>
    <x v="7"/>
    <x v="2"/>
    <x v="5"/>
    <n v="2"/>
    <n v="65552"/>
    <n v="20"/>
    <n v="52441.599999999999"/>
    <n v="104883.2"/>
    <n v="1500"/>
    <x v="0"/>
    <x v="2"/>
    <d v="2025-04-03T00:00:00"/>
    <s v="excellent"/>
    <x v="2"/>
    <n v="3"/>
  </r>
  <r>
    <x v="24"/>
    <x v="412"/>
    <s v="Yaba"/>
    <x v="3"/>
    <x v="5"/>
    <x v="1"/>
    <x v="4"/>
    <n v="3"/>
    <n v="47893"/>
    <n v="0"/>
    <n v="47893"/>
    <n v="143679"/>
    <n v="2000"/>
    <x v="0"/>
    <x v="0"/>
    <m/>
    <s v="okay"/>
    <x v="0"/>
    <n v="0"/>
  </r>
  <r>
    <x v="151"/>
    <x v="413"/>
    <s v="Oyigbo"/>
    <x v="2"/>
    <x v="0"/>
    <x v="0"/>
    <x v="0"/>
    <n v="5"/>
    <n v="11922"/>
    <n v="15"/>
    <n v="10133.700000000001"/>
    <n v="50668.5"/>
    <n v="2000"/>
    <x v="0"/>
    <x v="2"/>
    <d v="2025-01-03T00:00:00"/>
    <s v="excellent"/>
    <x v="2"/>
    <n v="3"/>
  </r>
  <r>
    <x v="130"/>
    <x v="414"/>
    <s v="Ogbomosho"/>
    <x v="0"/>
    <x v="5"/>
    <x v="1"/>
    <x v="4"/>
    <n v="4"/>
    <n v="43171"/>
    <n v="10"/>
    <n v="38853.9"/>
    <n v="155415.6"/>
    <n v="1000"/>
    <x v="1"/>
    <x v="2"/>
    <d v="2025-05-16T00:00:00"/>
    <s v="excellent"/>
    <x v="2"/>
    <n v="13"/>
  </r>
  <r>
    <x v="122"/>
    <x v="415"/>
    <s v="Iseyin"/>
    <x v="0"/>
    <x v="3"/>
    <x v="1"/>
    <x v="2"/>
    <n v="2"/>
    <n v="40721"/>
    <n v="5"/>
    <n v="38684.949999999997"/>
    <n v="77369.899999999994"/>
    <n v="1000"/>
    <x v="0"/>
    <x v="1"/>
    <m/>
    <s v="no comment"/>
    <x v="1"/>
    <n v="0"/>
  </r>
  <r>
    <x v="136"/>
    <x v="416"/>
    <s v="Asokoro"/>
    <x v="1"/>
    <x v="4"/>
    <x v="2"/>
    <x v="3"/>
    <n v="1"/>
    <n v="48284"/>
    <n v="20"/>
    <n v="38627.199999999997"/>
    <n v="38627.199999999997"/>
    <n v="2000"/>
    <x v="2"/>
    <x v="1"/>
    <m/>
    <s v="no comment"/>
    <x v="1"/>
    <n v="0"/>
  </r>
  <r>
    <x v="137"/>
    <x v="417"/>
    <s v="Bonny"/>
    <x v="2"/>
    <x v="7"/>
    <x v="2"/>
    <x v="5"/>
    <n v="4"/>
    <n v="71840"/>
    <n v="10"/>
    <n v="64656"/>
    <n v="258624"/>
    <n v="1000"/>
    <x v="1"/>
    <x v="2"/>
    <d v="2025-03-27T00:00:00"/>
    <s v="excellent"/>
    <x v="2"/>
    <n v="4"/>
  </r>
  <r>
    <x v="23"/>
    <x v="418"/>
    <s v="Wuse"/>
    <x v="1"/>
    <x v="2"/>
    <x v="1"/>
    <x v="2"/>
    <n v="4"/>
    <n v="51899"/>
    <n v="5"/>
    <n v="49304.05"/>
    <n v="197216.2"/>
    <n v="2000"/>
    <x v="0"/>
    <x v="2"/>
    <d v="2025-06-04T00:00:00"/>
    <s v="excellent"/>
    <x v="2"/>
    <n v="14"/>
  </r>
  <r>
    <x v="169"/>
    <x v="419"/>
    <s v="Surulere"/>
    <x v="3"/>
    <x v="5"/>
    <x v="1"/>
    <x v="4"/>
    <n v="5"/>
    <n v="73032"/>
    <n v="10"/>
    <n v="65728.800000000003"/>
    <n v="328644"/>
    <n v="1500"/>
    <x v="0"/>
    <x v="2"/>
    <d v="2025-04-22T00:00:00"/>
    <s v="excellent"/>
    <x v="2"/>
    <n v="12"/>
  </r>
  <r>
    <x v="34"/>
    <x v="420"/>
    <s v="Oyigbo"/>
    <x v="2"/>
    <x v="11"/>
    <x v="0"/>
    <x v="0"/>
    <n v="5"/>
    <n v="50512"/>
    <n v="5"/>
    <n v="47986.400000000001"/>
    <n v="239932"/>
    <n v="1000"/>
    <x v="2"/>
    <x v="1"/>
    <m/>
    <s v="no comment"/>
    <x v="1"/>
    <n v="0"/>
  </r>
  <r>
    <x v="97"/>
    <x v="421"/>
    <s v="Iseyin"/>
    <x v="0"/>
    <x v="4"/>
    <x v="2"/>
    <x v="3"/>
    <n v="1"/>
    <n v="5093"/>
    <n v="10"/>
    <n v="4583.7"/>
    <n v="4583.7"/>
    <n v="1500"/>
    <x v="0"/>
    <x v="1"/>
    <m/>
    <s v="no comment"/>
    <x v="1"/>
    <n v="0"/>
  </r>
  <r>
    <x v="170"/>
    <x v="422"/>
    <s v="Ogbomosho"/>
    <x v="0"/>
    <x v="4"/>
    <x v="2"/>
    <x v="3"/>
    <n v="5"/>
    <n v="28183"/>
    <n v="0"/>
    <n v="28183"/>
    <n v="140915"/>
    <n v="1500"/>
    <x v="0"/>
    <x v="0"/>
    <m/>
    <s v="okay"/>
    <x v="0"/>
    <n v="0"/>
  </r>
  <r>
    <x v="171"/>
    <x v="423"/>
    <s v="Ibadan"/>
    <x v="0"/>
    <x v="9"/>
    <x v="2"/>
    <x v="3"/>
    <n v="1"/>
    <n v="49479"/>
    <n v="20"/>
    <n v="39583.199999999997"/>
    <n v="39583.199999999997"/>
    <n v="2000"/>
    <x v="2"/>
    <x v="2"/>
    <d v="2025-04-30T00:00:00"/>
    <s v="excellent"/>
    <x v="2"/>
    <n v="5"/>
  </r>
  <r>
    <x v="67"/>
    <x v="424"/>
    <s v="Ibadan"/>
    <x v="0"/>
    <x v="5"/>
    <x v="1"/>
    <x v="4"/>
    <n v="3"/>
    <n v="76845"/>
    <n v="20"/>
    <n v="61476"/>
    <n v="184428"/>
    <n v="1500"/>
    <x v="1"/>
    <x v="2"/>
    <d v="2025-02-18T00:00:00"/>
    <s v="excellent"/>
    <x v="2"/>
    <n v="14"/>
  </r>
  <r>
    <x v="132"/>
    <x v="425"/>
    <s v="Wuse"/>
    <x v="1"/>
    <x v="3"/>
    <x v="1"/>
    <x v="2"/>
    <n v="5"/>
    <n v="47159"/>
    <n v="20"/>
    <n v="37727.199999999997"/>
    <n v="188636"/>
    <n v="1000"/>
    <x v="1"/>
    <x v="2"/>
    <d v="2025-07-02T00:00:00"/>
    <s v="excellent"/>
    <x v="2"/>
    <n v="3"/>
  </r>
  <r>
    <x v="89"/>
    <x v="426"/>
    <s v="Ogbomosho"/>
    <x v="0"/>
    <x v="4"/>
    <x v="2"/>
    <x v="3"/>
    <n v="1"/>
    <n v="44310"/>
    <n v="10"/>
    <n v="39879"/>
    <n v="39879"/>
    <n v="1000"/>
    <x v="2"/>
    <x v="1"/>
    <m/>
    <s v="no comment"/>
    <x v="1"/>
    <n v="0"/>
  </r>
  <r>
    <x v="172"/>
    <x v="427"/>
    <s v="Eruwa"/>
    <x v="0"/>
    <x v="11"/>
    <x v="0"/>
    <x v="0"/>
    <n v="5"/>
    <n v="56899"/>
    <n v="15"/>
    <n v="48364.15"/>
    <n v="241820.75"/>
    <n v="1000"/>
    <x v="0"/>
    <x v="0"/>
    <m/>
    <s v="okay"/>
    <x v="0"/>
    <n v="0"/>
  </r>
  <r>
    <x v="111"/>
    <x v="428"/>
    <s v="Wuse"/>
    <x v="1"/>
    <x v="1"/>
    <x v="0"/>
    <x v="1"/>
    <n v="5"/>
    <n v="43067"/>
    <n v="5"/>
    <n v="40913.65"/>
    <n v="204568.25"/>
    <n v="1500"/>
    <x v="1"/>
    <x v="1"/>
    <m/>
    <s v="no comment"/>
    <x v="1"/>
    <n v="0"/>
  </r>
  <r>
    <x v="35"/>
    <x v="429"/>
    <s v="Maitama"/>
    <x v="1"/>
    <x v="11"/>
    <x v="0"/>
    <x v="0"/>
    <n v="5"/>
    <n v="32938"/>
    <n v="15"/>
    <n v="27997.3"/>
    <n v="139986.5"/>
    <n v="1000"/>
    <x v="0"/>
    <x v="2"/>
    <d v="2025-01-18T00:00:00"/>
    <s v="excellent"/>
    <x v="2"/>
    <n v="10"/>
  </r>
  <r>
    <x v="148"/>
    <x v="430"/>
    <s v="Obio-Akpor"/>
    <x v="2"/>
    <x v="11"/>
    <x v="0"/>
    <x v="0"/>
    <n v="5"/>
    <n v="41140"/>
    <n v="5"/>
    <n v="39083"/>
    <n v="195415"/>
    <n v="1000"/>
    <x v="0"/>
    <x v="2"/>
    <d v="2025-05-09T00:00:00"/>
    <s v="excellent"/>
    <x v="2"/>
    <n v="10"/>
  </r>
  <r>
    <x v="173"/>
    <x v="431"/>
    <s v="Asokoro"/>
    <x v="1"/>
    <x v="11"/>
    <x v="0"/>
    <x v="0"/>
    <n v="2"/>
    <n v="63059"/>
    <n v="5"/>
    <n v="59906.05"/>
    <n v="119812.1"/>
    <n v="2000"/>
    <x v="0"/>
    <x v="2"/>
    <d v="2025-03-29T00:00:00"/>
    <s v="excellent"/>
    <x v="2"/>
    <n v="5"/>
  </r>
  <r>
    <x v="93"/>
    <x v="432"/>
    <s v="Port Harcourt"/>
    <x v="2"/>
    <x v="3"/>
    <x v="1"/>
    <x v="2"/>
    <n v="5"/>
    <n v="18820"/>
    <n v="0"/>
    <n v="18820"/>
    <n v="94100"/>
    <n v="1000"/>
    <x v="1"/>
    <x v="2"/>
    <d v="2025-06-20T00:00:00"/>
    <s v="excellent"/>
    <x v="2"/>
    <n v="14"/>
  </r>
  <r>
    <x v="0"/>
    <x v="433"/>
    <s v="Ikeja"/>
    <x v="3"/>
    <x v="9"/>
    <x v="2"/>
    <x v="3"/>
    <n v="5"/>
    <n v="42251"/>
    <n v="10"/>
    <n v="38025.9"/>
    <n v="190129.5"/>
    <n v="2000"/>
    <x v="1"/>
    <x v="1"/>
    <m/>
    <s v="no comment"/>
    <x v="1"/>
    <n v="0"/>
  </r>
  <r>
    <x v="95"/>
    <x v="434"/>
    <s v="Iseyin"/>
    <x v="0"/>
    <x v="4"/>
    <x v="2"/>
    <x v="3"/>
    <n v="2"/>
    <n v="57138"/>
    <n v="5"/>
    <n v="54281.1"/>
    <n v="108562.2"/>
    <n v="1000"/>
    <x v="1"/>
    <x v="0"/>
    <m/>
    <s v="okay"/>
    <x v="0"/>
    <n v="0"/>
  </r>
  <r>
    <x v="60"/>
    <x v="435"/>
    <s v="Bonny"/>
    <x v="2"/>
    <x v="4"/>
    <x v="2"/>
    <x v="3"/>
    <n v="2"/>
    <n v="51465"/>
    <n v="20"/>
    <n v="41172"/>
    <n v="82344"/>
    <n v="1000"/>
    <x v="1"/>
    <x v="0"/>
    <m/>
    <s v="okay"/>
    <x v="0"/>
    <n v="0"/>
  </r>
  <r>
    <x v="17"/>
    <x v="436"/>
    <s v="Surulere"/>
    <x v="3"/>
    <x v="11"/>
    <x v="0"/>
    <x v="0"/>
    <n v="4"/>
    <n v="33963"/>
    <n v="0"/>
    <n v="33963"/>
    <n v="135852"/>
    <n v="2000"/>
    <x v="0"/>
    <x v="1"/>
    <m/>
    <s v="no comment"/>
    <x v="1"/>
    <n v="0"/>
  </r>
  <r>
    <x v="174"/>
    <x v="437"/>
    <s v="Yaba"/>
    <x v="3"/>
    <x v="3"/>
    <x v="1"/>
    <x v="2"/>
    <n v="5"/>
    <n v="24185"/>
    <n v="0"/>
    <n v="24185"/>
    <n v="120925"/>
    <n v="1500"/>
    <x v="2"/>
    <x v="0"/>
    <m/>
    <s v="okay"/>
    <x v="0"/>
    <n v="0"/>
  </r>
  <r>
    <x v="163"/>
    <x v="438"/>
    <s v="Yaba"/>
    <x v="3"/>
    <x v="4"/>
    <x v="2"/>
    <x v="3"/>
    <n v="3"/>
    <n v="9845"/>
    <n v="0"/>
    <n v="9845"/>
    <n v="29535"/>
    <n v="2000"/>
    <x v="0"/>
    <x v="0"/>
    <m/>
    <s v="okay"/>
    <x v="0"/>
    <n v="0"/>
  </r>
  <r>
    <x v="120"/>
    <x v="439"/>
    <s v="Obio-Akpor"/>
    <x v="2"/>
    <x v="11"/>
    <x v="0"/>
    <x v="0"/>
    <n v="2"/>
    <n v="68667"/>
    <n v="20"/>
    <n v="54933.599999999999"/>
    <n v="109867.2"/>
    <n v="1500"/>
    <x v="2"/>
    <x v="2"/>
    <d v="2025-01-28T00:00:00"/>
    <s v="excellent"/>
    <x v="2"/>
    <n v="6"/>
  </r>
  <r>
    <x v="99"/>
    <x v="440"/>
    <s v="Maitama"/>
    <x v="1"/>
    <x v="1"/>
    <x v="0"/>
    <x v="1"/>
    <n v="1"/>
    <n v="53253"/>
    <n v="10"/>
    <n v="47927.7"/>
    <n v="47927.7"/>
    <n v="1000"/>
    <x v="2"/>
    <x v="0"/>
    <m/>
    <s v="okay"/>
    <x v="0"/>
    <n v="0"/>
  </r>
  <r>
    <x v="75"/>
    <x v="441"/>
    <s v="Bonny"/>
    <x v="2"/>
    <x v="7"/>
    <x v="2"/>
    <x v="5"/>
    <n v="1"/>
    <n v="69589"/>
    <n v="0"/>
    <n v="69589"/>
    <n v="69589"/>
    <n v="1000"/>
    <x v="2"/>
    <x v="0"/>
    <m/>
    <s v="okay"/>
    <x v="0"/>
    <n v="0"/>
  </r>
  <r>
    <x v="23"/>
    <x v="442"/>
    <s v="Lekki"/>
    <x v="3"/>
    <x v="6"/>
    <x v="2"/>
    <x v="5"/>
    <n v="5"/>
    <n v="7660"/>
    <n v="15"/>
    <n v="6511"/>
    <n v="32555"/>
    <n v="1500"/>
    <x v="2"/>
    <x v="1"/>
    <m/>
    <s v="no comment"/>
    <x v="1"/>
    <n v="0"/>
  </r>
  <r>
    <x v="108"/>
    <x v="443"/>
    <s v="Port Harcourt"/>
    <x v="2"/>
    <x v="0"/>
    <x v="0"/>
    <x v="0"/>
    <n v="3"/>
    <n v="26279"/>
    <n v="15"/>
    <n v="22337.15"/>
    <n v="67011.450000000012"/>
    <n v="1500"/>
    <x v="2"/>
    <x v="2"/>
    <d v="2025-05-26T00:00:00"/>
    <s v="excellent"/>
    <x v="2"/>
    <n v="2"/>
  </r>
  <r>
    <x v="119"/>
    <x v="444"/>
    <s v="Yaba"/>
    <x v="3"/>
    <x v="5"/>
    <x v="1"/>
    <x v="4"/>
    <n v="2"/>
    <n v="44316"/>
    <n v="0"/>
    <n v="44316"/>
    <n v="88632"/>
    <n v="2000"/>
    <x v="0"/>
    <x v="2"/>
    <d v="2025-01-20T00:00:00"/>
    <s v="excellent"/>
    <x v="2"/>
    <n v="2"/>
  </r>
  <r>
    <x v="170"/>
    <x v="445"/>
    <s v="Maitama"/>
    <x v="1"/>
    <x v="1"/>
    <x v="0"/>
    <x v="1"/>
    <n v="5"/>
    <n v="20910"/>
    <n v="0"/>
    <n v="20910"/>
    <n v="104550"/>
    <n v="2000"/>
    <x v="0"/>
    <x v="2"/>
    <d v="2025-06-07T00:00:00"/>
    <s v="excellent"/>
    <x v="2"/>
    <n v="11"/>
  </r>
  <r>
    <x v="105"/>
    <x v="446"/>
    <s v="Ogbomosho"/>
    <x v="0"/>
    <x v="0"/>
    <x v="0"/>
    <x v="0"/>
    <n v="1"/>
    <n v="48608"/>
    <n v="5"/>
    <n v="46177.599999999999"/>
    <n v="46177.599999999999"/>
    <n v="1000"/>
    <x v="1"/>
    <x v="1"/>
    <m/>
    <s v="no comment"/>
    <x v="1"/>
    <n v="0"/>
  </r>
  <r>
    <x v="79"/>
    <x v="447"/>
    <s v="Oyigbo"/>
    <x v="2"/>
    <x v="9"/>
    <x v="2"/>
    <x v="3"/>
    <n v="5"/>
    <n v="76390"/>
    <n v="0"/>
    <n v="76390"/>
    <n v="381950"/>
    <n v="1000"/>
    <x v="0"/>
    <x v="2"/>
    <d v="2025-03-21T00:00:00"/>
    <s v="excellent"/>
    <x v="2"/>
    <n v="7"/>
  </r>
  <r>
    <x v="2"/>
    <x v="448"/>
    <s v="Surulere"/>
    <x v="3"/>
    <x v="2"/>
    <x v="1"/>
    <x v="2"/>
    <n v="1"/>
    <n v="32733"/>
    <n v="10"/>
    <n v="26186.400000000001"/>
    <n v="26186.400000000001"/>
    <n v="1500"/>
    <x v="2"/>
    <x v="1"/>
    <m/>
    <s v="no comment"/>
    <x v="1"/>
    <n v="0"/>
  </r>
  <r>
    <x v="116"/>
    <x v="449"/>
    <s v="Maitama"/>
    <x v="1"/>
    <x v="5"/>
    <x v="1"/>
    <x v="4"/>
    <n v="1"/>
    <n v="75004"/>
    <n v="10"/>
    <n v="67503.600000000006"/>
    <n v="67503.600000000006"/>
    <n v="1000"/>
    <x v="0"/>
    <x v="2"/>
    <d v="2025-04-25T00:00:00"/>
    <s v="excellent"/>
    <x v="2"/>
    <n v="2"/>
  </r>
  <r>
    <x v="109"/>
    <x v="450"/>
    <s v="Yaba"/>
    <x v="3"/>
    <x v="2"/>
    <x v="1"/>
    <x v="2"/>
    <n v="4"/>
    <n v="70713"/>
    <n v="5"/>
    <n v="67177.350000000006"/>
    <n v="268709.40000000002"/>
    <n v="1500"/>
    <x v="1"/>
    <x v="0"/>
    <m/>
    <s v="okay"/>
    <x v="0"/>
    <n v="0"/>
  </r>
  <r>
    <x v="105"/>
    <x v="451"/>
    <s v="Ogbomosho"/>
    <x v="0"/>
    <x v="10"/>
    <x v="1"/>
    <x v="4"/>
    <n v="5"/>
    <n v="53147"/>
    <n v="15"/>
    <n v="45174.95"/>
    <n v="225874.75"/>
    <n v="2000"/>
    <x v="2"/>
    <x v="0"/>
    <m/>
    <s v="okay"/>
    <x v="0"/>
    <n v="0"/>
  </r>
  <r>
    <x v="122"/>
    <x v="452"/>
    <s v="Oyigbo"/>
    <x v="2"/>
    <x v="10"/>
    <x v="1"/>
    <x v="4"/>
    <n v="3"/>
    <n v="35489"/>
    <n v="20"/>
    <n v="28391.200000000001"/>
    <n v="85173.6"/>
    <n v="1000"/>
    <x v="1"/>
    <x v="2"/>
    <d v="2025-01-20T00:00:00"/>
    <s v="excellent"/>
    <x v="2"/>
    <n v="9"/>
  </r>
  <r>
    <x v="30"/>
    <x v="453"/>
    <s v="Ikeja"/>
    <x v="3"/>
    <x v="2"/>
    <x v="1"/>
    <x v="2"/>
    <n v="2"/>
    <n v="4560"/>
    <n v="20"/>
    <n v="3648"/>
    <n v="7296"/>
    <n v="1500"/>
    <x v="0"/>
    <x v="1"/>
    <m/>
    <s v="no comment"/>
    <x v="1"/>
    <n v="0"/>
  </r>
  <r>
    <x v="10"/>
    <x v="454"/>
    <s v="Gwarinpa"/>
    <x v="1"/>
    <x v="8"/>
    <x v="0"/>
    <x v="1"/>
    <n v="3"/>
    <n v="51134"/>
    <n v="5"/>
    <n v="48577.3"/>
    <n v="145731.9"/>
    <n v="1000"/>
    <x v="1"/>
    <x v="0"/>
    <m/>
    <s v="okay"/>
    <x v="0"/>
    <n v="0"/>
  </r>
  <r>
    <x v="40"/>
    <x v="455"/>
    <s v="Lekki"/>
    <x v="3"/>
    <x v="10"/>
    <x v="1"/>
    <x v="4"/>
    <n v="4"/>
    <n v="11016"/>
    <n v="0"/>
    <n v="11016"/>
    <n v="44064"/>
    <n v="1500"/>
    <x v="0"/>
    <x v="0"/>
    <m/>
    <s v="okay"/>
    <x v="0"/>
    <n v="0"/>
  </r>
  <r>
    <x v="40"/>
    <x v="456"/>
    <s v="Ibadan"/>
    <x v="0"/>
    <x v="0"/>
    <x v="0"/>
    <x v="0"/>
    <n v="3"/>
    <n v="78228"/>
    <n v="10"/>
    <n v="70405.2"/>
    <n v="211215.6"/>
    <n v="1500"/>
    <x v="0"/>
    <x v="2"/>
    <d v="2025-06-25T00:00:00"/>
    <s v="excellent"/>
    <x v="2"/>
    <n v="7"/>
  </r>
  <r>
    <x v="71"/>
    <x v="457"/>
    <s v="Yaba"/>
    <x v="3"/>
    <x v="7"/>
    <x v="2"/>
    <x v="5"/>
    <n v="3"/>
    <n v="9041"/>
    <n v="20"/>
    <n v="7232.8"/>
    <n v="21698.400000000001"/>
    <n v="1500"/>
    <x v="1"/>
    <x v="1"/>
    <m/>
    <s v="no comment"/>
    <x v="1"/>
    <n v="0"/>
  </r>
  <r>
    <x v="93"/>
    <x v="458"/>
    <s v="Asokoro"/>
    <x v="1"/>
    <x v="6"/>
    <x v="2"/>
    <x v="5"/>
    <n v="1"/>
    <n v="2660"/>
    <n v="0"/>
    <n v="2660"/>
    <n v="2660"/>
    <n v="2000"/>
    <x v="0"/>
    <x v="1"/>
    <m/>
    <s v="no comment"/>
    <x v="1"/>
    <n v="0"/>
  </r>
  <r>
    <x v="34"/>
    <x v="459"/>
    <s v="Ikeja"/>
    <x v="3"/>
    <x v="6"/>
    <x v="2"/>
    <x v="5"/>
    <n v="1"/>
    <n v="32404"/>
    <n v="5"/>
    <n v="30783.8"/>
    <n v="30783.8"/>
    <n v="1000"/>
    <x v="2"/>
    <x v="0"/>
    <m/>
    <s v="okay"/>
    <x v="0"/>
    <n v="0"/>
  </r>
  <r>
    <x v="168"/>
    <x v="460"/>
    <s v="Gwarinpa"/>
    <x v="1"/>
    <x v="6"/>
    <x v="2"/>
    <x v="5"/>
    <n v="3"/>
    <n v="28761"/>
    <n v="10"/>
    <n v="25884.9"/>
    <n v="77654.700000000012"/>
    <n v="2000"/>
    <x v="2"/>
    <x v="2"/>
    <d v="2025-06-11T00:00:00"/>
    <s v="excellent"/>
    <x v="2"/>
    <n v="12"/>
  </r>
  <r>
    <x v="112"/>
    <x v="461"/>
    <s v="Iseyin"/>
    <x v="0"/>
    <x v="9"/>
    <x v="2"/>
    <x v="3"/>
    <n v="3"/>
    <n v="49655"/>
    <n v="20"/>
    <n v="39724"/>
    <n v="119172"/>
    <n v="2000"/>
    <x v="2"/>
    <x v="2"/>
    <d v="2025-02-12T00:00:00"/>
    <s v="excellent"/>
    <x v="2"/>
    <n v="7"/>
  </r>
  <r>
    <x v="88"/>
    <x v="462"/>
    <s v="Wuse"/>
    <x v="1"/>
    <x v="1"/>
    <x v="0"/>
    <x v="1"/>
    <n v="4"/>
    <n v="11992"/>
    <n v="20"/>
    <n v="9593.6"/>
    <n v="38374.400000000001"/>
    <n v="2000"/>
    <x v="1"/>
    <x v="0"/>
    <m/>
    <s v="okay"/>
    <x v="0"/>
    <n v="0"/>
  </r>
  <r>
    <x v="69"/>
    <x v="463"/>
    <s v="Wuse"/>
    <x v="1"/>
    <x v="7"/>
    <x v="2"/>
    <x v="5"/>
    <n v="2"/>
    <n v="64290"/>
    <n v="0"/>
    <n v="64290"/>
    <n v="128580"/>
    <n v="1000"/>
    <x v="1"/>
    <x v="1"/>
    <m/>
    <s v="no comment"/>
    <x v="1"/>
    <n v="0"/>
  </r>
  <r>
    <x v="1"/>
    <x v="464"/>
    <s v="Surulere"/>
    <x v="3"/>
    <x v="2"/>
    <x v="1"/>
    <x v="2"/>
    <n v="2"/>
    <n v="17986"/>
    <n v="5"/>
    <n v="17086.7"/>
    <n v="34173.4"/>
    <n v="2000"/>
    <x v="0"/>
    <x v="2"/>
    <d v="2025-05-13T00:00:00"/>
    <s v="excellent"/>
    <x v="2"/>
    <n v="5"/>
  </r>
  <r>
    <x v="168"/>
    <x v="465"/>
    <s v="Ogbomosho"/>
    <x v="0"/>
    <x v="4"/>
    <x v="2"/>
    <x v="3"/>
    <n v="2"/>
    <n v="61042"/>
    <n v="10"/>
    <n v="54937.8"/>
    <n v="109875.6"/>
    <n v="2000"/>
    <x v="1"/>
    <x v="2"/>
    <d v="2025-06-10T00:00:00"/>
    <s v="excellent"/>
    <x v="2"/>
    <n v="11"/>
  </r>
  <r>
    <x v="134"/>
    <x v="466"/>
    <s v="Eruwa"/>
    <x v="0"/>
    <x v="5"/>
    <x v="1"/>
    <x v="4"/>
    <n v="2"/>
    <n v="32961"/>
    <n v="10"/>
    <n v="29664.9"/>
    <n v="59329.8"/>
    <n v="1500"/>
    <x v="1"/>
    <x v="1"/>
    <m/>
    <s v="no comment"/>
    <x v="1"/>
    <n v="0"/>
  </r>
  <r>
    <x v="57"/>
    <x v="467"/>
    <s v="Ibadan"/>
    <x v="0"/>
    <x v="5"/>
    <x v="1"/>
    <x v="4"/>
    <n v="3"/>
    <n v="69489"/>
    <n v="10"/>
    <n v="62540.1"/>
    <n v="187620.3"/>
    <n v="1000"/>
    <x v="1"/>
    <x v="1"/>
    <m/>
    <s v="no comment"/>
    <x v="1"/>
    <n v="0"/>
  </r>
  <r>
    <x v="167"/>
    <x v="468"/>
    <s v="Ogbomosho"/>
    <x v="0"/>
    <x v="9"/>
    <x v="2"/>
    <x v="3"/>
    <n v="1"/>
    <n v="14725"/>
    <n v="10"/>
    <n v="13252.5"/>
    <n v="13252.5"/>
    <n v="1500"/>
    <x v="2"/>
    <x v="0"/>
    <m/>
    <s v="okay"/>
    <x v="0"/>
    <n v="0"/>
  </r>
  <r>
    <x v="140"/>
    <x v="469"/>
    <s v="Yaba"/>
    <x v="3"/>
    <x v="7"/>
    <x v="2"/>
    <x v="5"/>
    <n v="5"/>
    <n v="9632"/>
    <n v="15"/>
    <n v="8187.2"/>
    <n v="40936"/>
    <n v="1500"/>
    <x v="2"/>
    <x v="1"/>
    <m/>
    <s v="no comment"/>
    <x v="1"/>
    <n v="0"/>
  </r>
  <r>
    <x v="163"/>
    <x v="470"/>
    <s v="Bonny"/>
    <x v="2"/>
    <x v="7"/>
    <x v="2"/>
    <x v="5"/>
    <n v="2"/>
    <n v="71706"/>
    <n v="5"/>
    <n v="68120.7"/>
    <n v="136241.4"/>
    <n v="1500"/>
    <x v="0"/>
    <x v="1"/>
    <m/>
    <s v="no comment"/>
    <x v="1"/>
    <n v="0"/>
  </r>
  <r>
    <x v="58"/>
    <x v="471"/>
    <s v="Yaba"/>
    <x v="3"/>
    <x v="2"/>
    <x v="1"/>
    <x v="2"/>
    <n v="2"/>
    <n v="54808"/>
    <n v="0"/>
    <n v="54808"/>
    <n v="109616"/>
    <n v="1000"/>
    <x v="1"/>
    <x v="0"/>
    <m/>
    <s v="okay"/>
    <x v="0"/>
    <n v="0"/>
  </r>
  <r>
    <x v="104"/>
    <x v="472"/>
    <s v="Surulere"/>
    <x v="3"/>
    <x v="4"/>
    <x v="2"/>
    <x v="3"/>
    <n v="1"/>
    <n v="60805"/>
    <n v="20"/>
    <n v="48644"/>
    <n v="48644"/>
    <n v="1500"/>
    <x v="1"/>
    <x v="1"/>
    <m/>
    <s v="no comment"/>
    <x v="1"/>
    <n v="0"/>
  </r>
  <r>
    <x v="65"/>
    <x v="473"/>
    <s v="Surulere"/>
    <x v="3"/>
    <x v="1"/>
    <x v="0"/>
    <x v="1"/>
    <n v="5"/>
    <n v="48122"/>
    <n v="5"/>
    <n v="45715.9"/>
    <n v="228579.5"/>
    <n v="2000"/>
    <x v="2"/>
    <x v="2"/>
    <d v="2025-04-02T00:00:00"/>
    <s v="excellent"/>
    <x v="2"/>
    <n v="2"/>
  </r>
  <r>
    <x v="98"/>
    <x v="474"/>
    <s v="Obio-Akpor"/>
    <x v="2"/>
    <x v="1"/>
    <x v="0"/>
    <x v="1"/>
    <n v="1"/>
    <n v="2111"/>
    <n v="0"/>
    <n v="2111"/>
    <n v="2111"/>
    <n v="2000"/>
    <x v="2"/>
    <x v="2"/>
    <d v="2025-01-31T00:00:00"/>
    <s v="excellent"/>
    <x v="2"/>
    <n v="12"/>
  </r>
  <r>
    <x v="91"/>
    <x v="475"/>
    <s v="Surulere"/>
    <x v="3"/>
    <x v="6"/>
    <x v="2"/>
    <x v="5"/>
    <n v="4"/>
    <n v="57315"/>
    <n v="20"/>
    <n v="45852"/>
    <n v="183408"/>
    <n v="1000"/>
    <x v="2"/>
    <x v="2"/>
    <d v="2025-06-12T00:00:00"/>
    <s v="excellent"/>
    <x v="2"/>
    <n v="3"/>
  </r>
  <r>
    <x v="119"/>
    <x v="476"/>
    <s v="Yaba"/>
    <x v="3"/>
    <x v="5"/>
    <x v="1"/>
    <x v="4"/>
    <n v="5"/>
    <n v="5237"/>
    <n v="0"/>
    <n v="5237"/>
    <n v="26185"/>
    <n v="2000"/>
    <x v="1"/>
    <x v="2"/>
    <d v="2025-02-01T00:00:00"/>
    <s v="excellent"/>
    <x v="2"/>
    <n v="14"/>
  </r>
  <r>
    <x v="22"/>
    <x v="477"/>
    <s v="Iseyin"/>
    <x v="0"/>
    <x v="2"/>
    <x v="1"/>
    <x v="2"/>
    <n v="5"/>
    <n v="56002"/>
    <n v="15"/>
    <n v="47601.7"/>
    <n v="238008.5"/>
    <n v="1000"/>
    <x v="0"/>
    <x v="0"/>
    <m/>
    <s v="okay"/>
    <x v="0"/>
    <n v="0"/>
  </r>
  <r>
    <x v="144"/>
    <x v="478"/>
    <s v="Obio-Akpor"/>
    <x v="2"/>
    <x v="4"/>
    <x v="2"/>
    <x v="3"/>
    <n v="1"/>
    <n v="21313"/>
    <n v="10"/>
    <n v="19181.7"/>
    <n v="19181.7"/>
    <n v="1000"/>
    <x v="2"/>
    <x v="1"/>
    <m/>
    <s v="no comment"/>
    <x v="1"/>
    <n v="0"/>
  </r>
  <r>
    <x v="64"/>
    <x v="479"/>
    <s v="Lekki"/>
    <x v="3"/>
    <x v="11"/>
    <x v="0"/>
    <x v="0"/>
    <n v="3"/>
    <n v="5486"/>
    <n v="5"/>
    <n v="5211.7"/>
    <n v="15635.1"/>
    <n v="1000"/>
    <x v="0"/>
    <x v="0"/>
    <m/>
    <s v="okay"/>
    <x v="0"/>
    <n v="0"/>
  </r>
  <r>
    <x v="129"/>
    <x v="480"/>
    <s v="Lekki"/>
    <x v="3"/>
    <x v="7"/>
    <x v="2"/>
    <x v="5"/>
    <n v="3"/>
    <n v="79382"/>
    <n v="5"/>
    <n v="75412.899999999994"/>
    <n v="226238.7"/>
    <n v="2000"/>
    <x v="0"/>
    <x v="0"/>
    <m/>
    <s v="okay"/>
    <x v="0"/>
    <n v="0"/>
  </r>
  <r>
    <x v="51"/>
    <x v="481"/>
    <s v="Maitama"/>
    <x v="1"/>
    <x v="10"/>
    <x v="1"/>
    <x v="4"/>
    <n v="4"/>
    <n v="54582"/>
    <n v="15"/>
    <n v="46394.7"/>
    <n v="185578.8"/>
    <n v="1000"/>
    <x v="1"/>
    <x v="1"/>
    <m/>
    <s v="no comment"/>
    <x v="1"/>
    <n v="0"/>
  </r>
  <r>
    <x v="56"/>
    <x v="482"/>
    <s v="Ogbomosho"/>
    <x v="0"/>
    <x v="4"/>
    <x v="2"/>
    <x v="3"/>
    <n v="4"/>
    <n v="3163"/>
    <n v="10"/>
    <n v="2846.7"/>
    <n v="11386.8"/>
    <n v="1000"/>
    <x v="1"/>
    <x v="0"/>
    <m/>
    <s v="okay"/>
    <x v="0"/>
    <n v="0"/>
  </r>
  <r>
    <x v="65"/>
    <x v="483"/>
    <s v="Asokoro"/>
    <x v="1"/>
    <x v="8"/>
    <x v="0"/>
    <x v="1"/>
    <n v="2"/>
    <n v="64732"/>
    <n v="0"/>
    <n v="64732"/>
    <n v="129464"/>
    <n v="2000"/>
    <x v="2"/>
    <x v="0"/>
    <m/>
    <s v="okay"/>
    <x v="0"/>
    <n v="0"/>
  </r>
  <r>
    <x v="61"/>
    <x v="484"/>
    <s v="Bonny"/>
    <x v="2"/>
    <x v="6"/>
    <x v="2"/>
    <x v="5"/>
    <n v="1"/>
    <n v="57149"/>
    <n v="0"/>
    <n v="57149"/>
    <n v="57149"/>
    <n v="1500"/>
    <x v="1"/>
    <x v="0"/>
    <m/>
    <s v="okay"/>
    <x v="0"/>
    <n v="0"/>
  </r>
  <r>
    <x v="132"/>
    <x v="485"/>
    <s v="Maitama"/>
    <x v="1"/>
    <x v="6"/>
    <x v="2"/>
    <x v="5"/>
    <n v="2"/>
    <n v="22204"/>
    <n v="15"/>
    <n v="18873.400000000001"/>
    <n v="37746.800000000003"/>
    <n v="1500"/>
    <x v="0"/>
    <x v="0"/>
    <m/>
    <s v="okay"/>
    <x v="0"/>
    <n v="0"/>
  </r>
  <r>
    <x v="111"/>
    <x v="486"/>
    <s v="Port Harcourt"/>
    <x v="2"/>
    <x v="8"/>
    <x v="0"/>
    <x v="1"/>
    <n v="2"/>
    <n v="15209"/>
    <n v="10"/>
    <n v="13688.1"/>
    <n v="27376.2"/>
    <n v="2000"/>
    <x v="1"/>
    <x v="2"/>
    <d v="2025-04-08T00:00:00"/>
    <s v="excellent"/>
    <x v="2"/>
    <n v="2"/>
  </r>
  <r>
    <x v="42"/>
    <x v="487"/>
    <s v="Wuse"/>
    <x v="1"/>
    <x v="2"/>
    <x v="1"/>
    <x v="2"/>
    <n v="4"/>
    <n v="61758"/>
    <n v="0"/>
    <n v="61758"/>
    <n v="247032"/>
    <n v="2000"/>
    <x v="1"/>
    <x v="0"/>
    <m/>
    <s v="okay"/>
    <x v="0"/>
    <n v="0"/>
  </r>
  <r>
    <x v="8"/>
    <x v="488"/>
    <s v="Bonny"/>
    <x v="2"/>
    <x v="7"/>
    <x v="2"/>
    <x v="5"/>
    <n v="5"/>
    <n v="47076"/>
    <n v="0"/>
    <n v="47076"/>
    <n v="235380"/>
    <n v="1000"/>
    <x v="1"/>
    <x v="1"/>
    <m/>
    <s v="no comment"/>
    <x v="1"/>
    <n v="0"/>
  </r>
  <r>
    <x v="114"/>
    <x v="489"/>
    <s v="Yaba"/>
    <x v="3"/>
    <x v="8"/>
    <x v="0"/>
    <x v="1"/>
    <n v="1"/>
    <n v="6023"/>
    <n v="15"/>
    <n v="5119.55"/>
    <n v="5119.55"/>
    <n v="1000"/>
    <x v="1"/>
    <x v="0"/>
    <m/>
    <s v="okay"/>
    <x v="0"/>
    <n v="0"/>
  </r>
  <r>
    <x v="94"/>
    <x v="490"/>
    <s v="Obio-Akpor"/>
    <x v="2"/>
    <x v="3"/>
    <x v="1"/>
    <x v="2"/>
    <n v="4"/>
    <n v="68218"/>
    <n v="15"/>
    <n v="57985.3"/>
    <n v="231941.2"/>
    <n v="2000"/>
    <x v="2"/>
    <x v="0"/>
    <m/>
    <s v="okay"/>
    <x v="0"/>
    <n v="0"/>
  </r>
  <r>
    <x v="27"/>
    <x v="491"/>
    <s v="Obio-Akpor"/>
    <x v="2"/>
    <x v="10"/>
    <x v="1"/>
    <x v="4"/>
    <n v="1"/>
    <n v="68285"/>
    <n v="5"/>
    <n v="64870.75"/>
    <n v="64870.75"/>
    <n v="1500"/>
    <x v="1"/>
    <x v="0"/>
    <m/>
    <s v="okay"/>
    <x v="0"/>
    <n v="0"/>
  </r>
  <r>
    <x v="159"/>
    <x v="492"/>
    <s v="Ogbomosho"/>
    <x v="0"/>
    <x v="3"/>
    <x v="1"/>
    <x v="2"/>
    <n v="5"/>
    <n v="43196"/>
    <n v="0"/>
    <n v="43196"/>
    <n v="215980"/>
    <n v="2000"/>
    <x v="1"/>
    <x v="1"/>
    <m/>
    <s v="no comment"/>
    <x v="1"/>
    <n v="0"/>
  </r>
  <r>
    <x v="138"/>
    <x v="493"/>
    <s v="Eruwa"/>
    <x v="0"/>
    <x v="3"/>
    <x v="1"/>
    <x v="2"/>
    <n v="4"/>
    <n v="23289"/>
    <n v="0"/>
    <n v="23289"/>
    <n v="93156"/>
    <n v="2000"/>
    <x v="1"/>
    <x v="1"/>
    <m/>
    <s v="no comment"/>
    <x v="1"/>
    <n v="0"/>
  </r>
  <r>
    <x v="9"/>
    <x v="494"/>
    <s v="Lekki"/>
    <x v="3"/>
    <x v="7"/>
    <x v="2"/>
    <x v="5"/>
    <n v="1"/>
    <n v="22954"/>
    <n v="0"/>
    <n v="22954"/>
    <n v="22954"/>
    <n v="1500"/>
    <x v="1"/>
    <x v="2"/>
    <d v="2025-05-24T00:00:00"/>
    <s v="excellent"/>
    <x v="2"/>
    <n v="10"/>
  </r>
  <r>
    <x v="103"/>
    <x v="495"/>
    <s v="Eruwa"/>
    <x v="0"/>
    <x v="2"/>
    <x v="1"/>
    <x v="2"/>
    <n v="3"/>
    <n v="43142"/>
    <n v="0"/>
    <n v="43142"/>
    <n v="129426"/>
    <n v="2000"/>
    <x v="1"/>
    <x v="2"/>
    <d v="2025-05-11T00:00:00"/>
    <s v="excellent"/>
    <x v="2"/>
    <n v="4"/>
  </r>
  <r>
    <x v="24"/>
    <x v="496"/>
    <s v="Ogbomosho"/>
    <x v="0"/>
    <x v="9"/>
    <x v="2"/>
    <x v="3"/>
    <n v="2"/>
    <n v="40611"/>
    <n v="10"/>
    <n v="36549.9"/>
    <n v="73099.8"/>
    <n v="1000"/>
    <x v="1"/>
    <x v="2"/>
    <d v="2025-07-07T00:00:00"/>
    <s v="excellent"/>
    <x v="2"/>
    <n v="11"/>
  </r>
  <r>
    <x v="129"/>
    <x v="497"/>
    <s v="Port Harcourt"/>
    <x v="2"/>
    <x v="8"/>
    <x v="0"/>
    <x v="1"/>
    <n v="5"/>
    <n v="19980"/>
    <n v="0"/>
    <n v="19980"/>
    <n v="99900"/>
    <n v="2000"/>
    <x v="2"/>
    <x v="2"/>
    <d v="2025-05-28T00:00:00"/>
    <s v="excellent"/>
    <x v="2"/>
    <n v="9"/>
  </r>
  <r>
    <x v="127"/>
    <x v="498"/>
    <s v="Ikeja"/>
    <x v="3"/>
    <x v="11"/>
    <x v="0"/>
    <x v="0"/>
    <n v="3"/>
    <n v="79654"/>
    <n v="5"/>
    <n v="75671.3"/>
    <n v="227013.9"/>
    <n v="1500"/>
    <x v="1"/>
    <x v="2"/>
    <d v="2025-03-09T00:00:00"/>
    <s v="excellent"/>
    <x v="2"/>
    <n v="13"/>
  </r>
  <r>
    <x v="78"/>
    <x v="499"/>
    <s v="Lekki"/>
    <x v="3"/>
    <x v="3"/>
    <x v="1"/>
    <x v="2"/>
    <n v="3"/>
    <n v="71378"/>
    <n v="20"/>
    <n v="57102.400000000001"/>
    <n v="171307.2"/>
    <n v="2000"/>
    <x v="0"/>
    <x v="1"/>
    <m/>
    <s v="no comment"/>
    <x v="1"/>
    <n v="0"/>
  </r>
  <r>
    <x v="40"/>
    <x v="500"/>
    <s v="Asokoro"/>
    <x v="1"/>
    <x v="4"/>
    <x v="2"/>
    <x v="3"/>
    <n v="1"/>
    <n v="46777"/>
    <n v="15"/>
    <n v="39760.449999999997"/>
    <n v="39760.449999999997"/>
    <n v="2000"/>
    <x v="0"/>
    <x v="1"/>
    <m/>
    <s v="no comment"/>
    <x v="1"/>
    <n v="0"/>
  </r>
  <r>
    <x v="90"/>
    <x v="501"/>
    <s v="Obio-Akpor"/>
    <x v="2"/>
    <x v="0"/>
    <x v="0"/>
    <x v="0"/>
    <n v="4"/>
    <n v="44735"/>
    <n v="5"/>
    <n v="42498.25"/>
    <n v="169993"/>
    <n v="1500"/>
    <x v="1"/>
    <x v="1"/>
    <m/>
    <s v="no comment"/>
    <x v="1"/>
    <n v="0"/>
  </r>
  <r>
    <x v="68"/>
    <x v="502"/>
    <s v="Ogbomosho"/>
    <x v="0"/>
    <x v="10"/>
    <x v="1"/>
    <x v="4"/>
    <n v="1"/>
    <n v="22517"/>
    <n v="5"/>
    <n v="21391.15"/>
    <n v="21391.15"/>
    <n v="2000"/>
    <x v="2"/>
    <x v="2"/>
    <d v="2025-06-15T00:00:00"/>
    <s v="excellent"/>
    <x v="2"/>
    <n v="11"/>
  </r>
  <r>
    <x v="96"/>
    <x v="503"/>
    <s v="Ibadan"/>
    <x v="0"/>
    <x v="4"/>
    <x v="2"/>
    <x v="3"/>
    <n v="1"/>
    <n v="7543"/>
    <n v="20"/>
    <n v="6034.4"/>
    <n v="6034.4"/>
    <n v="1000"/>
    <x v="2"/>
    <x v="2"/>
    <d v="2025-01-16T00:00:00"/>
    <s v="excellent"/>
    <x v="2"/>
    <n v="13"/>
  </r>
  <r>
    <x v="74"/>
    <x v="504"/>
    <s v="Obio-Akpor"/>
    <x v="2"/>
    <x v="7"/>
    <x v="2"/>
    <x v="5"/>
    <n v="5"/>
    <n v="61853"/>
    <n v="10"/>
    <n v="55667.7"/>
    <n v="278338.5"/>
    <n v="1500"/>
    <x v="0"/>
    <x v="0"/>
    <m/>
    <s v="okay"/>
    <x v="0"/>
    <n v="0"/>
  </r>
  <r>
    <x v="5"/>
    <x v="505"/>
    <s v="Wuse"/>
    <x v="1"/>
    <x v="3"/>
    <x v="1"/>
    <x v="2"/>
    <n v="1"/>
    <n v="23555"/>
    <n v="10"/>
    <n v="21199.5"/>
    <n v="21199.5"/>
    <n v="1500"/>
    <x v="2"/>
    <x v="2"/>
    <d v="2025-02-15T00:00:00"/>
    <s v="excellent"/>
    <x v="2"/>
    <n v="2"/>
  </r>
  <r>
    <x v="105"/>
    <x v="506"/>
    <s v="Oyigbo"/>
    <x v="2"/>
    <x v="2"/>
    <x v="1"/>
    <x v="2"/>
    <n v="4"/>
    <n v="70640"/>
    <n v="0"/>
    <n v="70640"/>
    <n v="282560"/>
    <n v="1000"/>
    <x v="2"/>
    <x v="2"/>
    <d v="2025-01-18T00:00:00"/>
    <s v="excellent"/>
    <x v="2"/>
    <n v="4"/>
  </r>
  <r>
    <x v="59"/>
    <x v="507"/>
    <s v="Iseyin"/>
    <x v="0"/>
    <x v="10"/>
    <x v="1"/>
    <x v="4"/>
    <n v="3"/>
    <n v="78465"/>
    <n v="5"/>
    <n v="74541.75"/>
    <n v="223625.25"/>
    <n v="1500"/>
    <x v="0"/>
    <x v="2"/>
    <d v="2025-03-13T00:00:00"/>
    <s v="excellent"/>
    <x v="2"/>
    <n v="6"/>
  </r>
  <r>
    <x v="33"/>
    <x v="508"/>
    <s v="Ogbomosho"/>
    <x v="0"/>
    <x v="4"/>
    <x v="2"/>
    <x v="3"/>
    <n v="4"/>
    <n v="53347"/>
    <n v="15"/>
    <n v="45344.95"/>
    <n v="181379.8"/>
    <n v="1500"/>
    <x v="1"/>
    <x v="0"/>
    <m/>
    <s v="okay"/>
    <x v="0"/>
    <n v="0"/>
  </r>
  <r>
    <x v="120"/>
    <x v="509"/>
    <s v="Obio-Akpor"/>
    <x v="2"/>
    <x v="10"/>
    <x v="1"/>
    <x v="4"/>
    <n v="2"/>
    <n v="50162"/>
    <n v="20"/>
    <n v="40129.599999999999"/>
    <n v="80259.199999999997"/>
    <n v="1500"/>
    <x v="2"/>
    <x v="0"/>
    <m/>
    <s v="okay"/>
    <x v="0"/>
    <n v="0"/>
  </r>
  <r>
    <x v="175"/>
    <x v="510"/>
    <s v="Bonny"/>
    <x v="2"/>
    <x v="9"/>
    <x v="2"/>
    <x v="3"/>
    <n v="4"/>
    <n v="4083"/>
    <n v="20"/>
    <n v="3266.4"/>
    <n v="13065.6"/>
    <n v="1500"/>
    <x v="1"/>
    <x v="0"/>
    <m/>
    <s v="okay"/>
    <x v="0"/>
    <n v="0"/>
  </r>
  <r>
    <x v="176"/>
    <x v="511"/>
    <s v="Port Harcourt"/>
    <x v="2"/>
    <x v="7"/>
    <x v="2"/>
    <x v="5"/>
    <n v="2"/>
    <n v="47691"/>
    <n v="15"/>
    <n v="40537.35"/>
    <n v="81074.7"/>
    <n v="2000"/>
    <x v="0"/>
    <x v="0"/>
    <m/>
    <s v="okay"/>
    <x v="0"/>
    <n v="0"/>
  </r>
  <r>
    <x v="177"/>
    <x v="512"/>
    <s v="Ikeja"/>
    <x v="3"/>
    <x v="8"/>
    <x v="0"/>
    <x v="1"/>
    <n v="2"/>
    <n v="7890"/>
    <n v="20"/>
    <n v="6312"/>
    <n v="12624"/>
    <n v="2000"/>
    <x v="1"/>
    <x v="1"/>
    <m/>
    <s v="no comment"/>
    <x v="1"/>
    <n v="0"/>
  </r>
  <r>
    <x v="44"/>
    <x v="513"/>
    <s v="Oyigbo"/>
    <x v="2"/>
    <x v="11"/>
    <x v="0"/>
    <x v="0"/>
    <n v="1"/>
    <n v="26695"/>
    <n v="0"/>
    <n v="26695"/>
    <n v="26695"/>
    <n v="1000"/>
    <x v="0"/>
    <x v="2"/>
    <d v="2025-03-12T00:00:00"/>
    <s v="excellent"/>
    <x v="2"/>
    <n v="12"/>
  </r>
  <r>
    <x v="112"/>
    <x v="514"/>
    <s v="Oyigbo"/>
    <x v="2"/>
    <x v="7"/>
    <x v="2"/>
    <x v="5"/>
    <n v="5"/>
    <n v="30823"/>
    <n v="5"/>
    <n v="29281.85"/>
    <n v="146409.25"/>
    <n v="2000"/>
    <x v="0"/>
    <x v="1"/>
    <m/>
    <s v="no comment"/>
    <x v="1"/>
    <n v="0"/>
  </r>
  <r>
    <x v="97"/>
    <x v="515"/>
    <s v="Asokoro"/>
    <x v="1"/>
    <x v="3"/>
    <x v="1"/>
    <x v="2"/>
    <n v="4"/>
    <n v="37839"/>
    <n v="20"/>
    <n v="30271.200000000001"/>
    <n v="121084.8"/>
    <n v="1500"/>
    <x v="1"/>
    <x v="2"/>
    <d v="2025-02-27T00:00:00"/>
    <s v="excellent"/>
    <x v="2"/>
    <n v="8"/>
  </r>
  <r>
    <x v="157"/>
    <x v="516"/>
    <s v="Eruwa"/>
    <x v="0"/>
    <x v="6"/>
    <x v="2"/>
    <x v="5"/>
    <n v="3"/>
    <n v="51713"/>
    <n v="20"/>
    <n v="41370.400000000001"/>
    <n v="124111.2"/>
    <n v="2000"/>
    <x v="2"/>
    <x v="1"/>
    <m/>
    <s v="no comment"/>
    <x v="1"/>
    <n v="0"/>
  </r>
  <r>
    <x v="21"/>
    <x v="517"/>
    <s v="Gwarinpa"/>
    <x v="1"/>
    <x v="8"/>
    <x v="0"/>
    <x v="1"/>
    <n v="3"/>
    <n v="22052"/>
    <n v="10"/>
    <n v="19846.8"/>
    <n v="59540.399999999987"/>
    <n v="1500"/>
    <x v="1"/>
    <x v="0"/>
    <m/>
    <s v="okay"/>
    <x v="0"/>
    <n v="0"/>
  </r>
  <r>
    <x v="11"/>
    <x v="518"/>
    <s v="Eruwa"/>
    <x v="0"/>
    <x v="11"/>
    <x v="0"/>
    <x v="0"/>
    <n v="3"/>
    <n v="23019"/>
    <n v="10"/>
    <n v="19566.150000000001"/>
    <n v="58698.45"/>
    <n v="1000"/>
    <x v="1"/>
    <x v="2"/>
    <d v="2025-02-09T00:00:00"/>
    <s v="excellent"/>
    <x v="2"/>
    <n v="7"/>
  </r>
  <r>
    <x v="16"/>
    <x v="519"/>
    <s v="Surulere"/>
    <x v="3"/>
    <x v="1"/>
    <x v="0"/>
    <x v="1"/>
    <n v="2"/>
    <n v="56562"/>
    <n v="20"/>
    <n v="45249.599999999999"/>
    <n v="90499.199999999997"/>
    <n v="1500"/>
    <x v="0"/>
    <x v="0"/>
    <m/>
    <s v="okay"/>
    <x v="0"/>
    <n v="0"/>
  </r>
  <r>
    <x v="100"/>
    <x v="520"/>
    <s v="Maitama"/>
    <x v="1"/>
    <x v="6"/>
    <x v="2"/>
    <x v="5"/>
    <n v="1"/>
    <n v="24888"/>
    <n v="10"/>
    <n v="22399.200000000001"/>
    <n v="22399.200000000001"/>
    <n v="1000"/>
    <x v="1"/>
    <x v="2"/>
    <d v="2025-06-08T00:00:00"/>
    <s v="excellent"/>
    <x v="2"/>
    <n v="3"/>
  </r>
  <r>
    <x v="54"/>
    <x v="521"/>
    <s v="Ikeja"/>
    <x v="3"/>
    <x v="1"/>
    <x v="0"/>
    <x v="1"/>
    <n v="3"/>
    <n v="30722"/>
    <n v="15"/>
    <n v="26113.7"/>
    <n v="78341.100000000006"/>
    <n v="1000"/>
    <x v="2"/>
    <x v="2"/>
    <d v="2025-05-28T00:00:00"/>
    <s v="excellent"/>
    <x v="2"/>
    <n v="2"/>
  </r>
  <r>
    <x v="23"/>
    <x v="522"/>
    <s v="Asokoro"/>
    <x v="1"/>
    <x v="6"/>
    <x v="2"/>
    <x v="5"/>
    <n v="4"/>
    <n v="5397"/>
    <n v="15"/>
    <n v="4587.45"/>
    <n v="18349.8"/>
    <n v="1500"/>
    <x v="1"/>
    <x v="1"/>
    <m/>
    <s v="no comment"/>
    <x v="1"/>
    <n v="0"/>
  </r>
  <r>
    <x v="124"/>
    <x v="523"/>
    <s v="Asokoro"/>
    <x v="1"/>
    <x v="3"/>
    <x v="1"/>
    <x v="2"/>
    <n v="5"/>
    <n v="53933"/>
    <n v="10"/>
    <n v="48539.7"/>
    <n v="242698.5"/>
    <n v="1000"/>
    <x v="1"/>
    <x v="0"/>
    <m/>
    <s v="okay"/>
    <x v="0"/>
    <n v="0"/>
  </r>
  <r>
    <x v="92"/>
    <x v="524"/>
    <s v="Oyigbo"/>
    <x v="2"/>
    <x v="2"/>
    <x v="1"/>
    <x v="2"/>
    <n v="1"/>
    <n v="45935"/>
    <n v="5"/>
    <n v="43638.25"/>
    <n v="43638.25"/>
    <n v="1000"/>
    <x v="2"/>
    <x v="1"/>
    <m/>
    <s v="no comment"/>
    <x v="1"/>
    <n v="0"/>
  </r>
  <r>
    <x v="93"/>
    <x v="525"/>
    <s v="Iseyin"/>
    <x v="0"/>
    <x v="11"/>
    <x v="0"/>
    <x v="0"/>
    <n v="2"/>
    <n v="43726"/>
    <n v="10"/>
    <n v="39353.4"/>
    <n v="78706.8"/>
    <n v="1000"/>
    <x v="2"/>
    <x v="1"/>
    <m/>
    <s v="no comment"/>
    <x v="1"/>
    <n v="0"/>
  </r>
  <r>
    <x v="156"/>
    <x v="526"/>
    <s v="Bonny"/>
    <x v="2"/>
    <x v="10"/>
    <x v="1"/>
    <x v="4"/>
    <n v="4"/>
    <n v="44943"/>
    <n v="20"/>
    <n v="35954.400000000001"/>
    <n v="143817.60000000001"/>
    <n v="1000"/>
    <x v="2"/>
    <x v="2"/>
    <d v="2025-01-17T00:00:00"/>
    <s v="excellent"/>
    <x v="2"/>
    <n v="13"/>
  </r>
  <r>
    <x v="56"/>
    <x v="527"/>
    <s v="Asokoro"/>
    <x v="1"/>
    <x v="6"/>
    <x v="2"/>
    <x v="5"/>
    <n v="4"/>
    <n v="8891"/>
    <n v="10"/>
    <n v="7557.35"/>
    <n v="30229.4"/>
    <n v="1500"/>
    <x v="0"/>
    <x v="0"/>
    <m/>
    <s v="okay"/>
    <x v="0"/>
    <n v="0"/>
  </r>
  <r>
    <x v="176"/>
    <x v="528"/>
    <s v="Ikeja"/>
    <x v="3"/>
    <x v="7"/>
    <x v="2"/>
    <x v="5"/>
    <n v="4"/>
    <n v="7092"/>
    <n v="15"/>
    <n v="6028.2"/>
    <n v="24112.799999999999"/>
    <n v="1500"/>
    <x v="2"/>
    <x v="1"/>
    <m/>
    <s v="no comment"/>
    <x v="1"/>
    <n v="0"/>
  </r>
  <r>
    <x v="99"/>
    <x v="529"/>
    <s v="Wuse"/>
    <x v="1"/>
    <x v="8"/>
    <x v="0"/>
    <x v="1"/>
    <n v="3"/>
    <n v="45461"/>
    <n v="5"/>
    <n v="43187.95"/>
    <n v="129563.85"/>
    <n v="2000"/>
    <x v="2"/>
    <x v="2"/>
    <d v="2025-01-31T00:00:00"/>
    <s v="excellent"/>
    <x v="2"/>
    <n v="6"/>
  </r>
  <r>
    <x v="144"/>
    <x v="530"/>
    <s v="Ibadan"/>
    <x v="0"/>
    <x v="2"/>
    <x v="1"/>
    <x v="2"/>
    <n v="1"/>
    <n v="47083"/>
    <n v="15"/>
    <n v="40020.550000000003"/>
    <n v="40020.550000000003"/>
    <n v="1000"/>
    <x v="1"/>
    <x v="1"/>
    <m/>
    <s v="no comment"/>
    <x v="1"/>
    <n v="0"/>
  </r>
  <r>
    <x v="142"/>
    <x v="531"/>
    <s v="Port Harcourt"/>
    <x v="2"/>
    <x v="3"/>
    <x v="1"/>
    <x v="2"/>
    <n v="3"/>
    <n v="37070"/>
    <n v="15"/>
    <n v="31509.5"/>
    <n v="94528.5"/>
    <n v="1000"/>
    <x v="0"/>
    <x v="2"/>
    <d v="2025-04-27T00:00:00"/>
    <s v="excellent"/>
    <x v="2"/>
    <n v="5"/>
  </r>
  <r>
    <x v="76"/>
    <x v="532"/>
    <s v="Surulere"/>
    <x v="3"/>
    <x v="8"/>
    <x v="0"/>
    <x v="1"/>
    <n v="5"/>
    <n v="12785"/>
    <n v="10"/>
    <n v="11506.5"/>
    <n v="57532.5"/>
    <n v="1500"/>
    <x v="1"/>
    <x v="0"/>
    <m/>
    <s v="okay"/>
    <x v="0"/>
    <n v="0"/>
  </r>
  <r>
    <x v="39"/>
    <x v="533"/>
    <s v="Gwarinpa"/>
    <x v="1"/>
    <x v="8"/>
    <x v="0"/>
    <x v="1"/>
    <n v="5"/>
    <n v="44586"/>
    <n v="20"/>
    <n v="35668.800000000003"/>
    <n v="178344"/>
    <n v="1000"/>
    <x v="2"/>
    <x v="0"/>
    <m/>
    <s v="okay"/>
    <x v="0"/>
    <n v="0"/>
  </r>
  <r>
    <x v="171"/>
    <x v="534"/>
    <s v="Iseyin"/>
    <x v="0"/>
    <x v="8"/>
    <x v="0"/>
    <x v="1"/>
    <n v="2"/>
    <n v="51551"/>
    <n v="5"/>
    <n v="48973.45"/>
    <n v="97946.9"/>
    <n v="2000"/>
    <x v="1"/>
    <x v="1"/>
    <m/>
    <s v="no comment"/>
    <x v="1"/>
    <n v="0"/>
  </r>
  <r>
    <x v="21"/>
    <x v="535"/>
    <s v="Wuse"/>
    <x v="1"/>
    <x v="11"/>
    <x v="0"/>
    <x v="0"/>
    <n v="4"/>
    <n v="61892"/>
    <n v="0"/>
    <n v="61892"/>
    <n v="247568"/>
    <n v="2000"/>
    <x v="1"/>
    <x v="0"/>
    <m/>
    <s v="okay"/>
    <x v="0"/>
    <n v="0"/>
  </r>
  <r>
    <x v="178"/>
    <x v="536"/>
    <s v="Port Harcourt"/>
    <x v="2"/>
    <x v="10"/>
    <x v="1"/>
    <x v="4"/>
    <n v="5"/>
    <n v="42791"/>
    <n v="5"/>
    <n v="40651.449999999997"/>
    <n v="203257.25"/>
    <n v="1500"/>
    <x v="2"/>
    <x v="1"/>
    <m/>
    <s v="no comment"/>
    <x v="1"/>
    <n v="0"/>
  </r>
  <r>
    <x v="171"/>
    <x v="537"/>
    <s v="Ibadan"/>
    <x v="0"/>
    <x v="0"/>
    <x v="0"/>
    <x v="0"/>
    <n v="2"/>
    <n v="17459"/>
    <n v="10"/>
    <n v="16586.05"/>
    <n v="33172.1"/>
    <n v="2000"/>
    <x v="1"/>
    <x v="0"/>
    <m/>
    <s v="okay"/>
    <x v="0"/>
    <n v="0"/>
  </r>
  <r>
    <x v="114"/>
    <x v="538"/>
    <s v="Asokoro"/>
    <x v="1"/>
    <x v="0"/>
    <x v="0"/>
    <x v="0"/>
    <n v="5"/>
    <n v="14191"/>
    <n v="15"/>
    <n v="12062.35"/>
    <n v="60311.75"/>
    <n v="1500"/>
    <x v="1"/>
    <x v="2"/>
    <d v="2025-01-24T00:00:00"/>
    <s v="excellent"/>
    <x v="2"/>
    <n v="14"/>
  </r>
  <r>
    <x v="168"/>
    <x v="539"/>
    <s v="Wuse"/>
    <x v="1"/>
    <x v="2"/>
    <x v="1"/>
    <x v="2"/>
    <n v="3"/>
    <n v="35924"/>
    <n v="0"/>
    <n v="35924"/>
    <n v="107772"/>
    <n v="1500"/>
    <x v="1"/>
    <x v="1"/>
    <m/>
    <s v="no comment"/>
    <x v="1"/>
    <n v="0"/>
  </r>
  <r>
    <x v="166"/>
    <x v="540"/>
    <s v="Yaba"/>
    <x v="3"/>
    <x v="9"/>
    <x v="2"/>
    <x v="3"/>
    <n v="5"/>
    <n v="2188"/>
    <n v="20"/>
    <n v="1750.4"/>
    <n v="8752"/>
    <n v="1000"/>
    <x v="1"/>
    <x v="0"/>
    <m/>
    <s v="okay"/>
    <x v="0"/>
    <n v="0"/>
  </r>
  <r>
    <x v="33"/>
    <x v="541"/>
    <s v="Ikeja"/>
    <x v="3"/>
    <x v="4"/>
    <x v="2"/>
    <x v="3"/>
    <n v="2"/>
    <n v="75409"/>
    <n v="5"/>
    <n v="71638.55"/>
    <n v="143277.1"/>
    <n v="2000"/>
    <x v="2"/>
    <x v="1"/>
    <m/>
    <s v="no comment"/>
    <x v="1"/>
    <n v="0"/>
  </r>
  <r>
    <x v="22"/>
    <x v="542"/>
    <s v="Gwarinpa"/>
    <x v="1"/>
    <x v="7"/>
    <x v="2"/>
    <x v="5"/>
    <n v="3"/>
    <n v="75922"/>
    <n v="20"/>
    <n v="60737.599999999999"/>
    <n v="182212.8"/>
    <n v="1500"/>
    <x v="0"/>
    <x v="2"/>
    <d v="2025-07-06T00:00:00"/>
    <s v="excellent"/>
    <x v="2"/>
    <n v="13"/>
  </r>
  <r>
    <x v="25"/>
    <x v="543"/>
    <s v="Eruwa"/>
    <x v="0"/>
    <x v="8"/>
    <x v="0"/>
    <x v="1"/>
    <n v="3"/>
    <n v="49408"/>
    <n v="5"/>
    <n v="46937.599999999999"/>
    <n v="140812.79999999999"/>
    <n v="1500"/>
    <x v="0"/>
    <x v="0"/>
    <m/>
    <s v="okay"/>
    <x v="0"/>
    <n v="0"/>
  </r>
  <r>
    <x v="152"/>
    <x v="544"/>
    <s v="Obio-Akpor"/>
    <x v="2"/>
    <x v="7"/>
    <x v="2"/>
    <x v="5"/>
    <n v="5"/>
    <n v="42712"/>
    <n v="5"/>
    <n v="40576.400000000001"/>
    <n v="202882"/>
    <n v="2000"/>
    <x v="0"/>
    <x v="0"/>
    <m/>
    <s v="okay"/>
    <x v="0"/>
    <n v="0"/>
  </r>
  <r>
    <x v="128"/>
    <x v="545"/>
    <s v="Iseyin"/>
    <x v="0"/>
    <x v="8"/>
    <x v="0"/>
    <x v="1"/>
    <n v="5"/>
    <n v="12439"/>
    <n v="20"/>
    <n v="9951.2000000000007"/>
    <n v="49756"/>
    <n v="2000"/>
    <x v="2"/>
    <x v="2"/>
    <d v="2025-04-26T00:00:00"/>
    <s v="excellent"/>
    <x v="2"/>
    <n v="9"/>
  </r>
  <r>
    <x v="143"/>
    <x v="546"/>
    <s v="Oyigbo"/>
    <x v="2"/>
    <x v="11"/>
    <x v="0"/>
    <x v="0"/>
    <n v="4"/>
    <n v="31140"/>
    <n v="10"/>
    <n v="28026"/>
    <n v="112104"/>
    <n v="1500"/>
    <x v="1"/>
    <x v="1"/>
    <m/>
    <s v="no comment"/>
    <x v="1"/>
    <n v="0"/>
  </r>
  <r>
    <x v="49"/>
    <x v="282"/>
    <s v="Gwarinpa"/>
    <x v="1"/>
    <x v="7"/>
    <x v="2"/>
    <x v="5"/>
    <n v="1"/>
    <n v="63297"/>
    <n v="5"/>
    <n v="60132.15"/>
    <n v="60132.15"/>
    <n v="2000"/>
    <x v="0"/>
    <x v="2"/>
    <d v="2025-02-28T00:00:00"/>
    <s v="excellent"/>
    <x v="2"/>
    <n v="3"/>
  </r>
  <r>
    <x v="20"/>
    <x v="547"/>
    <s v="Lekki"/>
    <x v="3"/>
    <x v="11"/>
    <x v="0"/>
    <x v="0"/>
    <n v="2"/>
    <n v="14916"/>
    <n v="20"/>
    <n v="11932.8"/>
    <n v="23865.599999999999"/>
    <n v="2000"/>
    <x v="2"/>
    <x v="1"/>
    <m/>
    <s v="no comment"/>
    <x v="1"/>
    <n v="0"/>
  </r>
  <r>
    <x v="45"/>
    <x v="548"/>
    <s v="Wuse"/>
    <x v="1"/>
    <x v="0"/>
    <x v="0"/>
    <x v="0"/>
    <n v="4"/>
    <n v="37087"/>
    <n v="15"/>
    <n v="31523.95"/>
    <n v="126095.8"/>
    <n v="1000"/>
    <x v="1"/>
    <x v="1"/>
    <m/>
    <s v="no comment"/>
    <x v="1"/>
    <n v="0"/>
  </r>
  <r>
    <x v="14"/>
    <x v="549"/>
    <s v="Ikeja"/>
    <x v="3"/>
    <x v="9"/>
    <x v="2"/>
    <x v="3"/>
    <n v="4"/>
    <n v="15814"/>
    <n v="15"/>
    <n v="13441.9"/>
    <n v="53767.6"/>
    <n v="2000"/>
    <x v="1"/>
    <x v="0"/>
    <m/>
    <s v="okay"/>
    <x v="0"/>
    <n v="0"/>
  </r>
  <r>
    <x v="140"/>
    <x v="550"/>
    <s v="Lekki"/>
    <x v="3"/>
    <x v="10"/>
    <x v="1"/>
    <x v="4"/>
    <n v="1"/>
    <n v="79201"/>
    <n v="15"/>
    <n v="67320.850000000006"/>
    <n v="67320.850000000006"/>
    <n v="2000"/>
    <x v="2"/>
    <x v="0"/>
    <m/>
    <s v="okay"/>
    <x v="0"/>
    <n v="0"/>
  </r>
  <r>
    <x v="102"/>
    <x v="551"/>
    <s v="Surulere"/>
    <x v="3"/>
    <x v="6"/>
    <x v="2"/>
    <x v="5"/>
    <n v="5"/>
    <n v="9706"/>
    <n v="15"/>
    <n v="8250.1"/>
    <n v="41250.5"/>
    <n v="1500"/>
    <x v="0"/>
    <x v="1"/>
    <m/>
    <s v="no comment"/>
    <x v="1"/>
    <n v="0"/>
  </r>
  <r>
    <x v="65"/>
    <x v="552"/>
    <s v="Gwarinpa"/>
    <x v="1"/>
    <x v="5"/>
    <x v="1"/>
    <x v="4"/>
    <n v="5"/>
    <n v="8444"/>
    <n v="0"/>
    <n v="8444"/>
    <n v="42220"/>
    <n v="2000"/>
    <x v="0"/>
    <x v="0"/>
    <m/>
    <s v="okay"/>
    <x v="0"/>
    <n v="0"/>
  </r>
  <r>
    <x v="9"/>
    <x v="553"/>
    <s v="Maitama"/>
    <x v="1"/>
    <x v="9"/>
    <x v="2"/>
    <x v="3"/>
    <n v="4"/>
    <n v="66284"/>
    <n v="10"/>
    <n v="59655.6"/>
    <n v="238622.4"/>
    <n v="2000"/>
    <x v="0"/>
    <x v="0"/>
    <m/>
    <s v="okay"/>
    <x v="0"/>
    <n v="0"/>
  </r>
  <r>
    <x v="79"/>
    <x v="554"/>
    <s v="Gwarinpa"/>
    <x v="1"/>
    <x v="3"/>
    <x v="1"/>
    <x v="2"/>
    <n v="3"/>
    <n v="78724"/>
    <n v="15"/>
    <n v="66915.399999999994"/>
    <n v="200746.2"/>
    <n v="2000"/>
    <x v="0"/>
    <x v="2"/>
    <d v="2025-03-19T00:00:00"/>
    <s v="excellent"/>
    <x v="2"/>
    <n v="5"/>
  </r>
  <r>
    <x v="137"/>
    <x v="555"/>
    <s v="Obio-Akpor"/>
    <x v="2"/>
    <x v="2"/>
    <x v="1"/>
    <x v="2"/>
    <n v="4"/>
    <n v="32122"/>
    <n v="5"/>
    <n v="30515.9"/>
    <n v="122063.6"/>
    <n v="1000"/>
    <x v="0"/>
    <x v="1"/>
    <m/>
    <s v="no comment"/>
    <x v="1"/>
    <n v="0"/>
  </r>
  <r>
    <x v="16"/>
    <x v="556"/>
    <s v="Wuse"/>
    <x v="1"/>
    <x v="6"/>
    <x v="2"/>
    <x v="5"/>
    <n v="4"/>
    <n v="56933"/>
    <n v="10"/>
    <n v="51239.7"/>
    <n v="204958.8"/>
    <n v="2000"/>
    <x v="1"/>
    <x v="2"/>
    <d v="2025-02-03T00:00:00"/>
    <s v="excellent"/>
    <x v="2"/>
    <n v="10"/>
  </r>
  <r>
    <x v="179"/>
    <x v="557"/>
    <s v="Ibadan"/>
    <x v="0"/>
    <x v="6"/>
    <x v="2"/>
    <x v="5"/>
    <n v="1"/>
    <n v="35293"/>
    <n v="0"/>
    <n v="35293"/>
    <n v="35293"/>
    <n v="1000"/>
    <x v="1"/>
    <x v="0"/>
    <m/>
    <s v="okay"/>
    <x v="0"/>
    <n v="0"/>
  </r>
  <r>
    <x v="80"/>
    <x v="558"/>
    <s v="Maitama"/>
    <x v="1"/>
    <x v="2"/>
    <x v="1"/>
    <x v="2"/>
    <n v="2"/>
    <n v="19336"/>
    <n v="10"/>
    <n v="17402.400000000001"/>
    <n v="34804.800000000003"/>
    <n v="1500"/>
    <x v="0"/>
    <x v="0"/>
    <m/>
    <s v="okay"/>
    <x v="0"/>
    <n v="0"/>
  </r>
  <r>
    <x v="177"/>
    <x v="559"/>
    <s v="Obio-Akpor"/>
    <x v="2"/>
    <x v="6"/>
    <x v="2"/>
    <x v="5"/>
    <n v="4"/>
    <n v="47427"/>
    <n v="10"/>
    <n v="42684.3"/>
    <n v="170737.2"/>
    <n v="1000"/>
    <x v="0"/>
    <x v="1"/>
    <m/>
    <s v="no comment"/>
    <x v="1"/>
    <n v="0"/>
  </r>
  <r>
    <x v="69"/>
    <x v="560"/>
    <s v="Bonny"/>
    <x v="2"/>
    <x v="1"/>
    <x v="0"/>
    <x v="1"/>
    <n v="5"/>
    <n v="15357"/>
    <n v="0"/>
    <n v="15357"/>
    <n v="76785"/>
    <n v="1000"/>
    <x v="2"/>
    <x v="1"/>
    <m/>
    <s v="no comment"/>
    <x v="1"/>
    <n v="0"/>
  </r>
  <r>
    <x v="8"/>
    <x v="561"/>
    <s v="Bonny"/>
    <x v="2"/>
    <x v="11"/>
    <x v="0"/>
    <x v="0"/>
    <n v="2"/>
    <n v="59743"/>
    <n v="0"/>
    <n v="59743"/>
    <n v="119486"/>
    <n v="1000"/>
    <x v="0"/>
    <x v="2"/>
    <d v="2025-04-01T00:00:00"/>
    <s v="excellent"/>
    <x v="2"/>
    <n v="4"/>
  </r>
  <r>
    <x v="135"/>
    <x v="562"/>
    <s v="Iseyin"/>
    <x v="0"/>
    <x v="11"/>
    <x v="0"/>
    <x v="0"/>
    <n v="5"/>
    <n v="19954"/>
    <n v="0"/>
    <n v="19954"/>
    <n v="99770"/>
    <n v="1000"/>
    <x v="0"/>
    <x v="0"/>
    <m/>
    <s v="okay"/>
    <x v="0"/>
    <n v="0"/>
  </r>
  <r>
    <x v="22"/>
    <x v="563"/>
    <s v="Obio-Akpor"/>
    <x v="2"/>
    <x v="1"/>
    <x v="0"/>
    <x v="1"/>
    <n v="2"/>
    <n v="42315"/>
    <n v="0"/>
    <n v="42315"/>
    <n v="84630"/>
    <n v="1000"/>
    <x v="1"/>
    <x v="0"/>
    <m/>
    <s v="okay"/>
    <x v="0"/>
    <n v="0"/>
  </r>
  <r>
    <x v="149"/>
    <x v="564"/>
    <s v="Wuse"/>
    <x v="1"/>
    <x v="9"/>
    <x v="2"/>
    <x v="3"/>
    <n v="5"/>
    <n v="8684"/>
    <n v="5"/>
    <n v="8249.7999999999993"/>
    <n v="41249"/>
    <n v="2000"/>
    <x v="0"/>
    <x v="2"/>
    <d v="2025-02-01T00:00:00"/>
    <s v="excellent"/>
    <x v="2"/>
    <n v="2"/>
  </r>
  <r>
    <x v="114"/>
    <x v="565"/>
    <s v="Asokoro"/>
    <x v="1"/>
    <x v="8"/>
    <x v="0"/>
    <x v="1"/>
    <n v="5"/>
    <n v="65913"/>
    <n v="20"/>
    <n v="52730.400000000001"/>
    <n v="263652"/>
    <n v="2000"/>
    <x v="1"/>
    <x v="0"/>
    <m/>
    <s v="okay"/>
    <x v="0"/>
    <n v="0"/>
  </r>
  <r>
    <x v="82"/>
    <x v="566"/>
    <s v="Bonny"/>
    <x v="2"/>
    <x v="0"/>
    <x v="0"/>
    <x v="0"/>
    <n v="4"/>
    <n v="14453"/>
    <n v="10"/>
    <n v="13007.7"/>
    <n v="52030.8"/>
    <n v="1500"/>
    <x v="2"/>
    <x v="1"/>
    <m/>
    <s v="no comment"/>
    <x v="1"/>
    <n v="0"/>
  </r>
  <r>
    <x v="156"/>
    <x v="567"/>
    <s v="Ogbomosho"/>
    <x v="0"/>
    <x v="9"/>
    <x v="2"/>
    <x v="3"/>
    <n v="5"/>
    <n v="41883"/>
    <n v="20"/>
    <n v="33506.400000000001"/>
    <n v="167532"/>
    <n v="1000"/>
    <x v="0"/>
    <x v="1"/>
    <m/>
    <s v="no comment"/>
    <x v="1"/>
    <n v="0"/>
  </r>
  <r>
    <x v="149"/>
    <x v="568"/>
    <s v="Ogbomosho"/>
    <x v="0"/>
    <x v="4"/>
    <x v="2"/>
    <x v="3"/>
    <n v="3"/>
    <n v="61013"/>
    <n v="15"/>
    <n v="51861.05"/>
    <n v="155583.15"/>
    <n v="1000"/>
    <x v="0"/>
    <x v="0"/>
    <m/>
    <s v="okay"/>
    <x v="0"/>
    <n v="0"/>
  </r>
  <r>
    <x v="132"/>
    <x v="569"/>
    <s v="Ibadan"/>
    <x v="0"/>
    <x v="5"/>
    <x v="1"/>
    <x v="4"/>
    <n v="2"/>
    <n v="74300"/>
    <n v="5"/>
    <n v="70585"/>
    <n v="141170"/>
    <n v="1500"/>
    <x v="0"/>
    <x v="1"/>
    <m/>
    <s v="no comment"/>
    <x v="1"/>
    <n v="0"/>
  </r>
  <r>
    <x v="106"/>
    <x v="570"/>
    <s v="Yaba"/>
    <x v="3"/>
    <x v="0"/>
    <x v="0"/>
    <x v="0"/>
    <n v="2"/>
    <n v="16742"/>
    <n v="15"/>
    <n v="14230.7"/>
    <n v="28461.4"/>
    <n v="1000"/>
    <x v="2"/>
    <x v="0"/>
    <m/>
    <s v="okay"/>
    <x v="0"/>
    <n v="0"/>
  </r>
  <r>
    <x v="153"/>
    <x v="571"/>
    <s v="Port Harcourt"/>
    <x v="2"/>
    <x v="1"/>
    <x v="0"/>
    <x v="1"/>
    <n v="5"/>
    <n v="61232"/>
    <n v="10"/>
    <n v="55108.800000000003"/>
    <n v="275544"/>
    <n v="1500"/>
    <x v="2"/>
    <x v="1"/>
    <m/>
    <s v="no comment"/>
    <x v="1"/>
    <n v="0"/>
  </r>
  <r>
    <x v="117"/>
    <x v="572"/>
    <s v="Ibadan"/>
    <x v="0"/>
    <x v="3"/>
    <x v="1"/>
    <x v="2"/>
    <n v="3"/>
    <n v="61837"/>
    <n v="10"/>
    <n v="55653.3"/>
    <n v="166959.9"/>
    <n v="1500"/>
    <x v="2"/>
    <x v="2"/>
    <d v="2025-03-17T00:00:00"/>
    <s v="excellent"/>
    <x v="2"/>
    <n v="13"/>
  </r>
  <r>
    <x v="112"/>
    <x v="573"/>
    <s v="Wuse"/>
    <x v="1"/>
    <x v="9"/>
    <x v="2"/>
    <x v="3"/>
    <n v="5"/>
    <n v="20829"/>
    <n v="10"/>
    <n v="18746.099999999999"/>
    <n v="93730.5"/>
    <n v="2000"/>
    <x v="2"/>
    <x v="1"/>
    <m/>
    <s v="no comment"/>
    <x v="1"/>
    <n v="0"/>
  </r>
  <r>
    <x v="52"/>
    <x v="574"/>
    <s v="Wuse"/>
    <x v="1"/>
    <x v="0"/>
    <x v="0"/>
    <x v="0"/>
    <n v="5"/>
    <n v="23655"/>
    <n v="5"/>
    <n v="22472.25"/>
    <n v="112361.25"/>
    <n v="1000"/>
    <x v="1"/>
    <x v="2"/>
    <d v="2025-06-28T00:00:00"/>
    <s v="excellent"/>
    <x v="2"/>
    <n v="6"/>
  </r>
  <r>
    <x v="134"/>
    <x v="575"/>
    <s v="Gwarinpa"/>
    <x v="1"/>
    <x v="9"/>
    <x v="2"/>
    <x v="3"/>
    <n v="5"/>
    <n v="59059"/>
    <n v="10"/>
    <n v="53153.1"/>
    <n v="265765.5"/>
    <n v="1000"/>
    <x v="0"/>
    <x v="1"/>
    <m/>
    <s v="no comment"/>
    <x v="1"/>
    <n v="0"/>
  </r>
  <r>
    <x v="174"/>
    <x v="576"/>
    <s v="Ibadan"/>
    <x v="0"/>
    <x v="0"/>
    <x v="0"/>
    <x v="0"/>
    <n v="3"/>
    <n v="7012"/>
    <n v="10"/>
    <n v="6310.8"/>
    <n v="18932.400000000001"/>
    <n v="2000"/>
    <x v="0"/>
    <x v="1"/>
    <m/>
    <s v="no comment"/>
    <x v="1"/>
    <n v="0"/>
  </r>
  <r>
    <x v="53"/>
    <x v="577"/>
    <s v="Surulere"/>
    <x v="3"/>
    <x v="8"/>
    <x v="0"/>
    <x v="1"/>
    <n v="4"/>
    <n v="61072"/>
    <n v="20"/>
    <n v="48857.599999999999"/>
    <n v="195430.39999999999"/>
    <n v="2000"/>
    <x v="1"/>
    <x v="0"/>
    <m/>
    <s v="okay"/>
    <x v="0"/>
    <n v="0"/>
  </r>
  <r>
    <x v="135"/>
    <x v="578"/>
    <s v="Surulere"/>
    <x v="3"/>
    <x v="9"/>
    <x v="2"/>
    <x v="3"/>
    <n v="2"/>
    <n v="24845"/>
    <n v="0"/>
    <n v="24845"/>
    <n v="49690"/>
    <n v="1500"/>
    <x v="1"/>
    <x v="1"/>
    <m/>
    <s v="no comment"/>
    <x v="1"/>
    <n v="0"/>
  </r>
  <r>
    <x v="171"/>
    <x v="579"/>
    <s v="Iseyin"/>
    <x v="0"/>
    <x v="0"/>
    <x v="0"/>
    <x v="0"/>
    <n v="4"/>
    <n v="49393"/>
    <n v="15"/>
    <n v="41984.05"/>
    <n v="167936.2"/>
    <n v="2000"/>
    <x v="0"/>
    <x v="0"/>
    <m/>
    <s v="okay"/>
    <x v="0"/>
    <n v="0"/>
  </r>
  <r>
    <x v="154"/>
    <x v="580"/>
    <s v="Port Harcourt"/>
    <x v="2"/>
    <x v="7"/>
    <x v="2"/>
    <x v="5"/>
    <n v="2"/>
    <n v="54003"/>
    <n v="5"/>
    <n v="51302.85"/>
    <n v="102605.7"/>
    <n v="2000"/>
    <x v="2"/>
    <x v="2"/>
    <d v="2025-05-28T00:00:00"/>
    <s v="excellent"/>
    <x v="2"/>
    <n v="8"/>
  </r>
  <r>
    <x v="142"/>
    <x v="581"/>
    <s v="Iseyin"/>
    <x v="0"/>
    <x v="5"/>
    <x v="1"/>
    <x v="4"/>
    <n v="2"/>
    <n v="25929"/>
    <n v="10"/>
    <n v="23336.1"/>
    <n v="46672.2"/>
    <n v="1000"/>
    <x v="2"/>
    <x v="2"/>
    <d v="2025-05-04T00:00:00"/>
    <s v="excellent"/>
    <x v="2"/>
    <n v="12"/>
  </r>
  <r>
    <x v="161"/>
    <x v="582"/>
    <s v="Oyigbo"/>
    <x v="2"/>
    <x v="1"/>
    <x v="0"/>
    <x v="1"/>
    <n v="4"/>
    <n v="67857"/>
    <n v="0"/>
    <n v="67857"/>
    <n v="271428"/>
    <n v="1000"/>
    <x v="2"/>
    <x v="1"/>
    <m/>
    <s v="no comment"/>
    <x v="1"/>
    <n v="0"/>
  </r>
  <r>
    <x v="46"/>
    <x v="583"/>
    <s v="Bonny"/>
    <x v="2"/>
    <x v="6"/>
    <x v="2"/>
    <x v="5"/>
    <n v="4"/>
    <n v="25548"/>
    <n v="15"/>
    <n v="21715.8"/>
    <n v="86863.2"/>
    <n v="2000"/>
    <x v="0"/>
    <x v="0"/>
    <m/>
    <s v="okay"/>
    <x v="0"/>
    <n v="0"/>
  </r>
  <r>
    <x v="110"/>
    <x v="584"/>
    <s v="Lekki"/>
    <x v="3"/>
    <x v="4"/>
    <x v="2"/>
    <x v="3"/>
    <n v="1"/>
    <n v="31054"/>
    <n v="0"/>
    <n v="31054"/>
    <n v="31054"/>
    <n v="1500"/>
    <x v="2"/>
    <x v="2"/>
    <d v="2025-04-15T00:00:00"/>
    <s v="excellent"/>
    <x v="2"/>
    <n v="11"/>
  </r>
  <r>
    <x v="97"/>
    <x v="585"/>
    <s v="Iseyin"/>
    <x v="0"/>
    <x v="4"/>
    <x v="2"/>
    <x v="3"/>
    <n v="3"/>
    <n v="64712"/>
    <n v="10"/>
    <n v="58240.800000000003"/>
    <n v="174722.4"/>
    <n v="1000"/>
    <x v="2"/>
    <x v="1"/>
    <m/>
    <s v="no comment"/>
    <x v="1"/>
    <n v="0"/>
  </r>
  <r>
    <x v="131"/>
    <x v="586"/>
    <s v="Asokoro"/>
    <x v="1"/>
    <x v="5"/>
    <x v="1"/>
    <x v="4"/>
    <n v="1"/>
    <n v="63271"/>
    <n v="20"/>
    <n v="50616.800000000003"/>
    <n v="50616.800000000003"/>
    <n v="1500"/>
    <x v="2"/>
    <x v="2"/>
    <d v="2025-06-26T00:00:00"/>
    <s v="excellent"/>
    <x v="2"/>
    <n v="6"/>
  </r>
  <r>
    <x v="84"/>
    <x v="587"/>
    <s v="Ikeja"/>
    <x v="3"/>
    <x v="5"/>
    <x v="1"/>
    <x v="4"/>
    <n v="2"/>
    <n v="35915"/>
    <n v="20"/>
    <n v="28732"/>
    <n v="57464"/>
    <n v="1500"/>
    <x v="2"/>
    <x v="0"/>
    <m/>
    <s v="okay"/>
    <x v="0"/>
    <n v="0"/>
  </r>
  <r>
    <x v="53"/>
    <x v="588"/>
    <s v="Surulere"/>
    <x v="3"/>
    <x v="11"/>
    <x v="0"/>
    <x v="0"/>
    <n v="3"/>
    <n v="29224"/>
    <n v="5"/>
    <n v="27762.799999999999"/>
    <n v="83288.399999999994"/>
    <n v="1000"/>
    <x v="2"/>
    <x v="0"/>
    <m/>
    <s v="okay"/>
    <x v="0"/>
    <n v="0"/>
  </r>
  <r>
    <x v="168"/>
    <x v="589"/>
    <s v="Wuse"/>
    <x v="1"/>
    <x v="3"/>
    <x v="1"/>
    <x v="2"/>
    <n v="3"/>
    <n v="19507"/>
    <n v="0"/>
    <n v="19507"/>
    <n v="58521"/>
    <n v="2000"/>
    <x v="0"/>
    <x v="0"/>
    <m/>
    <s v="okay"/>
    <x v="0"/>
    <n v="0"/>
  </r>
  <r>
    <x v="33"/>
    <x v="590"/>
    <s v="Iseyin"/>
    <x v="0"/>
    <x v="5"/>
    <x v="1"/>
    <x v="4"/>
    <n v="1"/>
    <n v="56398"/>
    <n v="5"/>
    <n v="53578.1"/>
    <n v="53578.1"/>
    <n v="2000"/>
    <x v="0"/>
    <x v="0"/>
    <m/>
    <s v="okay"/>
    <x v="0"/>
    <n v="0"/>
  </r>
  <r>
    <x v="74"/>
    <x v="591"/>
    <s v="Eruwa"/>
    <x v="0"/>
    <x v="2"/>
    <x v="1"/>
    <x v="2"/>
    <n v="3"/>
    <n v="3271"/>
    <n v="10"/>
    <n v="2943.9"/>
    <n v="8831.7000000000007"/>
    <n v="1500"/>
    <x v="1"/>
    <x v="1"/>
    <m/>
    <s v="no comment"/>
    <x v="1"/>
    <n v="0"/>
  </r>
  <r>
    <x v="51"/>
    <x v="592"/>
    <s v="Obio-Akpor"/>
    <x v="2"/>
    <x v="3"/>
    <x v="1"/>
    <x v="2"/>
    <n v="3"/>
    <n v="54239"/>
    <n v="5"/>
    <n v="51527.05"/>
    <n v="154581.15"/>
    <n v="1500"/>
    <x v="1"/>
    <x v="2"/>
    <d v="2025-05-27T00:00:00"/>
    <s v="excellent"/>
    <x v="2"/>
    <n v="10"/>
  </r>
  <r>
    <x v="7"/>
    <x v="593"/>
    <s v="Maitama"/>
    <x v="1"/>
    <x v="8"/>
    <x v="0"/>
    <x v="1"/>
    <n v="2"/>
    <n v="46686"/>
    <n v="0"/>
    <n v="46686"/>
    <n v="93372"/>
    <n v="1000"/>
    <x v="0"/>
    <x v="0"/>
    <m/>
    <s v="okay"/>
    <x v="0"/>
    <n v="0"/>
  </r>
  <r>
    <x v="66"/>
    <x v="594"/>
    <s v="Bonny"/>
    <x v="2"/>
    <x v="8"/>
    <x v="0"/>
    <x v="1"/>
    <n v="1"/>
    <n v="47162"/>
    <n v="10"/>
    <n v="42445.8"/>
    <n v="42445.8"/>
    <n v="1500"/>
    <x v="0"/>
    <x v="0"/>
    <m/>
    <s v="okay"/>
    <x v="0"/>
    <n v="0"/>
  </r>
  <r>
    <x v="146"/>
    <x v="595"/>
    <s v="Surulere"/>
    <x v="3"/>
    <x v="5"/>
    <x v="1"/>
    <x v="4"/>
    <n v="3"/>
    <n v="26418"/>
    <n v="15"/>
    <n v="22455.3"/>
    <n v="67365.899999999994"/>
    <n v="1500"/>
    <x v="2"/>
    <x v="1"/>
    <m/>
    <s v="no comment"/>
    <x v="1"/>
    <n v="0"/>
  </r>
  <r>
    <x v="59"/>
    <x v="596"/>
    <s v="Port Harcourt"/>
    <x v="2"/>
    <x v="7"/>
    <x v="2"/>
    <x v="5"/>
    <n v="1"/>
    <n v="64260"/>
    <n v="10"/>
    <n v="57834"/>
    <n v="57834"/>
    <n v="2000"/>
    <x v="0"/>
    <x v="2"/>
    <d v="2025-03-18T00:00:00"/>
    <s v="excellent"/>
    <x v="2"/>
    <n v="11"/>
  </r>
  <r>
    <x v="155"/>
    <x v="597"/>
    <s v="Yaba"/>
    <x v="3"/>
    <x v="1"/>
    <x v="0"/>
    <x v="1"/>
    <n v="2"/>
    <n v="1983"/>
    <n v="15"/>
    <n v="1685.55"/>
    <n v="3371.1"/>
    <n v="1500"/>
    <x v="1"/>
    <x v="2"/>
    <d v="2025-04-29T00:00:00"/>
    <s v="excellent"/>
    <x v="2"/>
    <n v="10"/>
  </r>
  <r>
    <x v="68"/>
    <x v="598"/>
    <s v="Port Harcourt"/>
    <x v="2"/>
    <x v="3"/>
    <x v="1"/>
    <x v="2"/>
    <n v="4"/>
    <n v="32096"/>
    <n v="5"/>
    <n v="30491.200000000001"/>
    <n v="121964.8"/>
    <n v="1500"/>
    <x v="1"/>
    <x v="0"/>
    <m/>
    <s v="okay"/>
    <x v="0"/>
    <n v="0"/>
  </r>
  <r>
    <x v="115"/>
    <x v="247"/>
    <s v="Maitama"/>
    <x v="1"/>
    <x v="11"/>
    <x v="0"/>
    <x v="0"/>
    <n v="1"/>
    <n v="10190"/>
    <n v="5"/>
    <n v="9680.5"/>
    <n v="9680.5"/>
    <n v="2000"/>
    <x v="2"/>
    <x v="2"/>
    <d v="2025-04-15T00:00:00"/>
    <s v="excellent"/>
    <x v="2"/>
    <n v="10"/>
  </r>
  <r>
    <x v="6"/>
    <x v="599"/>
    <s v="Obio-Akpor"/>
    <x v="2"/>
    <x v="2"/>
    <x v="1"/>
    <x v="2"/>
    <n v="2"/>
    <n v="59529"/>
    <n v="15"/>
    <n v="50599.65"/>
    <n v="101199.3"/>
    <n v="2000"/>
    <x v="1"/>
    <x v="2"/>
    <d v="2025-04-20T00:00:00"/>
    <s v="excellent"/>
    <x v="2"/>
    <n v="4"/>
  </r>
  <r>
    <x v="132"/>
    <x v="600"/>
    <s v="Eruwa"/>
    <x v="0"/>
    <x v="0"/>
    <x v="0"/>
    <x v="0"/>
    <n v="2"/>
    <n v="57432"/>
    <n v="20"/>
    <n v="45945.599999999999"/>
    <n v="91891.199999999997"/>
    <n v="2000"/>
    <x v="0"/>
    <x v="0"/>
    <m/>
    <s v="okay"/>
    <x v="0"/>
    <n v="0"/>
  </r>
  <r>
    <x v="45"/>
    <x v="601"/>
    <s v="Surulere"/>
    <x v="3"/>
    <x v="2"/>
    <x v="1"/>
    <x v="2"/>
    <n v="4"/>
    <n v="40661"/>
    <n v="20"/>
    <n v="32528.799999999999"/>
    <n v="130115.2"/>
    <n v="1500"/>
    <x v="2"/>
    <x v="2"/>
    <d v="2025-02-06T00:00:00"/>
    <s v="excellent"/>
    <x v="2"/>
    <n v="8"/>
  </r>
  <r>
    <x v="74"/>
    <x v="586"/>
    <s v="Ogbomosho"/>
    <x v="0"/>
    <x v="1"/>
    <x v="0"/>
    <x v="1"/>
    <n v="3"/>
    <n v="57769"/>
    <n v="20"/>
    <n v="46215.199999999997"/>
    <n v="138645.6"/>
    <n v="2000"/>
    <x v="1"/>
    <x v="2"/>
    <d v="2025-03-28T00:00:00"/>
    <s v="excellent"/>
    <x v="2"/>
    <n v="2"/>
  </r>
  <r>
    <x v="40"/>
    <x v="602"/>
    <s v="Lekki"/>
    <x v="3"/>
    <x v="11"/>
    <x v="0"/>
    <x v="0"/>
    <n v="4"/>
    <n v="39101"/>
    <n v="5"/>
    <n v="37145.949999999997"/>
    <n v="148583.79999999999"/>
    <n v="1500"/>
    <x v="2"/>
    <x v="0"/>
    <m/>
    <s v="okay"/>
    <x v="0"/>
    <n v="0"/>
  </r>
  <r>
    <x v="72"/>
    <x v="603"/>
    <s v="Gwarinpa"/>
    <x v="1"/>
    <x v="10"/>
    <x v="1"/>
    <x v="4"/>
    <n v="2"/>
    <n v="21229"/>
    <n v="10"/>
    <n v="19106.099999999999"/>
    <n v="38212.199999999997"/>
    <n v="2000"/>
    <x v="1"/>
    <x v="2"/>
    <d v="2025-04-25T00:00:00"/>
    <s v="excellent"/>
    <x v="2"/>
    <n v="12"/>
  </r>
  <r>
    <x v="11"/>
    <x v="604"/>
    <s v="Yaba"/>
    <x v="3"/>
    <x v="2"/>
    <x v="1"/>
    <x v="2"/>
    <n v="1"/>
    <n v="57842"/>
    <n v="20"/>
    <n v="46273.599999999999"/>
    <n v="46273.599999999999"/>
    <n v="2000"/>
    <x v="1"/>
    <x v="2"/>
    <d v="2025-02-10T00:00:00"/>
    <s v="excellent"/>
    <x v="2"/>
    <n v="8"/>
  </r>
  <r>
    <x v="65"/>
    <x v="605"/>
    <s v="Eruwa"/>
    <x v="0"/>
    <x v="11"/>
    <x v="0"/>
    <x v="0"/>
    <n v="3"/>
    <n v="76714"/>
    <n v="15"/>
    <n v="65206.9"/>
    <n v="195620.7"/>
    <n v="2000"/>
    <x v="1"/>
    <x v="2"/>
    <d v="2025-04-09T00:00:00"/>
    <s v="excellent"/>
    <x v="2"/>
    <n v="9"/>
  </r>
  <r>
    <x v="168"/>
    <x v="606"/>
    <s v="Ibadan"/>
    <x v="0"/>
    <x v="8"/>
    <x v="0"/>
    <x v="1"/>
    <n v="4"/>
    <n v="56398"/>
    <n v="10"/>
    <n v="50758.2"/>
    <n v="203032.8"/>
    <n v="2000"/>
    <x v="0"/>
    <x v="0"/>
    <m/>
    <s v="okay"/>
    <x v="0"/>
    <n v="0"/>
  </r>
  <r>
    <x v="72"/>
    <x v="607"/>
    <s v="Asokoro"/>
    <x v="1"/>
    <x v="3"/>
    <x v="1"/>
    <x v="2"/>
    <n v="1"/>
    <n v="19844"/>
    <n v="10"/>
    <n v="17859.599999999999"/>
    <n v="17859.599999999999"/>
    <n v="2000"/>
    <x v="1"/>
    <x v="0"/>
    <m/>
    <s v="okay"/>
    <x v="0"/>
    <n v="0"/>
  </r>
  <r>
    <x v="95"/>
    <x v="608"/>
    <s v="Lekki"/>
    <x v="3"/>
    <x v="6"/>
    <x v="2"/>
    <x v="5"/>
    <n v="3"/>
    <n v="31722"/>
    <n v="20"/>
    <n v="25377.599999999999"/>
    <n v="76132.799999999988"/>
    <n v="1500"/>
    <x v="2"/>
    <x v="1"/>
    <m/>
    <s v="no comment"/>
    <x v="1"/>
    <n v="0"/>
  </r>
  <r>
    <x v="165"/>
    <x v="609"/>
    <s v="Gwarinpa"/>
    <x v="1"/>
    <x v="0"/>
    <x v="0"/>
    <x v="0"/>
    <n v="1"/>
    <n v="41835"/>
    <n v="0"/>
    <n v="41835"/>
    <n v="41835"/>
    <n v="1500"/>
    <x v="0"/>
    <x v="0"/>
    <m/>
    <s v="okay"/>
    <x v="0"/>
    <n v="0"/>
  </r>
  <r>
    <x v="126"/>
    <x v="610"/>
    <s v="Surulere"/>
    <x v="3"/>
    <x v="4"/>
    <x v="2"/>
    <x v="3"/>
    <n v="2"/>
    <n v="63045"/>
    <n v="15"/>
    <n v="53588.25"/>
    <n v="107176.5"/>
    <n v="1500"/>
    <x v="0"/>
    <x v="1"/>
    <m/>
    <s v="no comment"/>
    <x v="1"/>
    <n v="0"/>
  </r>
  <r>
    <x v="53"/>
    <x v="611"/>
    <s v="Ibadan"/>
    <x v="0"/>
    <x v="5"/>
    <x v="1"/>
    <x v="4"/>
    <n v="1"/>
    <n v="4218"/>
    <n v="20"/>
    <n v="3374.4"/>
    <n v="3374.4"/>
    <n v="1000"/>
    <x v="2"/>
    <x v="0"/>
    <m/>
    <s v="okay"/>
    <x v="0"/>
    <n v="0"/>
  </r>
  <r>
    <x v="87"/>
    <x v="612"/>
    <s v="Maitama"/>
    <x v="1"/>
    <x v="3"/>
    <x v="1"/>
    <x v="2"/>
    <n v="1"/>
    <n v="32222"/>
    <n v="0"/>
    <n v="32222"/>
    <n v="32222"/>
    <n v="1000"/>
    <x v="1"/>
    <x v="0"/>
    <m/>
    <s v="okay"/>
    <x v="0"/>
    <n v="0"/>
  </r>
  <r>
    <x v="175"/>
    <x v="613"/>
    <s v="Ogbomosho"/>
    <x v="0"/>
    <x v="5"/>
    <x v="1"/>
    <x v="4"/>
    <n v="3"/>
    <n v="23981"/>
    <n v="20"/>
    <n v="19184.8"/>
    <n v="57554.399999999987"/>
    <n v="2000"/>
    <x v="1"/>
    <x v="2"/>
    <d v="2025-06-24T00:00:00"/>
    <s v="excellent"/>
    <x v="2"/>
    <n v="9"/>
  </r>
  <r>
    <x v="4"/>
    <x v="614"/>
    <s v="Ibadan"/>
    <x v="0"/>
    <x v="8"/>
    <x v="0"/>
    <x v="1"/>
    <n v="3"/>
    <n v="10724"/>
    <n v="20"/>
    <n v="8579.2000000000007"/>
    <n v="25737.599999999999"/>
    <n v="1500"/>
    <x v="2"/>
    <x v="1"/>
    <m/>
    <s v="no comment"/>
    <x v="1"/>
    <n v="0"/>
  </r>
  <r>
    <x v="122"/>
    <x v="615"/>
    <s v="Maitama"/>
    <x v="1"/>
    <x v="6"/>
    <x v="2"/>
    <x v="5"/>
    <n v="5"/>
    <n v="49455"/>
    <n v="15"/>
    <n v="42036.75"/>
    <n v="210183.75"/>
    <n v="1000"/>
    <x v="2"/>
    <x v="1"/>
    <m/>
    <s v="no comment"/>
    <x v="1"/>
    <n v="0"/>
  </r>
  <r>
    <x v="130"/>
    <x v="616"/>
    <s v="Maitama"/>
    <x v="1"/>
    <x v="11"/>
    <x v="0"/>
    <x v="0"/>
    <n v="5"/>
    <n v="24472"/>
    <n v="10"/>
    <n v="22024.799999999999"/>
    <n v="110124"/>
    <n v="1000"/>
    <x v="0"/>
    <x v="1"/>
    <m/>
    <s v="no comment"/>
    <x v="1"/>
    <n v="0"/>
  </r>
  <r>
    <x v="148"/>
    <x v="617"/>
    <s v="Gwarinpa"/>
    <x v="1"/>
    <x v="10"/>
    <x v="1"/>
    <x v="4"/>
    <n v="2"/>
    <n v="61429"/>
    <n v="5"/>
    <n v="58357.55"/>
    <n v="116715.1"/>
    <n v="1500"/>
    <x v="1"/>
    <x v="1"/>
    <m/>
    <s v="no comment"/>
    <x v="1"/>
    <n v="0"/>
  </r>
  <r>
    <x v="25"/>
    <x v="618"/>
    <s v="Ikeja"/>
    <x v="3"/>
    <x v="9"/>
    <x v="2"/>
    <x v="3"/>
    <n v="1"/>
    <n v="76348"/>
    <n v="5"/>
    <n v="72530.600000000006"/>
    <n v="72530.600000000006"/>
    <n v="1000"/>
    <x v="0"/>
    <x v="2"/>
    <d v="2025-05-28T00:00:00"/>
    <s v="excellent"/>
    <x v="2"/>
    <n v="5"/>
  </r>
  <r>
    <x v="177"/>
    <x v="619"/>
    <s v="Ikeja"/>
    <x v="3"/>
    <x v="11"/>
    <x v="0"/>
    <x v="0"/>
    <n v="5"/>
    <n v="51465"/>
    <n v="5"/>
    <n v="48891.75"/>
    <n v="244458.75"/>
    <n v="1000"/>
    <x v="2"/>
    <x v="1"/>
    <m/>
    <s v="no comment"/>
    <x v="1"/>
    <n v="0"/>
  </r>
  <r>
    <x v="149"/>
    <x v="620"/>
    <s v="Obio-Akpor"/>
    <x v="2"/>
    <x v="2"/>
    <x v="1"/>
    <x v="2"/>
    <n v="1"/>
    <n v="79839"/>
    <n v="0"/>
    <n v="79839"/>
    <n v="79839"/>
    <n v="2000"/>
    <x v="0"/>
    <x v="1"/>
    <m/>
    <s v="no comment"/>
    <x v="1"/>
    <n v="0"/>
  </r>
  <r>
    <x v="31"/>
    <x v="621"/>
    <s v="Lekki"/>
    <x v="3"/>
    <x v="5"/>
    <x v="1"/>
    <x v="4"/>
    <n v="2"/>
    <n v="45619"/>
    <n v="5"/>
    <n v="43338.05"/>
    <n v="86676.1"/>
    <n v="2000"/>
    <x v="2"/>
    <x v="0"/>
    <m/>
    <s v="okay"/>
    <x v="0"/>
    <n v="0"/>
  </r>
  <r>
    <x v="50"/>
    <x v="622"/>
    <s v="Lekki"/>
    <x v="3"/>
    <x v="2"/>
    <x v="1"/>
    <x v="2"/>
    <n v="4"/>
    <n v="78113"/>
    <n v="15"/>
    <n v="66396.05"/>
    <n v="265584.2"/>
    <n v="1000"/>
    <x v="1"/>
    <x v="2"/>
    <d v="2025-07-09T00:00:00"/>
    <s v="excellent"/>
    <x v="2"/>
    <n v="12"/>
  </r>
  <r>
    <x v="61"/>
    <x v="623"/>
    <s v="Ogbomosho"/>
    <x v="0"/>
    <x v="1"/>
    <x v="0"/>
    <x v="1"/>
    <n v="1"/>
    <n v="52152"/>
    <n v="15"/>
    <n v="44329.2"/>
    <n v="44329.2"/>
    <n v="2000"/>
    <x v="0"/>
    <x v="0"/>
    <m/>
    <s v="okay"/>
    <x v="0"/>
    <n v="0"/>
  </r>
  <r>
    <x v="178"/>
    <x v="624"/>
    <s v="Ogbomosho"/>
    <x v="0"/>
    <x v="10"/>
    <x v="1"/>
    <x v="4"/>
    <n v="4"/>
    <n v="47009"/>
    <n v="20"/>
    <n v="37607.199999999997"/>
    <n v="150428.79999999999"/>
    <n v="1000"/>
    <x v="1"/>
    <x v="0"/>
    <m/>
    <s v="okay"/>
    <x v="0"/>
    <n v="0"/>
  </r>
  <r>
    <x v="45"/>
    <x v="625"/>
    <s v="Yaba"/>
    <x v="3"/>
    <x v="7"/>
    <x v="2"/>
    <x v="5"/>
    <n v="1"/>
    <n v="18424"/>
    <n v="5"/>
    <n v="17502.8"/>
    <n v="17502.8"/>
    <n v="1500"/>
    <x v="1"/>
    <x v="0"/>
    <m/>
    <s v="okay"/>
    <x v="0"/>
    <n v="0"/>
  </r>
  <r>
    <x v="165"/>
    <x v="626"/>
    <s v="Yaba"/>
    <x v="3"/>
    <x v="1"/>
    <x v="0"/>
    <x v="1"/>
    <n v="5"/>
    <n v="77707"/>
    <n v="20"/>
    <n v="62165.599999999999"/>
    <n v="310828"/>
    <n v="1000"/>
    <x v="2"/>
    <x v="0"/>
    <m/>
    <s v="okay"/>
    <x v="0"/>
    <n v="0"/>
  </r>
  <r>
    <x v="78"/>
    <x v="627"/>
    <s v="Gwarinpa"/>
    <x v="1"/>
    <x v="1"/>
    <x v="0"/>
    <x v="1"/>
    <n v="1"/>
    <n v="67180"/>
    <n v="0"/>
    <n v="67180"/>
    <n v="67180"/>
    <n v="2000"/>
    <x v="1"/>
    <x v="1"/>
    <m/>
    <s v="no comment"/>
    <x v="1"/>
    <n v="0"/>
  </r>
  <r>
    <x v="106"/>
    <x v="628"/>
    <s v="Ibadan"/>
    <x v="0"/>
    <x v="11"/>
    <x v="0"/>
    <x v="0"/>
    <n v="2"/>
    <n v="30268"/>
    <n v="0"/>
    <n v="30268"/>
    <n v="60536"/>
    <n v="1000"/>
    <x v="1"/>
    <x v="1"/>
    <m/>
    <s v="no comment"/>
    <x v="1"/>
    <n v="0"/>
  </r>
  <r>
    <x v="27"/>
    <x v="629"/>
    <s v="Ogbomosho"/>
    <x v="0"/>
    <x v="6"/>
    <x v="2"/>
    <x v="5"/>
    <n v="4"/>
    <n v="71047"/>
    <n v="15"/>
    <n v="60389.95"/>
    <n v="241559.8"/>
    <n v="1000"/>
    <x v="2"/>
    <x v="0"/>
    <m/>
    <s v="okay"/>
    <x v="0"/>
    <n v="0"/>
  </r>
  <r>
    <x v="108"/>
    <x v="630"/>
    <s v="Obio-Akpor"/>
    <x v="2"/>
    <x v="6"/>
    <x v="2"/>
    <x v="5"/>
    <n v="4"/>
    <n v="24778"/>
    <n v="10"/>
    <n v="22300.2"/>
    <n v="89200.8"/>
    <n v="1000"/>
    <x v="2"/>
    <x v="2"/>
    <d v="2025-05-26T00:00:00"/>
    <s v="excellent"/>
    <x v="2"/>
    <n v="2"/>
  </r>
  <r>
    <x v="130"/>
    <x v="631"/>
    <s v="Iseyin"/>
    <x v="0"/>
    <x v="4"/>
    <x v="2"/>
    <x v="3"/>
    <n v="1"/>
    <n v="30449"/>
    <n v="20"/>
    <n v="24359.200000000001"/>
    <n v="24359.200000000001"/>
    <n v="1000"/>
    <x v="2"/>
    <x v="2"/>
    <d v="2025-05-14T00:00:00"/>
    <s v="excellent"/>
    <x v="2"/>
    <n v="11"/>
  </r>
  <r>
    <x v="13"/>
    <x v="632"/>
    <s v="Lekki"/>
    <x v="3"/>
    <x v="0"/>
    <x v="0"/>
    <x v="0"/>
    <n v="1"/>
    <n v="69338"/>
    <n v="20"/>
    <n v="55470.400000000001"/>
    <n v="55470.400000000001"/>
    <n v="1000"/>
    <x v="1"/>
    <x v="1"/>
    <m/>
    <s v="no comment"/>
    <x v="1"/>
    <n v="0"/>
  </r>
  <r>
    <x v="148"/>
    <x v="633"/>
    <s v="Yaba"/>
    <x v="3"/>
    <x v="10"/>
    <x v="1"/>
    <x v="4"/>
    <n v="3"/>
    <n v="38958"/>
    <n v="15"/>
    <n v="33114.300000000003"/>
    <n v="99342.900000000009"/>
    <n v="1000"/>
    <x v="2"/>
    <x v="2"/>
    <d v="2025-05-04T00:00:00"/>
    <s v="excellent"/>
    <x v="2"/>
    <n v="5"/>
  </r>
  <r>
    <x v="88"/>
    <x v="634"/>
    <s v="Gwarinpa"/>
    <x v="1"/>
    <x v="0"/>
    <x v="0"/>
    <x v="0"/>
    <n v="1"/>
    <n v="40776"/>
    <n v="10"/>
    <n v="36698.400000000001"/>
    <n v="36698.400000000001"/>
    <n v="1000"/>
    <x v="1"/>
    <x v="0"/>
    <m/>
    <s v="okay"/>
    <x v="0"/>
    <n v="0"/>
  </r>
  <r>
    <x v="105"/>
    <x v="635"/>
    <s v="Iseyin"/>
    <x v="0"/>
    <x v="8"/>
    <x v="0"/>
    <x v="1"/>
    <n v="4"/>
    <n v="24715"/>
    <n v="20"/>
    <n v="19772"/>
    <n v="79088"/>
    <n v="2000"/>
    <x v="1"/>
    <x v="0"/>
    <m/>
    <s v="okay"/>
    <x v="0"/>
    <n v="0"/>
  </r>
  <r>
    <x v="131"/>
    <x v="636"/>
    <s v="Yaba"/>
    <x v="3"/>
    <x v="2"/>
    <x v="1"/>
    <x v="2"/>
    <n v="4"/>
    <n v="50780"/>
    <n v="10"/>
    <n v="45702"/>
    <n v="182808"/>
    <n v="2000"/>
    <x v="2"/>
    <x v="0"/>
    <m/>
    <s v="okay"/>
    <x v="0"/>
    <n v="0"/>
  </r>
  <r>
    <x v="53"/>
    <x v="637"/>
    <s v="Gwarinpa"/>
    <x v="1"/>
    <x v="9"/>
    <x v="2"/>
    <x v="3"/>
    <n v="2"/>
    <n v="46795"/>
    <n v="5"/>
    <n v="44455.25"/>
    <n v="88910.5"/>
    <n v="2000"/>
    <x v="2"/>
    <x v="0"/>
    <m/>
    <s v="okay"/>
    <x v="0"/>
    <n v="0"/>
  </r>
  <r>
    <x v="52"/>
    <x v="638"/>
    <s v="Lekki"/>
    <x v="3"/>
    <x v="4"/>
    <x v="2"/>
    <x v="3"/>
    <n v="5"/>
    <n v="31953"/>
    <n v="15"/>
    <n v="27160.05"/>
    <n v="135800.25"/>
    <n v="1500"/>
    <x v="0"/>
    <x v="0"/>
    <m/>
    <s v="okay"/>
    <x v="0"/>
    <n v="0"/>
  </r>
  <r>
    <x v="4"/>
    <x v="639"/>
    <s v="Iseyin"/>
    <x v="0"/>
    <x v="7"/>
    <x v="2"/>
    <x v="5"/>
    <n v="2"/>
    <n v="68172"/>
    <n v="20"/>
    <n v="54537.599999999999"/>
    <n v="109075.2"/>
    <n v="2000"/>
    <x v="2"/>
    <x v="0"/>
    <m/>
    <s v="okay"/>
    <x v="0"/>
    <n v="0"/>
  </r>
  <r>
    <x v="88"/>
    <x v="640"/>
    <s v="Lekki"/>
    <x v="3"/>
    <x v="7"/>
    <x v="2"/>
    <x v="5"/>
    <n v="3"/>
    <n v="71675"/>
    <n v="5"/>
    <n v="68091.25"/>
    <n v="204273.75"/>
    <n v="1500"/>
    <x v="0"/>
    <x v="1"/>
    <m/>
    <s v="no comment"/>
    <x v="1"/>
    <n v="0"/>
  </r>
  <r>
    <x v="151"/>
    <x v="641"/>
    <s v="Port Harcourt"/>
    <x v="2"/>
    <x v="4"/>
    <x v="2"/>
    <x v="3"/>
    <n v="3"/>
    <n v="62625"/>
    <n v="10"/>
    <n v="56362.5"/>
    <n v="169087.5"/>
    <n v="1500"/>
    <x v="2"/>
    <x v="0"/>
    <m/>
    <s v="okay"/>
    <x v="0"/>
    <n v="0"/>
  </r>
  <r>
    <x v="87"/>
    <x v="642"/>
    <s v="Ikeja"/>
    <x v="3"/>
    <x v="11"/>
    <x v="0"/>
    <x v="0"/>
    <n v="1"/>
    <n v="59827"/>
    <n v="5"/>
    <n v="56835.65"/>
    <n v="56835.65"/>
    <n v="1000"/>
    <x v="2"/>
    <x v="1"/>
    <m/>
    <s v="no comment"/>
    <x v="1"/>
    <n v="0"/>
  </r>
  <r>
    <x v="56"/>
    <x v="643"/>
    <s v="Obio-Akpor"/>
    <x v="2"/>
    <x v="2"/>
    <x v="1"/>
    <x v="2"/>
    <n v="4"/>
    <n v="15183"/>
    <n v="5"/>
    <n v="14423.85"/>
    <n v="57695.4"/>
    <n v="1500"/>
    <x v="2"/>
    <x v="1"/>
    <m/>
    <s v="no comment"/>
    <x v="1"/>
    <n v="0"/>
  </r>
  <r>
    <x v="161"/>
    <x v="644"/>
    <s v="Ibadan"/>
    <x v="0"/>
    <x v="6"/>
    <x v="2"/>
    <x v="5"/>
    <n v="5"/>
    <n v="31549"/>
    <n v="15"/>
    <n v="26816.65"/>
    <n v="134083.25"/>
    <n v="1500"/>
    <x v="1"/>
    <x v="0"/>
    <m/>
    <s v="okay"/>
    <x v="0"/>
    <n v="0"/>
  </r>
  <r>
    <x v="175"/>
    <x v="645"/>
    <s v="Gwarinpa"/>
    <x v="1"/>
    <x v="10"/>
    <x v="1"/>
    <x v="4"/>
    <n v="3"/>
    <n v="35376"/>
    <n v="10"/>
    <n v="31838.400000000001"/>
    <n v="95515.200000000012"/>
    <n v="2000"/>
    <x v="0"/>
    <x v="1"/>
    <m/>
    <s v="no comment"/>
    <x v="1"/>
    <n v="0"/>
  </r>
  <r>
    <x v="142"/>
    <x v="646"/>
    <s v="Maitama"/>
    <x v="1"/>
    <x v="6"/>
    <x v="2"/>
    <x v="5"/>
    <n v="1"/>
    <n v="25161"/>
    <n v="10"/>
    <n v="22644.9"/>
    <n v="22644.9"/>
    <n v="2000"/>
    <x v="2"/>
    <x v="2"/>
    <d v="2025-04-27T00:00:00"/>
    <s v="excellent"/>
    <x v="2"/>
    <n v="5"/>
  </r>
  <r>
    <x v="27"/>
    <x v="647"/>
    <s v="Ikeja"/>
    <x v="3"/>
    <x v="4"/>
    <x v="2"/>
    <x v="3"/>
    <n v="3"/>
    <n v="56580"/>
    <n v="20"/>
    <n v="45264"/>
    <n v="135792"/>
    <n v="1500"/>
    <x v="1"/>
    <x v="2"/>
    <d v="2025-06-23T00:00:00"/>
    <s v="excellent"/>
    <x v="2"/>
    <n v="7"/>
  </r>
  <r>
    <x v="99"/>
    <x v="72"/>
    <s v="Lekki"/>
    <x v="3"/>
    <x v="2"/>
    <x v="1"/>
    <x v="2"/>
    <n v="4"/>
    <n v="75714"/>
    <n v="0"/>
    <n v="75714"/>
    <n v="302856"/>
    <n v="1000"/>
    <x v="2"/>
    <x v="0"/>
    <m/>
    <s v="okay"/>
    <x v="0"/>
    <n v="0"/>
  </r>
  <r>
    <x v="85"/>
    <x v="648"/>
    <s v="Surulere"/>
    <x v="3"/>
    <x v="5"/>
    <x v="1"/>
    <x v="4"/>
    <n v="1"/>
    <n v="18851"/>
    <n v="10"/>
    <n v="16965.900000000001"/>
    <n v="16965.900000000001"/>
    <n v="1000"/>
    <x v="1"/>
    <x v="1"/>
    <m/>
    <s v="no comment"/>
    <x v="1"/>
    <n v="0"/>
  </r>
  <r>
    <x v="77"/>
    <x v="649"/>
    <s v="Oyigbo"/>
    <x v="2"/>
    <x v="9"/>
    <x v="2"/>
    <x v="3"/>
    <n v="5"/>
    <n v="61502"/>
    <n v="10"/>
    <n v="55351.8"/>
    <n v="276759"/>
    <n v="1500"/>
    <x v="2"/>
    <x v="2"/>
    <d v="2025-06-11T00:00:00"/>
    <s v="excellent"/>
    <x v="2"/>
    <n v="4"/>
  </r>
  <r>
    <x v="88"/>
    <x v="650"/>
    <s v="Bonny"/>
    <x v="2"/>
    <x v="10"/>
    <x v="1"/>
    <x v="4"/>
    <n v="5"/>
    <n v="27208"/>
    <n v="10"/>
    <n v="24487.200000000001"/>
    <n v="122436"/>
    <n v="1500"/>
    <x v="2"/>
    <x v="2"/>
    <d v="2025-01-26T00:00:00"/>
    <s v="excellent"/>
    <x v="2"/>
    <n v="9"/>
  </r>
  <r>
    <x v="61"/>
    <x v="651"/>
    <s v="Lekki"/>
    <x v="3"/>
    <x v="9"/>
    <x v="2"/>
    <x v="3"/>
    <n v="4"/>
    <n v="73068"/>
    <n v="5"/>
    <n v="69414.600000000006"/>
    <n v="277658.40000000002"/>
    <n v="1500"/>
    <x v="0"/>
    <x v="2"/>
    <d v="2025-03-25T00:00:00"/>
    <s v="excellent"/>
    <x v="2"/>
    <n v="10"/>
  </r>
  <r>
    <x v="42"/>
    <x v="652"/>
    <s v="Eruwa"/>
    <x v="0"/>
    <x v="1"/>
    <x v="0"/>
    <x v="1"/>
    <n v="4"/>
    <n v="15906"/>
    <n v="10"/>
    <n v="14315.4"/>
    <n v="57261.599999999999"/>
    <n v="1500"/>
    <x v="0"/>
    <x v="0"/>
    <m/>
    <s v="okay"/>
    <x v="0"/>
    <n v="0"/>
  </r>
  <r>
    <x v="35"/>
    <x v="653"/>
    <s v="Asokoro"/>
    <x v="1"/>
    <x v="8"/>
    <x v="0"/>
    <x v="1"/>
    <n v="3"/>
    <n v="28869"/>
    <n v="0"/>
    <n v="28869"/>
    <n v="86607"/>
    <n v="2000"/>
    <x v="1"/>
    <x v="0"/>
    <m/>
    <s v="okay"/>
    <x v="0"/>
    <n v="0"/>
  </r>
  <r>
    <x v="172"/>
    <x v="654"/>
    <s v="Yaba"/>
    <x v="3"/>
    <x v="3"/>
    <x v="1"/>
    <x v="2"/>
    <n v="3"/>
    <n v="50589"/>
    <n v="5"/>
    <n v="48059.55"/>
    <n v="144178.65"/>
    <n v="1000"/>
    <x v="1"/>
    <x v="2"/>
    <d v="2025-03-24T00:00:00"/>
    <s v="excellent"/>
    <x v="2"/>
    <n v="7"/>
  </r>
  <r>
    <x v="36"/>
    <x v="655"/>
    <s v="Lekki"/>
    <x v="3"/>
    <x v="9"/>
    <x v="2"/>
    <x v="3"/>
    <n v="4"/>
    <n v="33304"/>
    <n v="15"/>
    <n v="28308.400000000001"/>
    <n v="113233.60000000001"/>
    <n v="2000"/>
    <x v="2"/>
    <x v="0"/>
    <m/>
    <s v="okay"/>
    <x v="0"/>
    <n v="0"/>
  </r>
  <r>
    <x v="102"/>
    <x v="656"/>
    <s v="Wuse"/>
    <x v="1"/>
    <x v="5"/>
    <x v="1"/>
    <x v="4"/>
    <n v="1"/>
    <n v="33380"/>
    <n v="15"/>
    <n v="28373"/>
    <n v="28373"/>
    <n v="1500"/>
    <x v="1"/>
    <x v="0"/>
    <m/>
    <s v="okay"/>
    <x v="0"/>
    <n v="0"/>
  </r>
  <r>
    <x v="8"/>
    <x v="657"/>
    <s v="Bonny"/>
    <x v="2"/>
    <x v="6"/>
    <x v="2"/>
    <x v="5"/>
    <n v="1"/>
    <n v="62116"/>
    <n v="15"/>
    <n v="52798.6"/>
    <n v="52798.6"/>
    <n v="2000"/>
    <x v="2"/>
    <x v="2"/>
    <d v="2025-03-31T00:00:00"/>
    <s v="excellent"/>
    <x v="2"/>
    <n v="3"/>
  </r>
  <r>
    <x v="14"/>
    <x v="658"/>
    <s v="Ogbomosho"/>
    <x v="0"/>
    <x v="7"/>
    <x v="2"/>
    <x v="5"/>
    <n v="2"/>
    <n v="34333"/>
    <n v="10"/>
    <n v="30899.7"/>
    <n v="61799.4"/>
    <n v="1500"/>
    <x v="0"/>
    <x v="2"/>
    <d v="2025-03-23T00:00:00"/>
    <s v="excellent"/>
    <x v="2"/>
    <n v="7"/>
  </r>
  <r>
    <x v="140"/>
    <x v="659"/>
    <s v="Eruwa"/>
    <x v="0"/>
    <x v="11"/>
    <x v="0"/>
    <x v="0"/>
    <n v="2"/>
    <n v="37008"/>
    <n v="20"/>
    <n v="29606.400000000001"/>
    <n v="59212.800000000003"/>
    <n v="2000"/>
    <x v="1"/>
    <x v="0"/>
    <m/>
    <s v="okay"/>
    <x v="0"/>
    <n v="0"/>
  </r>
  <r>
    <x v="153"/>
    <x v="660"/>
    <s v="Oyigbo"/>
    <x v="2"/>
    <x v="7"/>
    <x v="2"/>
    <x v="5"/>
    <n v="1"/>
    <n v="42966"/>
    <n v="10"/>
    <n v="38669.4"/>
    <n v="38669.4"/>
    <n v="1500"/>
    <x v="1"/>
    <x v="1"/>
    <m/>
    <s v="no comment"/>
    <x v="1"/>
    <n v="0"/>
  </r>
  <r>
    <x v="78"/>
    <x v="661"/>
    <s v="Oyigbo"/>
    <x v="2"/>
    <x v="5"/>
    <x v="1"/>
    <x v="4"/>
    <n v="3"/>
    <n v="31775"/>
    <n v="5"/>
    <n v="30186.25"/>
    <n v="90558.75"/>
    <n v="1500"/>
    <x v="0"/>
    <x v="1"/>
    <m/>
    <s v="no comment"/>
    <x v="1"/>
    <n v="0"/>
  </r>
  <r>
    <x v="174"/>
    <x v="662"/>
    <s v="Ogbomosho"/>
    <x v="0"/>
    <x v="2"/>
    <x v="1"/>
    <x v="2"/>
    <n v="1"/>
    <n v="11057"/>
    <n v="0"/>
    <n v="11057"/>
    <n v="11057"/>
    <n v="2000"/>
    <x v="1"/>
    <x v="2"/>
    <d v="2025-04-18T00:00:00"/>
    <s v="excellent"/>
    <x v="2"/>
    <n v="10"/>
  </r>
  <r>
    <x v="88"/>
    <x v="663"/>
    <s v="Asokoro"/>
    <x v="1"/>
    <x v="9"/>
    <x v="2"/>
    <x v="3"/>
    <n v="5"/>
    <n v="48742"/>
    <n v="0"/>
    <n v="48742"/>
    <n v="243710"/>
    <n v="1500"/>
    <x v="2"/>
    <x v="2"/>
    <d v="2025-01-24T00:00:00"/>
    <s v="excellent"/>
    <x v="2"/>
    <n v="7"/>
  </r>
  <r>
    <x v="132"/>
    <x v="664"/>
    <s v="Gwarinpa"/>
    <x v="1"/>
    <x v="11"/>
    <x v="0"/>
    <x v="0"/>
    <n v="4"/>
    <n v="16732"/>
    <n v="5"/>
    <n v="15895.4"/>
    <n v="63581.599999999999"/>
    <n v="1000"/>
    <x v="1"/>
    <x v="2"/>
    <d v="2025-07-04T00:00:00"/>
    <s v="excellent"/>
    <x v="2"/>
    <n v="5"/>
  </r>
  <r>
    <x v="103"/>
    <x v="665"/>
    <s v="Eruwa"/>
    <x v="0"/>
    <x v="4"/>
    <x v="2"/>
    <x v="3"/>
    <n v="1"/>
    <n v="77338"/>
    <n v="5"/>
    <n v="73471.100000000006"/>
    <n v="73471.100000000006"/>
    <n v="1500"/>
    <x v="1"/>
    <x v="0"/>
    <m/>
    <s v="okay"/>
    <x v="0"/>
    <n v="0"/>
  </r>
  <r>
    <x v="55"/>
    <x v="666"/>
    <s v="Ogbomosho"/>
    <x v="0"/>
    <x v="8"/>
    <x v="0"/>
    <x v="1"/>
    <n v="2"/>
    <n v="48821"/>
    <n v="20"/>
    <n v="39056.800000000003"/>
    <n v="78113.600000000006"/>
    <n v="2000"/>
    <x v="0"/>
    <x v="1"/>
    <m/>
    <s v="no comment"/>
    <x v="1"/>
    <n v="0"/>
  </r>
  <r>
    <x v="127"/>
    <x v="667"/>
    <s v="Ibadan"/>
    <x v="0"/>
    <x v="0"/>
    <x v="0"/>
    <x v="0"/>
    <n v="3"/>
    <n v="18071"/>
    <n v="0"/>
    <n v="18071"/>
    <n v="54213"/>
    <n v="1500"/>
    <x v="2"/>
    <x v="0"/>
    <m/>
    <s v="okay"/>
    <x v="0"/>
    <n v="0"/>
  </r>
  <r>
    <x v="5"/>
    <x v="668"/>
    <s v="Gwarinpa"/>
    <x v="1"/>
    <x v="11"/>
    <x v="0"/>
    <x v="0"/>
    <n v="4"/>
    <n v="44498"/>
    <n v="20"/>
    <n v="35598.400000000001"/>
    <n v="142393.60000000001"/>
    <n v="1500"/>
    <x v="2"/>
    <x v="1"/>
    <m/>
    <s v="no comment"/>
    <x v="1"/>
    <n v="0"/>
  </r>
  <r>
    <x v="94"/>
    <x v="242"/>
    <s v="Yaba"/>
    <x v="3"/>
    <x v="11"/>
    <x v="0"/>
    <x v="0"/>
    <n v="5"/>
    <n v="37050"/>
    <n v="20"/>
    <n v="29640"/>
    <n v="148200"/>
    <n v="1500"/>
    <x v="2"/>
    <x v="0"/>
    <m/>
    <s v="okay"/>
    <x v="0"/>
    <n v="0"/>
  </r>
  <r>
    <x v="161"/>
    <x v="669"/>
    <s v="Port Harcourt"/>
    <x v="2"/>
    <x v="2"/>
    <x v="1"/>
    <x v="2"/>
    <n v="1"/>
    <n v="20973"/>
    <n v="10"/>
    <n v="18875.7"/>
    <n v="18875.7"/>
    <n v="2000"/>
    <x v="0"/>
    <x v="1"/>
    <m/>
    <s v="no comment"/>
    <x v="1"/>
    <n v="0"/>
  </r>
  <r>
    <x v="152"/>
    <x v="670"/>
    <s v="Ogbomosho"/>
    <x v="0"/>
    <x v="10"/>
    <x v="1"/>
    <x v="4"/>
    <n v="1"/>
    <n v="55237"/>
    <n v="15"/>
    <n v="46951.45"/>
    <n v="46951.45"/>
    <n v="1000"/>
    <x v="2"/>
    <x v="1"/>
    <m/>
    <s v="no comment"/>
    <x v="1"/>
    <n v="0"/>
  </r>
  <r>
    <x v="113"/>
    <x v="671"/>
    <s v="Yaba"/>
    <x v="3"/>
    <x v="1"/>
    <x v="0"/>
    <x v="1"/>
    <n v="4"/>
    <n v="78097"/>
    <n v="20"/>
    <n v="62477.599999999999"/>
    <n v="249910.39999999999"/>
    <n v="1500"/>
    <x v="0"/>
    <x v="2"/>
    <d v="2025-02-25T00:00:00"/>
    <s v="excellent"/>
    <x v="2"/>
    <n v="7"/>
  </r>
  <r>
    <x v="29"/>
    <x v="672"/>
    <s v="Lekki"/>
    <x v="3"/>
    <x v="10"/>
    <x v="1"/>
    <x v="4"/>
    <n v="2"/>
    <n v="24037"/>
    <n v="20"/>
    <n v="19229.599999999999"/>
    <n v="38459.199999999997"/>
    <n v="1500"/>
    <x v="1"/>
    <x v="2"/>
    <d v="2025-02-08T00:00:00"/>
    <s v="excellent"/>
    <x v="2"/>
    <n v="5"/>
  </r>
  <r>
    <x v="43"/>
    <x v="673"/>
    <s v="Oyigbo"/>
    <x v="2"/>
    <x v="3"/>
    <x v="1"/>
    <x v="2"/>
    <n v="1"/>
    <n v="69854"/>
    <n v="0"/>
    <n v="69854"/>
    <n v="69854"/>
    <n v="2000"/>
    <x v="2"/>
    <x v="0"/>
    <m/>
    <s v="okay"/>
    <x v="0"/>
    <n v="0"/>
  </r>
  <r>
    <x v="34"/>
    <x v="674"/>
    <s v="Gwarinpa"/>
    <x v="1"/>
    <x v="1"/>
    <x v="0"/>
    <x v="1"/>
    <n v="5"/>
    <n v="53730"/>
    <n v="5"/>
    <n v="51043.5"/>
    <n v="255217.5"/>
    <n v="2000"/>
    <x v="0"/>
    <x v="1"/>
    <m/>
    <s v="no comment"/>
    <x v="1"/>
    <n v="0"/>
  </r>
  <r>
    <x v="64"/>
    <x v="675"/>
    <s v="Port Harcourt"/>
    <x v="2"/>
    <x v="5"/>
    <x v="1"/>
    <x v="4"/>
    <n v="1"/>
    <n v="52012"/>
    <n v="5"/>
    <n v="49411.4"/>
    <n v="49411.4"/>
    <n v="2000"/>
    <x v="2"/>
    <x v="1"/>
    <m/>
    <s v="no comment"/>
    <x v="1"/>
    <n v="0"/>
  </r>
  <r>
    <x v="17"/>
    <x v="676"/>
    <s v="Oyigbo"/>
    <x v="2"/>
    <x v="1"/>
    <x v="0"/>
    <x v="1"/>
    <n v="3"/>
    <n v="8722"/>
    <n v="20"/>
    <n v="6977.6"/>
    <n v="20932.8"/>
    <n v="1500"/>
    <x v="0"/>
    <x v="2"/>
    <d v="2025-06-08T00:00:00"/>
    <s v="excellent"/>
    <x v="2"/>
    <n v="5"/>
  </r>
  <r>
    <x v="74"/>
    <x v="677"/>
    <s v="Ogbomosho"/>
    <x v="0"/>
    <x v="6"/>
    <x v="2"/>
    <x v="5"/>
    <n v="1"/>
    <n v="75563"/>
    <n v="20"/>
    <n v="60450.400000000001"/>
    <n v="60450.400000000001"/>
    <n v="1000"/>
    <x v="2"/>
    <x v="2"/>
    <d v="2025-04-01T00:00:00"/>
    <s v="excellent"/>
    <x v="2"/>
    <n v="6"/>
  </r>
  <r>
    <x v="109"/>
    <x v="678"/>
    <s v="Oyigbo"/>
    <x v="2"/>
    <x v="3"/>
    <x v="1"/>
    <x v="2"/>
    <n v="5"/>
    <n v="11959"/>
    <n v="15"/>
    <n v="10165.15"/>
    <n v="50825.75"/>
    <n v="1500"/>
    <x v="2"/>
    <x v="2"/>
    <d v="2025-03-23T00:00:00"/>
    <s v="excellent"/>
    <x v="2"/>
    <n v="11"/>
  </r>
  <r>
    <x v="84"/>
    <x v="679"/>
    <s v="Oyigbo"/>
    <x v="2"/>
    <x v="0"/>
    <x v="0"/>
    <x v="0"/>
    <n v="5"/>
    <n v="8384"/>
    <n v="15"/>
    <n v="7126.4"/>
    <n v="35632"/>
    <n v="1000"/>
    <x v="0"/>
    <x v="0"/>
    <m/>
    <s v="okay"/>
    <x v="0"/>
    <n v="0"/>
  </r>
  <r>
    <x v="69"/>
    <x v="680"/>
    <s v="Port Harcourt"/>
    <x v="2"/>
    <x v="4"/>
    <x v="2"/>
    <x v="3"/>
    <n v="1"/>
    <n v="55606"/>
    <n v="10"/>
    <n v="50045.4"/>
    <n v="50045.4"/>
    <n v="2000"/>
    <x v="2"/>
    <x v="2"/>
    <d v="2025-06-30T00:00:00"/>
    <s v="excellent"/>
    <x v="2"/>
    <n v="6"/>
  </r>
  <r>
    <x v="89"/>
    <x v="681"/>
    <s v="Oyigbo"/>
    <x v="2"/>
    <x v="7"/>
    <x v="2"/>
    <x v="5"/>
    <n v="1"/>
    <n v="75870"/>
    <n v="15"/>
    <n v="64489.5"/>
    <n v="64489.5"/>
    <n v="1500"/>
    <x v="0"/>
    <x v="1"/>
    <m/>
    <s v="no comment"/>
    <x v="1"/>
    <n v="0"/>
  </r>
  <r>
    <x v="179"/>
    <x v="682"/>
    <s v="Oyigbo"/>
    <x v="2"/>
    <x v="10"/>
    <x v="1"/>
    <x v="4"/>
    <n v="5"/>
    <n v="12947"/>
    <n v="15"/>
    <n v="11004.95"/>
    <n v="55024.75"/>
    <n v="1500"/>
    <x v="0"/>
    <x v="0"/>
    <m/>
    <s v="okay"/>
    <x v="0"/>
    <n v="0"/>
  </r>
  <r>
    <x v="80"/>
    <x v="683"/>
    <s v="Surulere"/>
    <x v="3"/>
    <x v="3"/>
    <x v="1"/>
    <x v="2"/>
    <n v="4"/>
    <n v="66667"/>
    <n v="20"/>
    <n v="53333.599999999999"/>
    <n v="213334.39999999999"/>
    <n v="1500"/>
    <x v="2"/>
    <x v="0"/>
    <m/>
    <s v="okay"/>
    <x v="0"/>
    <n v="0"/>
  </r>
  <r>
    <x v="112"/>
    <x v="684"/>
    <s v="Maitama"/>
    <x v="1"/>
    <x v="2"/>
    <x v="1"/>
    <x v="2"/>
    <n v="2"/>
    <n v="33037"/>
    <n v="0"/>
    <n v="33037"/>
    <n v="66074"/>
    <n v="1500"/>
    <x v="2"/>
    <x v="2"/>
    <d v="2025-02-08T00:00:00"/>
    <s v="excellent"/>
    <x v="2"/>
    <n v="3"/>
  </r>
  <r>
    <x v="69"/>
    <x v="685"/>
    <s v="Iseyin"/>
    <x v="0"/>
    <x v="6"/>
    <x v="2"/>
    <x v="5"/>
    <n v="5"/>
    <n v="57713"/>
    <n v="10"/>
    <n v="51941.7"/>
    <n v="259708.5"/>
    <n v="1000"/>
    <x v="1"/>
    <x v="0"/>
    <m/>
    <s v="okay"/>
    <x v="0"/>
    <n v="0"/>
  </r>
  <r>
    <x v="55"/>
    <x v="686"/>
    <s v="Ogbomosho"/>
    <x v="0"/>
    <x v="2"/>
    <x v="1"/>
    <x v="2"/>
    <n v="3"/>
    <n v="24175"/>
    <n v="5"/>
    <n v="22966.25"/>
    <n v="68898.75"/>
    <n v="1500"/>
    <x v="0"/>
    <x v="0"/>
    <m/>
    <s v="okay"/>
    <x v="0"/>
    <n v="0"/>
  </r>
  <r>
    <x v="172"/>
    <x v="687"/>
    <s v="Bonny"/>
    <x v="2"/>
    <x v="11"/>
    <x v="0"/>
    <x v="0"/>
    <n v="2"/>
    <n v="58053"/>
    <n v="20"/>
    <n v="46442.400000000001"/>
    <n v="92884.800000000003"/>
    <n v="1000"/>
    <x v="2"/>
    <x v="2"/>
    <d v="2025-03-26T00:00:00"/>
    <s v="excellent"/>
    <x v="2"/>
    <n v="9"/>
  </r>
  <r>
    <x v="89"/>
    <x v="688"/>
    <s v="Maitama"/>
    <x v="1"/>
    <x v="7"/>
    <x v="2"/>
    <x v="5"/>
    <n v="3"/>
    <n v="34618"/>
    <n v="0"/>
    <n v="34618"/>
    <n v="103854"/>
    <n v="2000"/>
    <x v="1"/>
    <x v="2"/>
    <d v="2025-05-04T00:00:00"/>
    <s v="excellent"/>
    <x v="2"/>
    <n v="4"/>
  </r>
  <r>
    <x v="17"/>
    <x v="689"/>
    <s v="Iseyin"/>
    <x v="0"/>
    <x v="11"/>
    <x v="0"/>
    <x v="0"/>
    <n v="4"/>
    <n v="77442"/>
    <n v="0"/>
    <n v="77442"/>
    <n v="309768"/>
    <n v="1500"/>
    <x v="0"/>
    <x v="2"/>
    <d v="2025-06-14T00:00:00"/>
    <s v="excellent"/>
    <x v="2"/>
    <n v="11"/>
  </r>
  <r>
    <x v="14"/>
    <x v="690"/>
    <s v="Bonny"/>
    <x v="2"/>
    <x v="5"/>
    <x v="1"/>
    <x v="4"/>
    <n v="5"/>
    <n v="57758"/>
    <n v="10"/>
    <n v="51982.2"/>
    <n v="259911"/>
    <n v="1000"/>
    <x v="0"/>
    <x v="2"/>
    <d v="2025-03-21T00:00:00"/>
    <s v="excellent"/>
    <x v="2"/>
    <n v="5"/>
  </r>
  <r>
    <x v="28"/>
    <x v="691"/>
    <s v="Ibadan"/>
    <x v="0"/>
    <x v="7"/>
    <x v="2"/>
    <x v="5"/>
    <n v="5"/>
    <n v="54022"/>
    <n v="0"/>
    <n v="54022"/>
    <n v="270110"/>
    <n v="1000"/>
    <x v="2"/>
    <x v="0"/>
    <m/>
    <s v="okay"/>
    <x v="0"/>
    <n v="0"/>
  </r>
  <r>
    <x v="26"/>
    <x v="692"/>
    <s v="Bonny"/>
    <x v="2"/>
    <x v="2"/>
    <x v="1"/>
    <x v="2"/>
    <n v="1"/>
    <n v="75684"/>
    <n v="5"/>
    <n v="71899.8"/>
    <n v="71899.8"/>
    <n v="1500"/>
    <x v="0"/>
    <x v="0"/>
    <m/>
    <s v="okay"/>
    <x v="0"/>
    <n v="0"/>
  </r>
  <r>
    <x v="75"/>
    <x v="693"/>
    <s v="Bonny"/>
    <x v="2"/>
    <x v="3"/>
    <x v="1"/>
    <x v="2"/>
    <n v="1"/>
    <n v="74807"/>
    <n v="10"/>
    <n v="67326.3"/>
    <n v="67326.3"/>
    <n v="1000"/>
    <x v="0"/>
    <x v="0"/>
    <m/>
    <s v="okay"/>
    <x v="0"/>
    <n v="0"/>
  </r>
  <r>
    <x v="11"/>
    <x v="694"/>
    <s v="Ibadan"/>
    <x v="0"/>
    <x v="4"/>
    <x v="2"/>
    <x v="3"/>
    <n v="5"/>
    <n v="19801"/>
    <n v="15"/>
    <n v="16830.849999999999"/>
    <n v="84154.25"/>
    <n v="1000"/>
    <x v="0"/>
    <x v="1"/>
    <m/>
    <s v="no comment"/>
    <x v="1"/>
    <n v="0"/>
  </r>
  <r>
    <x v="25"/>
    <x v="695"/>
    <s v="Bonny"/>
    <x v="2"/>
    <x v="9"/>
    <x v="2"/>
    <x v="3"/>
    <n v="5"/>
    <n v="5125"/>
    <n v="0"/>
    <n v="5125"/>
    <n v="25625"/>
    <n v="2000"/>
    <x v="0"/>
    <x v="1"/>
    <m/>
    <s v="no comment"/>
    <x v="1"/>
    <n v="0"/>
  </r>
  <r>
    <x v="28"/>
    <x v="696"/>
    <s v="Port Harcourt"/>
    <x v="2"/>
    <x v="4"/>
    <x v="2"/>
    <x v="3"/>
    <n v="5"/>
    <n v="57214"/>
    <n v="0"/>
    <n v="57214"/>
    <n v="286070"/>
    <n v="1000"/>
    <x v="1"/>
    <x v="0"/>
    <m/>
    <s v="okay"/>
    <x v="0"/>
    <n v="0"/>
  </r>
  <r>
    <x v="32"/>
    <x v="697"/>
    <s v="Yaba"/>
    <x v="3"/>
    <x v="7"/>
    <x v="2"/>
    <x v="5"/>
    <n v="1"/>
    <n v="14881"/>
    <n v="5"/>
    <n v="14136.95"/>
    <n v="14136.95"/>
    <n v="1500"/>
    <x v="0"/>
    <x v="1"/>
    <m/>
    <s v="no comment"/>
    <x v="1"/>
    <n v="0"/>
  </r>
  <r>
    <x v="143"/>
    <x v="698"/>
    <s v="Bonny"/>
    <x v="2"/>
    <x v="6"/>
    <x v="2"/>
    <x v="5"/>
    <n v="1"/>
    <n v="18003"/>
    <n v="20"/>
    <n v="14402.4"/>
    <n v="14402.4"/>
    <n v="1000"/>
    <x v="1"/>
    <x v="1"/>
    <m/>
    <s v="no comment"/>
    <x v="1"/>
    <n v="0"/>
  </r>
  <r>
    <x v="69"/>
    <x v="699"/>
    <s v="Surulere"/>
    <x v="3"/>
    <x v="6"/>
    <x v="2"/>
    <x v="5"/>
    <n v="2"/>
    <n v="46581"/>
    <n v="0"/>
    <n v="46581"/>
    <n v="93162"/>
    <n v="2000"/>
    <x v="0"/>
    <x v="1"/>
    <m/>
    <s v="no comment"/>
    <x v="1"/>
    <n v="0"/>
  </r>
  <r>
    <x v="106"/>
    <x v="700"/>
    <s v="Port Harcourt"/>
    <x v="2"/>
    <x v="4"/>
    <x v="2"/>
    <x v="3"/>
    <n v="2"/>
    <n v="31092"/>
    <n v="5"/>
    <n v="29537.4"/>
    <n v="59074.8"/>
    <n v="1500"/>
    <x v="2"/>
    <x v="2"/>
    <d v="2025-05-16T00:00:00"/>
    <s v="excellent"/>
    <x v="2"/>
    <n v="11"/>
  </r>
  <r>
    <x v="161"/>
    <x v="283"/>
    <s v="Yaba"/>
    <x v="3"/>
    <x v="0"/>
    <x v="0"/>
    <x v="0"/>
    <n v="4"/>
    <n v="34208"/>
    <n v="20"/>
    <n v="27366.400000000001"/>
    <n v="109465.60000000001"/>
    <n v="2000"/>
    <x v="2"/>
    <x v="1"/>
    <m/>
    <s v="no comment"/>
    <x v="1"/>
    <n v="0"/>
  </r>
  <r>
    <x v="123"/>
    <x v="701"/>
    <s v="Eruwa"/>
    <x v="0"/>
    <x v="8"/>
    <x v="0"/>
    <x v="1"/>
    <n v="1"/>
    <n v="52251"/>
    <n v="10"/>
    <n v="47025.9"/>
    <n v="47025.9"/>
    <n v="1500"/>
    <x v="0"/>
    <x v="1"/>
    <m/>
    <s v="no comment"/>
    <x v="1"/>
    <n v="0"/>
  </r>
  <r>
    <x v="81"/>
    <x v="702"/>
    <s v="Surulere"/>
    <x v="3"/>
    <x v="0"/>
    <x v="0"/>
    <x v="0"/>
    <n v="1"/>
    <n v="22573"/>
    <n v="10"/>
    <n v="20315.7"/>
    <n v="20315.7"/>
    <n v="2000"/>
    <x v="1"/>
    <x v="1"/>
    <m/>
    <s v="no comment"/>
    <x v="1"/>
    <n v="0"/>
  </r>
  <r>
    <x v="148"/>
    <x v="703"/>
    <s v="Port Harcourt"/>
    <x v="2"/>
    <x v="0"/>
    <x v="0"/>
    <x v="0"/>
    <n v="5"/>
    <n v="23441"/>
    <n v="20"/>
    <n v="18752.8"/>
    <n v="93764"/>
    <n v="1500"/>
    <x v="0"/>
    <x v="1"/>
    <m/>
    <s v="no comment"/>
    <x v="1"/>
    <n v="0"/>
  </r>
  <r>
    <x v="153"/>
    <x v="704"/>
    <s v="Maitama"/>
    <x v="1"/>
    <x v="8"/>
    <x v="0"/>
    <x v="1"/>
    <n v="1"/>
    <n v="3818"/>
    <n v="10"/>
    <n v="3436.2"/>
    <n v="3436.2"/>
    <n v="1500"/>
    <x v="2"/>
    <x v="0"/>
    <m/>
    <s v="okay"/>
    <x v="0"/>
    <n v="0"/>
  </r>
  <r>
    <x v="95"/>
    <x v="705"/>
    <s v="Eruwa"/>
    <x v="0"/>
    <x v="2"/>
    <x v="1"/>
    <x v="2"/>
    <n v="3"/>
    <n v="28471"/>
    <n v="15"/>
    <n v="24200.35"/>
    <n v="72601.049999999988"/>
    <n v="1000"/>
    <x v="1"/>
    <x v="1"/>
    <m/>
    <s v="no comment"/>
    <x v="1"/>
    <n v="0"/>
  </r>
  <r>
    <x v="103"/>
    <x v="706"/>
    <s v="Maitama"/>
    <x v="1"/>
    <x v="0"/>
    <x v="0"/>
    <x v="0"/>
    <n v="4"/>
    <n v="19698"/>
    <n v="5"/>
    <n v="18713.099999999999"/>
    <n v="74852.399999999994"/>
    <n v="2000"/>
    <x v="0"/>
    <x v="1"/>
    <m/>
    <s v="no comment"/>
    <x v="1"/>
    <n v="0"/>
  </r>
  <r>
    <x v="64"/>
    <x v="707"/>
    <s v="Gwarinpa"/>
    <x v="1"/>
    <x v="9"/>
    <x v="2"/>
    <x v="3"/>
    <n v="2"/>
    <n v="42144"/>
    <n v="20"/>
    <n v="33715.199999999997"/>
    <n v="67430.399999999994"/>
    <n v="1000"/>
    <x v="1"/>
    <x v="0"/>
    <m/>
    <s v="okay"/>
    <x v="0"/>
    <n v="0"/>
  </r>
  <r>
    <x v="64"/>
    <x v="708"/>
    <s v="Bonny"/>
    <x v="2"/>
    <x v="0"/>
    <x v="0"/>
    <x v="0"/>
    <n v="5"/>
    <n v="16410"/>
    <n v="10"/>
    <n v="14769"/>
    <n v="73845"/>
    <n v="1500"/>
    <x v="1"/>
    <x v="1"/>
    <m/>
    <s v="no comment"/>
    <x v="1"/>
    <n v="0"/>
  </r>
  <r>
    <x v="121"/>
    <x v="709"/>
    <s v="Bonny"/>
    <x v="2"/>
    <x v="9"/>
    <x v="2"/>
    <x v="3"/>
    <n v="4"/>
    <n v="53457"/>
    <n v="15"/>
    <n v="45438.45"/>
    <n v="181753.8"/>
    <n v="2000"/>
    <x v="2"/>
    <x v="2"/>
    <d v="2025-04-28T00:00:00"/>
    <s v="excellent"/>
    <x v="2"/>
    <n v="14"/>
  </r>
  <r>
    <x v="7"/>
    <x v="710"/>
    <s v="Oyigbo"/>
    <x v="2"/>
    <x v="11"/>
    <x v="0"/>
    <x v="0"/>
    <n v="2"/>
    <n v="22650"/>
    <n v="10"/>
    <n v="20385"/>
    <n v="40770"/>
    <n v="1500"/>
    <x v="2"/>
    <x v="1"/>
    <m/>
    <s v="no comment"/>
    <x v="1"/>
    <n v="0"/>
  </r>
  <r>
    <x v="180"/>
    <x v="711"/>
    <s v="Lekki"/>
    <x v="3"/>
    <x v="4"/>
    <x v="2"/>
    <x v="3"/>
    <n v="3"/>
    <n v="30167"/>
    <n v="0"/>
    <n v="30167"/>
    <n v="90501"/>
    <n v="2000"/>
    <x v="1"/>
    <x v="2"/>
    <d v="2025-06-27T00:00:00"/>
    <s v="excellent"/>
    <x v="2"/>
    <n v="8"/>
  </r>
  <r>
    <x v="131"/>
    <x v="712"/>
    <s v="Surulere"/>
    <x v="3"/>
    <x v="10"/>
    <x v="1"/>
    <x v="4"/>
    <n v="5"/>
    <n v="28624"/>
    <n v="10"/>
    <n v="25761.599999999999"/>
    <n v="128808"/>
    <n v="1500"/>
    <x v="2"/>
    <x v="0"/>
    <m/>
    <s v="okay"/>
    <x v="0"/>
    <n v="0"/>
  </r>
  <r>
    <x v="73"/>
    <x v="713"/>
    <s v="Yaba"/>
    <x v="3"/>
    <x v="9"/>
    <x v="2"/>
    <x v="3"/>
    <n v="5"/>
    <n v="13328"/>
    <n v="15"/>
    <n v="11328.8"/>
    <n v="56644"/>
    <n v="2000"/>
    <x v="2"/>
    <x v="2"/>
    <d v="2025-02-24T00:00:00"/>
    <s v="excellent"/>
    <x v="2"/>
    <n v="8"/>
  </r>
  <r>
    <x v="140"/>
    <x v="714"/>
    <s v="Eruwa"/>
    <x v="0"/>
    <x v="3"/>
    <x v="1"/>
    <x v="2"/>
    <n v="3"/>
    <n v="29760"/>
    <n v="10"/>
    <n v="26784"/>
    <n v="80352"/>
    <n v="2000"/>
    <x v="0"/>
    <x v="1"/>
    <m/>
    <s v="no comment"/>
    <x v="1"/>
    <n v="0"/>
  </r>
  <r>
    <x v="171"/>
    <x v="715"/>
    <s v="Ikeja"/>
    <x v="3"/>
    <x v="10"/>
    <x v="1"/>
    <x v="4"/>
    <n v="3"/>
    <n v="24667"/>
    <n v="5"/>
    <n v="23433.65"/>
    <n v="70300.950000000012"/>
    <n v="1500"/>
    <x v="0"/>
    <x v="1"/>
    <m/>
    <s v="no comment"/>
    <x v="1"/>
    <n v="0"/>
  </r>
  <r>
    <x v="57"/>
    <x v="716"/>
    <s v="Wuse"/>
    <x v="1"/>
    <x v="10"/>
    <x v="1"/>
    <x v="4"/>
    <n v="3"/>
    <n v="66511"/>
    <n v="0"/>
    <n v="66511"/>
    <n v="199533"/>
    <n v="1500"/>
    <x v="2"/>
    <x v="1"/>
    <m/>
    <s v="no comment"/>
    <x v="1"/>
    <n v="0"/>
  </r>
  <r>
    <x v="67"/>
    <x v="717"/>
    <s v="Oyigbo"/>
    <x v="2"/>
    <x v="10"/>
    <x v="1"/>
    <x v="4"/>
    <n v="2"/>
    <n v="70848"/>
    <n v="10"/>
    <n v="60220.800000000003"/>
    <n v="120441.60000000001"/>
    <n v="1500"/>
    <x v="0"/>
    <x v="1"/>
    <m/>
    <s v="no comment"/>
    <x v="1"/>
    <n v="0"/>
  </r>
  <r>
    <x v="37"/>
    <x v="718"/>
    <s v="Ikeja"/>
    <x v="3"/>
    <x v="10"/>
    <x v="1"/>
    <x v="4"/>
    <n v="2"/>
    <n v="72871"/>
    <n v="20"/>
    <n v="58296.800000000003"/>
    <n v="116593.60000000001"/>
    <n v="2000"/>
    <x v="1"/>
    <x v="2"/>
    <d v="2025-02-18T00:00:00"/>
    <s v="excellent"/>
    <x v="2"/>
    <n v="9"/>
  </r>
  <r>
    <x v="17"/>
    <x v="719"/>
    <s v="Ogbomosho"/>
    <x v="0"/>
    <x v="4"/>
    <x v="2"/>
    <x v="3"/>
    <n v="3"/>
    <n v="71455"/>
    <n v="20"/>
    <n v="57164"/>
    <n v="171492"/>
    <n v="1000"/>
    <x v="2"/>
    <x v="1"/>
    <m/>
    <s v="no comment"/>
    <x v="1"/>
    <n v="0"/>
  </r>
  <r>
    <x v="39"/>
    <x v="720"/>
    <s v="Oyigbo"/>
    <x v="2"/>
    <x v="2"/>
    <x v="1"/>
    <x v="2"/>
    <n v="5"/>
    <n v="50754"/>
    <n v="10"/>
    <n v="45678.6"/>
    <n v="228393"/>
    <n v="1000"/>
    <x v="1"/>
    <x v="1"/>
    <m/>
    <s v="no comment"/>
    <x v="1"/>
    <n v="0"/>
  </r>
  <r>
    <x v="103"/>
    <x v="721"/>
    <s v="Eruwa"/>
    <x v="0"/>
    <x v="0"/>
    <x v="0"/>
    <x v="0"/>
    <n v="1"/>
    <n v="79625"/>
    <n v="20"/>
    <n v="63700"/>
    <n v="63700"/>
    <n v="2000"/>
    <x v="2"/>
    <x v="0"/>
    <m/>
    <s v="okay"/>
    <x v="0"/>
    <n v="0"/>
  </r>
  <r>
    <x v="135"/>
    <x v="722"/>
    <s v="Eruwa"/>
    <x v="0"/>
    <x v="11"/>
    <x v="0"/>
    <x v="0"/>
    <n v="1"/>
    <n v="19986"/>
    <n v="10"/>
    <n v="17987.400000000001"/>
    <n v="17987.400000000001"/>
    <n v="1500"/>
    <x v="2"/>
    <x v="1"/>
    <m/>
    <s v="no comment"/>
    <x v="1"/>
    <n v="0"/>
  </r>
  <r>
    <x v="73"/>
    <x v="723"/>
    <s v="Bonny"/>
    <x v="2"/>
    <x v="10"/>
    <x v="1"/>
    <x v="4"/>
    <n v="5"/>
    <n v="16181"/>
    <n v="15"/>
    <n v="13753.85"/>
    <n v="68769.25"/>
    <n v="1000"/>
    <x v="0"/>
    <x v="0"/>
    <m/>
    <s v="okay"/>
    <x v="0"/>
    <n v="0"/>
  </r>
  <r>
    <x v="84"/>
    <x v="724"/>
    <s v="Maitama"/>
    <x v="1"/>
    <x v="6"/>
    <x v="2"/>
    <x v="5"/>
    <n v="1"/>
    <n v="49086"/>
    <n v="5"/>
    <n v="46631.7"/>
    <n v="46631.7"/>
    <n v="1500"/>
    <x v="0"/>
    <x v="1"/>
    <m/>
    <s v="no comment"/>
    <x v="1"/>
    <n v="0"/>
  </r>
  <r>
    <x v="108"/>
    <x v="725"/>
    <s v="Asokoro"/>
    <x v="1"/>
    <x v="10"/>
    <x v="1"/>
    <x v="4"/>
    <n v="3"/>
    <n v="67511"/>
    <n v="15"/>
    <n v="57384.35"/>
    <n v="172153.05"/>
    <n v="2000"/>
    <x v="2"/>
    <x v="2"/>
    <d v="2025-05-31T00:00:00"/>
    <s v="excellent"/>
    <x v="2"/>
    <n v="7"/>
  </r>
  <r>
    <x v="58"/>
    <x v="726"/>
    <s v="Asokoro"/>
    <x v="1"/>
    <x v="8"/>
    <x v="0"/>
    <x v="1"/>
    <n v="4"/>
    <n v="57143"/>
    <n v="0"/>
    <n v="57143"/>
    <n v="228572"/>
    <n v="1500"/>
    <x v="0"/>
    <x v="0"/>
    <m/>
    <s v="okay"/>
    <x v="0"/>
    <n v="0"/>
  </r>
  <r>
    <x v="106"/>
    <x v="727"/>
    <s v="Asokoro"/>
    <x v="1"/>
    <x v="6"/>
    <x v="2"/>
    <x v="5"/>
    <n v="1"/>
    <n v="14949"/>
    <n v="15"/>
    <n v="12706.65"/>
    <n v="12706.65"/>
    <n v="1000"/>
    <x v="2"/>
    <x v="2"/>
    <d v="2025-05-13T00:00:00"/>
    <s v="excellent"/>
    <x v="2"/>
    <n v="8"/>
  </r>
  <r>
    <x v="160"/>
    <x v="728"/>
    <s v="Oyigbo"/>
    <x v="2"/>
    <x v="11"/>
    <x v="0"/>
    <x v="0"/>
    <n v="3"/>
    <n v="37433"/>
    <n v="10"/>
    <n v="33689.699999999997"/>
    <n v="101069.1"/>
    <n v="1000"/>
    <x v="1"/>
    <x v="0"/>
    <m/>
    <s v="okay"/>
    <x v="0"/>
    <n v="0"/>
  </r>
  <r>
    <x v="107"/>
    <x v="729"/>
    <s v="Wuse"/>
    <x v="1"/>
    <x v="0"/>
    <x v="0"/>
    <x v="0"/>
    <n v="1"/>
    <n v="25925"/>
    <n v="10"/>
    <n v="23332.5"/>
    <n v="23332.5"/>
    <n v="2000"/>
    <x v="0"/>
    <x v="1"/>
    <m/>
    <s v="no comment"/>
    <x v="1"/>
    <n v="0"/>
  </r>
  <r>
    <x v="151"/>
    <x v="730"/>
    <s v="Bonny"/>
    <x v="2"/>
    <x v="2"/>
    <x v="1"/>
    <x v="2"/>
    <n v="5"/>
    <n v="9012"/>
    <n v="5"/>
    <n v="8561.4"/>
    <n v="42807"/>
    <n v="1500"/>
    <x v="2"/>
    <x v="1"/>
    <m/>
    <s v="no comment"/>
    <x v="1"/>
    <n v="0"/>
  </r>
  <r>
    <x v="53"/>
    <x v="731"/>
    <s v="Wuse"/>
    <x v="1"/>
    <x v="7"/>
    <x v="2"/>
    <x v="5"/>
    <n v="5"/>
    <n v="51164"/>
    <n v="0"/>
    <n v="51164"/>
    <n v="255820"/>
    <n v="1500"/>
    <x v="1"/>
    <x v="0"/>
    <m/>
    <s v="okay"/>
    <x v="0"/>
    <n v="0"/>
  </r>
  <r>
    <x v="164"/>
    <x v="732"/>
    <s v="Lekki"/>
    <x v="3"/>
    <x v="11"/>
    <x v="0"/>
    <x v="0"/>
    <n v="4"/>
    <n v="46721"/>
    <n v="15"/>
    <n v="39712.85"/>
    <n v="158851.4"/>
    <n v="2000"/>
    <x v="2"/>
    <x v="1"/>
    <m/>
    <s v="no comment"/>
    <x v="1"/>
    <n v="0"/>
  </r>
  <r>
    <x v="139"/>
    <x v="733"/>
    <s v="Eruwa"/>
    <x v="0"/>
    <x v="7"/>
    <x v="2"/>
    <x v="5"/>
    <n v="1"/>
    <n v="15626"/>
    <n v="10"/>
    <n v="14063.4"/>
    <n v="14063.4"/>
    <n v="1000"/>
    <x v="2"/>
    <x v="0"/>
    <m/>
    <s v="okay"/>
    <x v="0"/>
    <n v="0"/>
  </r>
  <r>
    <x v="122"/>
    <x v="734"/>
    <s v="Surulere"/>
    <x v="3"/>
    <x v="11"/>
    <x v="0"/>
    <x v="0"/>
    <n v="3"/>
    <n v="13867"/>
    <n v="10"/>
    <n v="12480.3"/>
    <n v="37440.899999999987"/>
    <n v="1500"/>
    <x v="2"/>
    <x v="2"/>
    <d v="2025-01-22T00:00:00"/>
    <s v="excellent"/>
    <x v="2"/>
    <n v="11"/>
  </r>
  <r>
    <x v="33"/>
    <x v="735"/>
    <s v="Iseyin"/>
    <x v="0"/>
    <x v="8"/>
    <x v="0"/>
    <x v="1"/>
    <n v="1"/>
    <n v="59050"/>
    <n v="10"/>
    <n v="53145"/>
    <n v="53145"/>
    <n v="2000"/>
    <x v="1"/>
    <x v="2"/>
    <d v="2025-03-17T00:00:00"/>
    <s v="excellent"/>
    <x v="2"/>
    <n v="12"/>
  </r>
  <r>
    <x v="13"/>
    <x v="736"/>
    <s v="Iseyin"/>
    <x v="0"/>
    <x v="1"/>
    <x v="0"/>
    <x v="1"/>
    <n v="3"/>
    <n v="78075"/>
    <n v="5"/>
    <n v="74171.25"/>
    <n v="222513.75"/>
    <n v="1500"/>
    <x v="0"/>
    <x v="1"/>
    <m/>
    <s v="no comment"/>
    <x v="1"/>
    <n v="0"/>
  </r>
  <r>
    <x v="43"/>
    <x v="737"/>
    <s v="Maitama"/>
    <x v="1"/>
    <x v="2"/>
    <x v="1"/>
    <x v="2"/>
    <n v="2"/>
    <n v="39703"/>
    <n v="15"/>
    <n v="33747.550000000003"/>
    <n v="67495.100000000006"/>
    <n v="1500"/>
    <x v="2"/>
    <x v="2"/>
    <d v="2025-03-10T00:00:00"/>
    <s v="excellent"/>
    <x v="2"/>
    <n v="8"/>
  </r>
  <r>
    <x v="148"/>
    <x v="738"/>
    <s v="Maitama"/>
    <x v="1"/>
    <x v="11"/>
    <x v="0"/>
    <x v="0"/>
    <n v="3"/>
    <n v="51035"/>
    <n v="15"/>
    <n v="43379.75"/>
    <n v="130139.25"/>
    <n v="2000"/>
    <x v="2"/>
    <x v="0"/>
    <m/>
    <s v="okay"/>
    <x v="0"/>
    <n v="0"/>
  </r>
  <r>
    <x v="14"/>
    <x v="739"/>
    <s v="Bonny"/>
    <x v="2"/>
    <x v="6"/>
    <x v="2"/>
    <x v="5"/>
    <n v="5"/>
    <n v="60687"/>
    <n v="10"/>
    <n v="54618.3"/>
    <n v="273091.5"/>
    <n v="1000"/>
    <x v="2"/>
    <x v="2"/>
    <d v="2025-03-19T00:00:00"/>
    <s v="excellent"/>
    <x v="2"/>
    <n v="3"/>
  </r>
  <r>
    <x v="132"/>
    <x v="740"/>
    <s v="Asokoro"/>
    <x v="1"/>
    <x v="4"/>
    <x v="2"/>
    <x v="3"/>
    <n v="5"/>
    <n v="75461"/>
    <n v="0"/>
    <n v="75461"/>
    <n v="377305"/>
    <n v="2000"/>
    <x v="1"/>
    <x v="0"/>
    <m/>
    <s v="okay"/>
    <x v="0"/>
    <n v="0"/>
  </r>
  <r>
    <x v="148"/>
    <x v="741"/>
    <s v="Asokoro"/>
    <x v="1"/>
    <x v="2"/>
    <x v="1"/>
    <x v="2"/>
    <n v="1"/>
    <n v="28829"/>
    <n v="15"/>
    <n v="24504.65"/>
    <n v="24504.65"/>
    <n v="2000"/>
    <x v="0"/>
    <x v="1"/>
    <m/>
    <s v="no comment"/>
    <x v="1"/>
    <n v="0"/>
  </r>
  <r>
    <x v="90"/>
    <x v="742"/>
    <s v="Eruwa"/>
    <x v="0"/>
    <x v="2"/>
    <x v="1"/>
    <x v="2"/>
    <n v="3"/>
    <n v="69356"/>
    <n v="20"/>
    <n v="55484.800000000003"/>
    <n v="166454.39999999999"/>
    <n v="1500"/>
    <x v="0"/>
    <x v="0"/>
    <m/>
    <s v="okay"/>
    <x v="0"/>
    <n v="0"/>
  </r>
  <r>
    <x v="55"/>
    <x v="743"/>
    <s v="Ibadan"/>
    <x v="0"/>
    <x v="8"/>
    <x v="0"/>
    <x v="1"/>
    <n v="2"/>
    <n v="68548"/>
    <n v="5"/>
    <n v="65120.6"/>
    <n v="130241.2"/>
    <n v="2000"/>
    <x v="1"/>
    <x v="1"/>
    <m/>
    <s v="no comment"/>
    <x v="1"/>
    <n v="0"/>
  </r>
  <r>
    <x v="43"/>
    <x v="744"/>
    <s v="Obio-Akpor"/>
    <x v="2"/>
    <x v="2"/>
    <x v="1"/>
    <x v="2"/>
    <n v="1"/>
    <n v="49677"/>
    <n v="20"/>
    <n v="39741.599999999999"/>
    <n v="39741.599999999999"/>
    <n v="2000"/>
    <x v="0"/>
    <x v="0"/>
    <m/>
    <s v="okay"/>
    <x v="0"/>
    <n v="0"/>
  </r>
  <r>
    <x v="74"/>
    <x v="745"/>
    <s v="Obio-Akpor"/>
    <x v="2"/>
    <x v="7"/>
    <x v="2"/>
    <x v="5"/>
    <n v="1"/>
    <n v="31078"/>
    <n v="0"/>
    <n v="31078"/>
    <n v="31078"/>
    <n v="1000"/>
    <x v="1"/>
    <x v="1"/>
    <m/>
    <s v="no comment"/>
    <x v="1"/>
    <n v="0"/>
  </r>
  <r>
    <x v="156"/>
    <x v="746"/>
    <s v="Ogbomosho"/>
    <x v="0"/>
    <x v="9"/>
    <x v="2"/>
    <x v="3"/>
    <n v="3"/>
    <n v="66135"/>
    <n v="0"/>
    <n v="66135"/>
    <n v="198405"/>
    <n v="1500"/>
    <x v="1"/>
    <x v="0"/>
    <m/>
    <s v="okay"/>
    <x v="0"/>
    <n v="0"/>
  </r>
  <r>
    <x v="61"/>
    <x v="747"/>
    <s v="Iseyin"/>
    <x v="0"/>
    <x v="7"/>
    <x v="2"/>
    <x v="5"/>
    <n v="1"/>
    <n v="67773"/>
    <n v="0"/>
    <n v="67773"/>
    <n v="67773"/>
    <n v="1000"/>
    <x v="2"/>
    <x v="2"/>
    <d v="2025-03-27T00:00:00"/>
    <s v="excellent"/>
    <x v="2"/>
    <n v="12"/>
  </r>
  <r>
    <x v="129"/>
    <x v="748"/>
    <s v="Iseyin"/>
    <x v="0"/>
    <x v="1"/>
    <x v="0"/>
    <x v="1"/>
    <n v="2"/>
    <n v="48369"/>
    <n v="5"/>
    <n v="45950.55"/>
    <n v="91901.1"/>
    <n v="1500"/>
    <x v="1"/>
    <x v="0"/>
    <m/>
    <s v="okay"/>
    <x v="0"/>
    <n v="0"/>
  </r>
  <r>
    <x v="92"/>
    <x v="749"/>
    <s v="Bonny"/>
    <x v="2"/>
    <x v="7"/>
    <x v="2"/>
    <x v="5"/>
    <n v="4"/>
    <n v="7775"/>
    <n v="5"/>
    <n v="7386.25"/>
    <n v="29545"/>
    <n v="2000"/>
    <x v="1"/>
    <x v="0"/>
    <m/>
    <s v="okay"/>
    <x v="0"/>
    <n v="0"/>
  </r>
  <r>
    <x v="39"/>
    <x v="750"/>
    <s v="Ogbomosho"/>
    <x v="0"/>
    <x v="4"/>
    <x v="2"/>
    <x v="3"/>
    <n v="4"/>
    <n v="1864"/>
    <n v="20"/>
    <n v="1491.2"/>
    <n v="5964.8"/>
    <n v="1000"/>
    <x v="1"/>
    <x v="1"/>
    <m/>
    <s v="no comment"/>
    <x v="1"/>
    <n v="0"/>
  </r>
  <r>
    <x v="54"/>
    <x v="751"/>
    <s v="Maitama"/>
    <x v="1"/>
    <x v="8"/>
    <x v="0"/>
    <x v="1"/>
    <n v="3"/>
    <n v="10244"/>
    <n v="0"/>
    <n v="10244"/>
    <n v="30732"/>
    <n v="2000"/>
    <x v="0"/>
    <x v="0"/>
    <m/>
    <s v="okay"/>
    <x v="0"/>
    <n v="0"/>
  </r>
  <r>
    <x v="42"/>
    <x v="752"/>
    <s v="Oyigbo"/>
    <x v="2"/>
    <x v="3"/>
    <x v="1"/>
    <x v="2"/>
    <n v="2"/>
    <n v="62808"/>
    <n v="10"/>
    <n v="56527.199999999997"/>
    <n v="113054.39999999999"/>
    <n v="1500"/>
    <x v="1"/>
    <x v="1"/>
    <m/>
    <s v="no comment"/>
    <x v="1"/>
    <n v="0"/>
  </r>
  <r>
    <x v="163"/>
    <x v="753"/>
    <s v="Maitama"/>
    <x v="1"/>
    <x v="3"/>
    <x v="1"/>
    <x v="2"/>
    <n v="2"/>
    <n v="24110"/>
    <n v="5"/>
    <n v="22904.5"/>
    <n v="45809"/>
    <n v="1500"/>
    <x v="0"/>
    <x v="2"/>
    <d v="2025-04-15T00:00:00"/>
    <s v="excellent"/>
    <x v="2"/>
    <n v="6"/>
  </r>
  <r>
    <x v="3"/>
    <x v="754"/>
    <s v="Wuse"/>
    <x v="1"/>
    <x v="11"/>
    <x v="0"/>
    <x v="0"/>
    <n v="5"/>
    <n v="53538"/>
    <n v="10"/>
    <n v="48184.2"/>
    <n v="240921"/>
    <n v="1000"/>
    <x v="1"/>
    <x v="0"/>
    <m/>
    <s v="okay"/>
    <x v="0"/>
    <n v="0"/>
  </r>
  <r>
    <x v="50"/>
    <x v="755"/>
    <s v="Asokoro"/>
    <x v="1"/>
    <x v="0"/>
    <x v="0"/>
    <x v="0"/>
    <n v="3"/>
    <n v="24426"/>
    <n v="5"/>
    <n v="23204.7"/>
    <n v="69614.100000000006"/>
    <n v="2000"/>
    <x v="2"/>
    <x v="1"/>
    <m/>
    <s v="no comment"/>
    <x v="1"/>
    <n v="0"/>
  </r>
  <r>
    <x v="157"/>
    <x v="756"/>
    <s v="Wuse"/>
    <x v="1"/>
    <x v="5"/>
    <x v="1"/>
    <x v="4"/>
    <n v="1"/>
    <n v="11885"/>
    <n v="20"/>
    <n v="9508"/>
    <n v="9508"/>
    <n v="1000"/>
    <x v="0"/>
    <x v="0"/>
    <m/>
    <s v="okay"/>
    <x v="0"/>
    <n v="0"/>
  </r>
  <r>
    <x v="159"/>
    <x v="757"/>
    <s v="Obio-Akpor"/>
    <x v="2"/>
    <x v="0"/>
    <x v="0"/>
    <x v="0"/>
    <n v="1"/>
    <n v="70653"/>
    <n v="10"/>
    <n v="63587.7"/>
    <n v="63587.7"/>
    <n v="2000"/>
    <x v="2"/>
    <x v="2"/>
    <d v="2025-01-25T00:00:00"/>
    <s v="excellent"/>
    <x v="2"/>
    <n v="12"/>
  </r>
  <r>
    <x v="87"/>
    <x v="758"/>
    <s v="Port Harcourt"/>
    <x v="2"/>
    <x v="0"/>
    <x v="0"/>
    <x v="0"/>
    <n v="5"/>
    <n v="25691"/>
    <n v="10"/>
    <n v="23121.9"/>
    <n v="115609.5"/>
    <n v="1500"/>
    <x v="2"/>
    <x v="1"/>
    <m/>
    <s v="no comment"/>
    <x v="1"/>
    <n v="0"/>
  </r>
  <r>
    <x v="39"/>
    <x v="759"/>
    <s v="Ibadan"/>
    <x v="0"/>
    <x v="8"/>
    <x v="0"/>
    <x v="1"/>
    <n v="4"/>
    <n v="26701"/>
    <n v="15"/>
    <n v="22695.85"/>
    <n v="90783.4"/>
    <n v="1500"/>
    <x v="1"/>
    <x v="0"/>
    <m/>
    <s v="okay"/>
    <x v="0"/>
    <n v="0"/>
  </r>
  <r>
    <x v="58"/>
    <x v="760"/>
    <s v="Ikeja"/>
    <x v="3"/>
    <x v="6"/>
    <x v="2"/>
    <x v="5"/>
    <n v="4"/>
    <n v="77104"/>
    <n v="5"/>
    <n v="73248.800000000003"/>
    <n v="292995.20000000001"/>
    <n v="1000"/>
    <x v="0"/>
    <x v="1"/>
    <m/>
    <s v="no comment"/>
    <x v="1"/>
    <n v="0"/>
  </r>
  <r>
    <x v="49"/>
    <x v="761"/>
    <s v="Obio-Akpor"/>
    <x v="2"/>
    <x v="1"/>
    <x v="0"/>
    <x v="1"/>
    <n v="4"/>
    <n v="7258"/>
    <n v="15"/>
    <n v="6169.3"/>
    <n v="24677.200000000001"/>
    <n v="2000"/>
    <x v="2"/>
    <x v="0"/>
    <m/>
    <s v="okay"/>
    <x v="0"/>
    <n v="0"/>
  </r>
  <r>
    <x v="4"/>
    <x v="762"/>
    <s v="Oyigbo"/>
    <x v="2"/>
    <x v="3"/>
    <x v="1"/>
    <x v="2"/>
    <n v="1"/>
    <n v="27182"/>
    <n v="5"/>
    <n v="25822.9"/>
    <n v="25822.9"/>
    <n v="1000"/>
    <x v="2"/>
    <x v="0"/>
    <m/>
    <s v="okay"/>
    <x v="0"/>
    <n v="0"/>
  </r>
  <r>
    <x v="114"/>
    <x v="763"/>
    <s v="Bonny"/>
    <x v="2"/>
    <x v="2"/>
    <x v="1"/>
    <x v="2"/>
    <n v="1"/>
    <n v="26549"/>
    <n v="20"/>
    <n v="21239.200000000001"/>
    <n v="21239.200000000001"/>
    <n v="1500"/>
    <x v="1"/>
    <x v="0"/>
    <m/>
    <s v="okay"/>
    <x v="0"/>
    <n v="0"/>
  </r>
  <r>
    <x v="121"/>
    <x v="764"/>
    <s v="Obio-Akpor"/>
    <x v="2"/>
    <x v="8"/>
    <x v="0"/>
    <x v="1"/>
    <n v="4"/>
    <n v="8983"/>
    <n v="0"/>
    <n v="8983"/>
    <n v="35932"/>
    <n v="1000"/>
    <x v="1"/>
    <x v="1"/>
    <m/>
    <s v="no comment"/>
    <x v="1"/>
    <n v="0"/>
  </r>
  <r>
    <x v="16"/>
    <x v="765"/>
    <s v="Ikeja"/>
    <x v="3"/>
    <x v="8"/>
    <x v="0"/>
    <x v="1"/>
    <n v="4"/>
    <n v="34815"/>
    <n v="15"/>
    <n v="29592.75"/>
    <n v="118371"/>
    <n v="1500"/>
    <x v="0"/>
    <x v="1"/>
    <m/>
    <s v="no comment"/>
    <x v="1"/>
    <n v="0"/>
  </r>
  <r>
    <x v="142"/>
    <x v="766"/>
    <s v="Surulere"/>
    <x v="3"/>
    <x v="4"/>
    <x v="2"/>
    <x v="3"/>
    <n v="1"/>
    <n v="51352"/>
    <n v="20"/>
    <n v="41081.599999999999"/>
    <n v="41081.599999999999"/>
    <n v="1000"/>
    <x v="1"/>
    <x v="0"/>
    <m/>
    <s v="okay"/>
    <x v="0"/>
    <n v="0"/>
  </r>
  <r>
    <x v="114"/>
    <x v="767"/>
    <s v="Ikeja"/>
    <x v="3"/>
    <x v="3"/>
    <x v="1"/>
    <x v="2"/>
    <n v="1"/>
    <n v="12368"/>
    <n v="15"/>
    <n v="10512.8"/>
    <n v="10512.8"/>
    <n v="1500"/>
    <x v="2"/>
    <x v="0"/>
    <m/>
    <s v="okay"/>
    <x v="0"/>
    <n v="0"/>
  </r>
  <r>
    <x v="164"/>
    <x v="768"/>
    <s v="Ogbomosho"/>
    <x v="0"/>
    <x v="9"/>
    <x v="2"/>
    <x v="3"/>
    <n v="1"/>
    <n v="46155"/>
    <n v="5"/>
    <n v="43847.25"/>
    <n v="43847.25"/>
    <n v="1000"/>
    <x v="1"/>
    <x v="1"/>
    <m/>
    <s v="no comment"/>
    <x v="1"/>
    <n v="0"/>
  </r>
  <r>
    <x v="19"/>
    <x v="769"/>
    <s v="Eruwa"/>
    <x v="0"/>
    <x v="10"/>
    <x v="1"/>
    <x v="4"/>
    <n v="3"/>
    <n v="64394"/>
    <n v="10"/>
    <n v="57954.6"/>
    <n v="173863.8"/>
    <n v="1000"/>
    <x v="2"/>
    <x v="2"/>
    <d v="2025-04-08T00:00:00"/>
    <s v="excellent"/>
    <x v="2"/>
    <n v="14"/>
  </r>
  <r>
    <x v="49"/>
    <x v="770"/>
    <s v="Oyigbo"/>
    <x v="2"/>
    <x v="4"/>
    <x v="2"/>
    <x v="3"/>
    <n v="5"/>
    <n v="7617"/>
    <n v="15"/>
    <n v="6474.45"/>
    <n v="32372.25"/>
    <n v="1500"/>
    <x v="1"/>
    <x v="1"/>
    <m/>
    <s v="no comment"/>
    <x v="1"/>
    <n v="0"/>
  </r>
  <r>
    <x v="111"/>
    <x v="771"/>
    <s v="Port Harcourt"/>
    <x v="2"/>
    <x v="8"/>
    <x v="0"/>
    <x v="1"/>
    <n v="4"/>
    <n v="32587"/>
    <n v="10"/>
    <n v="29328.3"/>
    <n v="117313.2"/>
    <n v="1000"/>
    <x v="0"/>
    <x v="1"/>
    <m/>
    <s v="no comment"/>
    <x v="1"/>
    <n v="0"/>
  </r>
  <r>
    <x v="161"/>
    <x v="772"/>
    <s v="Yaba"/>
    <x v="3"/>
    <x v="2"/>
    <x v="1"/>
    <x v="2"/>
    <n v="3"/>
    <n v="45819"/>
    <n v="15"/>
    <n v="38946.15"/>
    <n v="116838.45"/>
    <n v="1000"/>
    <x v="2"/>
    <x v="1"/>
    <m/>
    <s v="no comment"/>
    <x v="1"/>
    <n v="0"/>
  </r>
  <r>
    <x v="6"/>
    <x v="773"/>
    <s v="Obio-Akpor"/>
    <x v="2"/>
    <x v="0"/>
    <x v="0"/>
    <x v="0"/>
    <n v="3"/>
    <n v="38224"/>
    <n v="20"/>
    <n v="30579.200000000001"/>
    <n v="91737.600000000006"/>
    <n v="2000"/>
    <x v="0"/>
    <x v="2"/>
    <d v="2025-04-23T00:00:00"/>
    <s v="excellent"/>
    <x v="2"/>
    <n v="7"/>
  </r>
  <r>
    <x v="87"/>
    <x v="774"/>
    <s v="Ogbomosho"/>
    <x v="0"/>
    <x v="8"/>
    <x v="0"/>
    <x v="1"/>
    <n v="3"/>
    <n v="66676"/>
    <n v="5"/>
    <n v="63342.2"/>
    <n v="190026.6"/>
    <n v="1000"/>
    <x v="0"/>
    <x v="0"/>
    <m/>
    <s v="okay"/>
    <x v="0"/>
    <n v="0"/>
  </r>
  <r>
    <x v="149"/>
    <x v="775"/>
    <s v="Lekki"/>
    <x v="3"/>
    <x v="7"/>
    <x v="2"/>
    <x v="5"/>
    <n v="4"/>
    <n v="76169"/>
    <n v="15"/>
    <n v="64743.65"/>
    <n v="258974.6"/>
    <n v="2000"/>
    <x v="2"/>
    <x v="0"/>
    <m/>
    <s v="okay"/>
    <x v="0"/>
    <n v="0"/>
  </r>
  <r>
    <x v="121"/>
    <x v="776"/>
    <s v="Yaba"/>
    <x v="3"/>
    <x v="11"/>
    <x v="0"/>
    <x v="0"/>
    <n v="1"/>
    <n v="72592"/>
    <n v="10"/>
    <n v="65332.800000000003"/>
    <n v="65332.800000000003"/>
    <n v="1000"/>
    <x v="2"/>
    <x v="0"/>
    <m/>
    <s v="okay"/>
    <x v="0"/>
    <n v="0"/>
  </r>
  <r>
    <x v="109"/>
    <x v="777"/>
    <s v="Wuse"/>
    <x v="1"/>
    <x v="8"/>
    <x v="0"/>
    <x v="1"/>
    <n v="3"/>
    <n v="42648"/>
    <n v="5"/>
    <n v="40515.599999999999"/>
    <n v="121546.8"/>
    <n v="1000"/>
    <x v="0"/>
    <x v="0"/>
    <m/>
    <s v="okay"/>
    <x v="0"/>
    <n v="0"/>
  </r>
  <r>
    <x v="99"/>
    <x v="778"/>
    <s v="Gwarinpa"/>
    <x v="1"/>
    <x v="6"/>
    <x v="2"/>
    <x v="5"/>
    <n v="2"/>
    <n v="26680"/>
    <n v="20"/>
    <n v="21344"/>
    <n v="42688"/>
    <n v="1000"/>
    <x v="0"/>
    <x v="0"/>
    <m/>
    <s v="okay"/>
    <x v="0"/>
    <n v="0"/>
  </r>
  <r>
    <x v="11"/>
    <x v="779"/>
    <s v="Asokoro"/>
    <x v="1"/>
    <x v="2"/>
    <x v="1"/>
    <x v="2"/>
    <n v="3"/>
    <n v="53210"/>
    <n v="5"/>
    <n v="50549.5"/>
    <n v="151648.5"/>
    <n v="1000"/>
    <x v="1"/>
    <x v="2"/>
    <d v="2025-02-13T00:00:00"/>
    <s v="excellent"/>
    <x v="2"/>
    <n v="11"/>
  </r>
  <r>
    <x v="70"/>
    <x v="780"/>
    <s v="Gwarinpa"/>
    <x v="1"/>
    <x v="0"/>
    <x v="0"/>
    <x v="0"/>
    <n v="2"/>
    <n v="2332"/>
    <n v="5"/>
    <n v="2215.4"/>
    <n v="4430.8"/>
    <n v="1500"/>
    <x v="1"/>
    <x v="0"/>
    <m/>
    <s v="okay"/>
    <x v="0"/>
    <n v="0"/>
  </r>
  <r>
    <x v="33"/>
    <x v="781"/>
    <s v="Ikeja"/>
    <x v="3"/>
    <x v="1"/>
    <x v="0"/>
    <x v="1"/>
    <n v="2"/>
    <n v="18453"/>
    <n v="20"/>
    <n v="14762.4"/>
    <n v="29524.799999999999"/>
    <n v="1000"/>
    <x v="1"/>
    <x v="1"/>
    <m/>
    <s v="no comment"/>
    <x v="1"/>
    <n v="0"/>
  </r>
  <r>
    <x v="89"/>
    <x v="782"/>
    <s v="Ibadan"/>
    <x v="0"/>
    <x v="5"/>
    <x v="1"/>
    <x v="4"/>
    <n v="3"/>
    <n v="36052"/>
    <n v="10"/>
    <n v="32446.799999999999"/>
    <n v="97340.4"/>
    <n v="2000"/>
    <x v="1"/>
    <x v="1"/>
    <m/>
    <s v="no comment"/>
    <x v="1"/>
    <n v="0"/>
  </r>
  <r>
    <x v="80"/>
    <x v="783"/>
    <s v="Ikeja"/>
    <x v="3"/>
    <x v="2"/>
    <x v="1"/>
    <x v="2"/>
    <n v="4"/>
    <n v="5561"/>
    <n v="5"/>
    <n v="5282.95"/>
    <n v="21131.8"/>
    <n v="2000"/>
    <x v="0"/>
    <x v="2"/>
    <d v="2025-04-30T00:00:00"/>
    <s v="excellent"/>
    <x v="2"/>
    <n v="9"/>
  </r>
  <r>
    <x v="70"/>
    <x v="784"/>
    <s v="Ikeja"/>
    <x v="3"/>
    <x v="2"/>
    <x v="1"/>
    <x v="2"/>
    <n v="4"/>
    <n v="52361"/>
    <n v="20"/>
    <n v="41888.800000000003"/>
    <n v="167555.20000000001"/>
    <n v="1500"/>
    <x v="0"/>
    <x v="1"/>
    <m/>
    <s v="no comment"/>
    <x v="1"/>
    <n v="0"/>
  </r>
  <r>
    <x v="36"/>
    <x v="785"/>
    <s v="Asokoro"/>
    <x v="1"/>
    <x v="5"/>
    <x v="1"/>
    <x v="4"/>
    <n v="2"/>
    <n v="57239"/>
    <n v="5"/>
    <n v="54377.05"/>
    <n v="108754.1"/>
    <n v="2000"/>
    <x v="0"/>
    <x v="2"/>
    <d v="2025-04-29T00:00:00"/>
    <s v="excellent"/>
    <x v="2"/>
    <n v="11"/>
  </r>
  <r>
    <x v="88"/>
    <x v="786"/>
    <s v="Asokoro"/>
    <x v="1"/>
    <x v="7"/>
    <x v="2"/>
    <x v="5"/>
    <n v="3"/>
    <n v="42104"/>
    <n v="0"/>
    <n v="42104"/>
    <n v="126312"/>
    <n v="1000"/>
    <x v="1"/>
    <x v="1"/>
    <m/>
    <s v="no comment"/>
    <x v="1"/>
    <n v="0"/>
  </r>
  <r>
    <x v="123"/>
    <x v="787"/>
    <s v="Wuse"/>
    <x v="1"/>
    <x v="5"/>
    <x v="1"/>
    <x v="4"/>
    <n v="3"/>
    <n v="49425"/>
    <n v="5"/>
    <n v="46953.75"/>
    <n v="140861.25"/>
    <n v="2000"/>
    <x v="1"/>
    <x v="0"/>
    <m/>
    <s v="okay"/>
    <x v="0"/>
    <n v="0"/>
  </r>
  <r>
    <x v="30"/>
    <x v="788"/>
    <s v="Ogbomosho"/>
    <x v="0"/>
    <x v="5"/>
    <x v="1"/>
    <x v="4"/>
    <n v="5"/>
    <n v="48980"/>
    <n v="5"/>
    <n v="46531"/>
    <n v="232655"/>
    <n v="1500"/>
    <x v="1"/>
    <x v="2"/>
    <d v="2025-07-04T00:00:00"/>
    <s v="excellent"/>
    <x v="2"/>
    <n v="6"/>
  </r>
  <r>
    <x v="56"/>
    <x v="789"/>
    <s v="Wuse"/>
    <x v="1"/>
    <x v="4"/>
    <x v="2"/>
    <x v="3"/>
    <n v="3"/>
    <n v="23196"/>
    <n v="0"/>
    <n v="23196"/>
    <n v="69588"/>
    <n v="1500"/>
    <x v="1"/>
    <x v="1"/>
    <m/>
    <s v="no comment"/>
    <x v="1"/>
    <n v="0"/>
  </r>
  <r>
    <x v="181"/>
    <x v="790"/>
    <s v="Yaba"/>
    <x v="3"/>
    <x v="4"/>
    <x v="2"/>
    <x v="3"/>
    <n v="1"/>
    <n v="15708"/>
    <n v="15"/>
    <n v="13351.8"/>
    <n v="13351.8"/>
    <n v="1000"/>
    <x v="1"/>
    <x v="2"/>
    <d v="2025-01-15T00:00:00"/>
    <s v="excellent"/>
    <x v="2"/>
    <n v="6"/>
  </r>
  <r>
    <x v="12"/>
    <x v="791"/>
    <s v="Wuse"/>
    <x v="1"/>
    <x v="10"/>
    <x v="1"/>
    <x v="4"/>
    <n v="3"/>
    <n v="30076"/>
    <n v="0"/>
    <n v="30076"/>
    <n v="90228"/>
    <n v="2000"/>
    <x v="2"/>
    <x v="0"/>
    <m/>
    <s v="okay"/>
    <x v="0"/>
    <n v="0"/>
  </r>
  <r>
    <x v="134"/>
    <x v="792"/>
    <s v="Port Harcourt"/>
    <x v="2"/>
    <x v="11"/>
    <x v="0"/>
    <x v="0"/>
    <n v="5"/>
    <n v="12290"/>
    <n v="20"/>
    <n v="9832"/>
    <n v="49160"/>
    <n v="1500"/>
    <x v="1"/>
    <x v="2"/>
    <d v="2025-06-23T00:00:00"/>
    <s v="excellent"/>
    <x v="2"/>
    <n v="9"/>
  </r>
  <r>
    <x v="16"/>
    <x v="793"/>
    <s v="Maitama"/>
    <x v="1"/>
    <x v="3"/>
    <x v="1"/>
    <x v="2"/>
    <n v="4"/>
    <n v="22346"/>
    <n v="15"/>
    <n v="18994.099999999999"/>
    <n v="75976.399999999994"/>
    <n v="1000"/>
    <x v="2"/>
    <x v="0"/>
    <m/>
    <s v="okay"/>
    <x v="0"/>
    <n v="0"/>
  </r>
  <r>
    <x v="51"/>
    <x v="794"/>
    <s v="Iseyin"/>
    <x v="0"/>
    <x v="11"/>
    <x v="0"/>
    <x v="0"/>
    <n v="5"/>
    <n v="49551"/>
    <n v="10"/>
    <n v="44595.9"/>
    <n v="222979.5"/>
    <n v="1500"/>
    <x v="2"/>
    <x v="0"/>
    <m/>
    <s v="okay"/>
    <x v="0"/>
    <n v="0"/>
  </r>
  <r>
    <x v="17"/>
    <x v="795"/>
    <s v="Surulere"/>
    <x v="3"/>
    <x v="10"/>
    <x v="1"/>
    <x v="4"/>
    <n v="2"/>
    <n v="26702"/>
    <n v="15"/>
    <n v="22696.7"/>
    <n v="45393.4"/>
    <n v="1500"/>
    <x v="2"/>
    <x v="0"/>
    <m/>
    <s v="okay"/>
    <x v="0"/>
    <n v="0"/>
  </r>
  <r>
    <x v="103"/>
    <x v="796"/>
    <s v="Ikeja"/>
    <x v="3"/>
    <x v="10"/>
    <x v="1"/>
    <x v="4"/>
    <n v="5"/>
    <n v="75306"/>
    <n v="10"/>
    <n v="67775.399999999994"/>
    <n v="338877"/>
    <n v="1000"/>
    <x v="2"/>
    <x v="2"/>
    <d v="2025-05-14T00:00:00"/>
    <s v="excellent"/>
    <x v="2"/>
    <n v="7"/>
  </r>
  <r>
    <x v="156"/>
    <x v="797"/>
    <s v="Lekki"/>
    <x v="3"/>
    <x v="5"/>
    <x v="1"/>
    <x v="4"/>
    <n v="3"/>
    <n v="33695"/>
    <n v="10"/>
    <n v="32010.25"/>
    <n v="96030.75"/>
    <n v="2000"/>
    <x v="0"/>
    <x v="2"/>
    <d v="2025-01-11T00:00:00"/>
    <s v="excellent"/>
    <x v="2"/>
    <n v="7"/>
  </r>
  <r>
    <x v="132"/>
    <x v="798"/>
    <s v="Wuse"/>
    <x v="1"/>
    <x v="4"/>
    <x v="2"/>
    <x v="3"/>
    <n v="5"/>
    <n v="26414"/>
    <n v="5"/>
    <n v="25093.3"/>
    <n v="125466.5"/>
    <n v="1000"/>
    <x v="2"/>
    <x v="2"/>
    <d v="2025-07-11T00:00:00"/>
    <s v="excellent"/>
    <x v="2"/>
    <n v="12"/>
  </r>
  <r>
    <x v="124"/>
    <x v="799"/>
    <s v="Lekki"/>
    <x v="3"/>
    <x v="4"/>
    <x v="2"/>
    <x v="3"/>
    <n v="2"/>
    <n v="60098"/>
    <n v="10"/>
    <n v="54088.2"/>
    <n v="108176.4"/>
    <n v="1000"/>
    <x v="2"/>
    <x v="2"/>
    <d v="2025-01-23T00:00:00"/>
    <s v="excellent"/>
    <x v="2"/>
    <n v="7"/>
  </r>
  <r>
    <x v="137"/>
    <x v="800"/>
    <s v="Ikeja"/>
    <x v="3"/>
    <x v="8"/>
    <x v="0"/>
    <x v="1"/>
    <n v="3"/>
    <n v="36979"/>
    <n v="10"/>
    <n v="33281.1"/>
    <n v="99843.299999999988"/>
    <n v="1500"/>
    <x v="2"/>
    <x v="0"/>
    <m/>
    <s v="okay"/>
    <x v="0"/>
    <n v="0"/>
  </r>
  <r>
    <x v="178"/>
    <x v="801"/>
    <s v="Eruwa"/>
    <x v="0"/>
    <x v="4"/>
    <x v="2"/>
    <x v="3"/>
    <n v="2"/>
    <n v="41230"/>
    <n v="5"/>
    <n v="39168.5"/>
    <n v="78337"/>
    <n v="1000"/>
    <x v="2"/>
    <x v="1"/>
    <m/>
    <s v="no comment"/>
    <x v="1"/>
    <n v="0"/>
  </r>
  <r>
    <x v="133"/>
    <x v="802"/>
    <s v="Port Harcourt"/>
    <x v="2"/>
    <x v="3"/>
    <x v="1"/>
    <x v="2"/>
    <n v="4"/>
    <n v="15276"/>
    <n v="5"/>
    <n v="14512.2"/>
    <n v="58048.800000000003"/>
    <n v="1000"/>
    <x v="0"/>
    <x v="1"/>
    <m/>
    <s v="no comment"/>
    <x v="1"/>
    <n v="0"/>
  </r>
  <r>
    <x v="14"/>
    <x v="803"/>
    <s v="Ogbomosho"/>
    <x v="0"/>
    <x v="11"/>
    <x v="0"/>
    <x v="0"/>
    <n v="2"/>
    <n v="63329"/>
    <n v="10"/>
    <n v="56996.1"/>
    <n v="113992.2"/>
    <n v="1000"/>
    <x v="1"/>
    <x v="0"/>
    <m/>
    <s v="okay"/>
    <x v="0"/>
    <n v="0"/>
  </r>
  <r>
    <x v="71"/>
    <x v="804"/>
    <s v="Asokoro"/>
    <x v="1"/>
    <x v="9"/>
    <x v="2"/>
    <x v="3"/>
    <n v="5"/>
    <n v="1630"/>
    <n v="5"/>
    <n v="1548.5"/>
    <n v="7742.5"/>
    <n v="2000"/>
    <x v="1"/>
    <x v="2"/>
    <d v="2025-03-07T00:00:00"/>
    <s v="excellent"/>
    <x v="2"/>
    <n v="9"/>
  </r>
  <r>
    <x v="139"/>
    <x v="805"/>
    <s v="Eruwa"/>
    <x v="0"/>
    <x v="10"/>
    <x v="1"/>
    <x v="4"/>
    <n v="1"/>
    <n v="76093"/>
    <n v="0"/>
    <n v="76093"/>
    <n v="76093"/>
    <n v="1500"/>
    <x v="0"/>
    <x v="2"/>
    <d v="2025-04-19T00:00:00"/>
    <s v="excellent"/>
    <x v="2"/>
    <n v="12"/>
  </r>
  <r>
    <x v="124"/>
    <x v="806"/>
    <s v="Ibadan"/>
    <x v="0"/>
    <x v="0"/>
    <x v="0"/>
    <x v="0"/>
    <n v="5"/>
    <n v="34977"/>
    <n v="5"/>
    <n v="33228.15"/>
    <n v="166140.75"/>
    <n v="1500"/>
    <x v="0"/>
    <x v="2"/>
    <d v="2025-01-22T00:00:00"/>
    <s v="excellent"/>
    <x v="2"/>
    <n v="6"/>
  </r>
  <r>
    <x v="78"/>
    <x v="807"/>
    <s v="Oyigbo"/>
    <x v="2"/>
    <x v="0"/>
    <x v="0"/>
    <x v="0"/>
    <n v="3"/>
    <n v="48428"/>
    <n v="20"/>
    <n v="38742.400000000001"/>
    <n v="116227.2"/>
    <n v="2000"/>
    <x v="1"/>
    <x v="1"/>
    <m/>
    <s v="no comment"/>
    <x v="1"/>
    <n v="0"/>
  </r>
  <r>
    <x v="43"/>
    <x v="808"/>
    <s v="Gwarinpa"/>
    <x v="1"/>
    <x v="1"/>
    <x v="0"/>
    <x v="1"/>
    <n v="2"/>
    <n v="71314"/>
    <n v="15"/>
    <n v="60616.9"/>
    <n v="121233.8"/>
    <n v="1000"/>
    <x v="2"/>
    <x v="1"/>
    <m/>
    <s v="no comment"/>
    <x v="1"/>
    <n v="0"/>
  </r>
  <r>
    <x v="28"/>
    <x v="809"/>
    <s v="Bonny"/>
    <x v="2"/>
    <x v="0"/>
    <x v="0"/>
    <x v="0"/>
    <n v="3"/>
    <n v="29830"/>
    <n v="10"/>
    <n v="26847"/>
    <n v="80541"/>
    <n v="1500"/>
    <x v="0"/>
    <x v="2"/>
    <d v="2025-03-16T00:00:00"/>
    <s v="excellent"/>
    <x v="2"/>
    <n v="5"/>
  </r>
  <r>
    <x v="103"/>
    <x v="810"/>
    <s v="Maitama"/>
    <x v="1"/>
    <x v="6"/>
    <x v="2"/>
    <x v="5"/>
    <n v="1"/>
    <n v="16128"/>
    <n v="10"/>
    <n v="14515.2"/>
    <n v="14515.2"/>
    <n v="1500"/>
    <x v="0"/>
    <x v="1"/>
    <m/>
    <s v="no comment"/>
    <x v="1"/>
    <n v="0"/>
  </r>
  <r>
    <x v="151"/>
    <x v="811"/>
    <s v="Maitama"/>
    <x v="1"/>
    <x v="7"/>
    <x v="2"/>
    <x v="5"/>
    <n v="2"/>
    <n v="45921"/>
    <n v="0"/>
    <n v="45921"/>
    <n v="91842"/>
    <n v="1500"/>
    <x v="1"/>
    <x v="0"/>
    <m/>
    <s v="okay"/>
    <x v="0"/>
    <n v="0"/>
  </r>
  <r>
    <x v="68"/>
    <x v="812"/>
    <s v="Ikeja"/>
    <x v="3"/>
    <x v="4"/>
    <x v="2"/>
    <x v="3"/>
    <n v="3"/>
    <n v="2174"/>
    <n v="20"/>
    <n v="1739.2"/>
    <n v="5217.6000000000004"/>
    <n v="1000"/>
    <x v="1"/>
    <x v="2"/>
    <d v="2025-06-15T00:00:00"/>
    <s v="excellent"/>
    <x v="2"/>
    <n v="11"/>
  </r>
  <r>
    <x v="13"/>
    <x v="813"/>
    <s v="Iseyin"/>
    <x v="0"/>
    <x v="8"/>
    <x v="0"/>
    <x v="1"/>
    <n v="2"/>
    <n v="35695"/>
    <n v="20"/>
    <n v="28556"/>
    <n v="57112"/>
    <n v="1500"/>
    <x v="1"/>
    <x v="2"/>
    <d v="2025-02-21T00:00:00"/>
    <s v="excellent"/>
    <x v="2"/>
    <n v="6"/>
  </r>
  <r>
    <x v="76"/>
    <x v="814"/>
    <s v="Eruwa"/>
    <x v="0"/>
    <x v="10"/>
    <x v="1"/>
    <x v="4"/>
    <n v="5"/>
    <n v="72436"/>
    <n v="5"/>
    <n v="68814.2"/>
    <n v="344071"/>
    <n v="2000"/>
    <x v="2"/>
    <x v="1"/>
    <m/>
    <s v="no comment"/>
    <x v="1"/>
    <n v="0"/>
  </r>
  <r>
    <x v="157"/>
    <x v="815"/>
    <s v="Port Harcourt"/>
    <x v="2"/>
    <x v="2"/>
    <x v="1"/>
    <x v="2"/>
    <n v="3"/>
    <n v="4586"/>
    <n v="10"/>
    <n v="4127.3999999999996"/>
    <n v="12382.2"/>
    <n v="2000"/>
    <x v="0"/>
    <x v="0"/>
    <m/>
    <s v="okay"/>
    <x v="0"/>
    <n v="0"/>
  </r>
  <r>
    <x v="53"/>
    <x v="816"/>
    <s v="Port Harcourt"/>
    <x v="2"/>
    <x v="8"/>
    <x v="0"/>
    <x v="1"/>
    <n v="1"/>
    <n v="30415"/>
    <n v="10"/>
    <n v="27373.5"/>
    <n v="27373.5"/>
    <n v="1000"/>
    <x v="0"/>
    <x v="1"/>
    <m/>
    <s v="no comment"/>
    <x v="1"/>
    <n v="0"/>
  </r>
  <r>
    <x v="101"/>
    <x v="817"/>
    <s v="Ogbomosho"/>
    <x v="0"/>
    <x v="5"/>
    <x v="1"/>
    <x v="4"/>
    <n v="2"/>
    <n v="71130"/>
    <n v="5"/>
    <n v="67573.5"/>
    <n v="135147"/>
    <n v="2000"/>
    <x v="1"/>
    <x v="1"/>
    <m/>
    <s v="no comment"/>
    <x v="1"/>
    <n v="0"/>
  </r>
  <r>
    <x v="147"/>
    <x v="818"/>
    <s v="Oyigbo"/>
    <x v="2"/>
    <x v="6"/>
    <x v="2"/>
    <x v="5"/>
    <n v="5"/>
    <n v="24783"/>
    <n v="5"/>
    <n v="23543.85"/>
    <n v="117719.25"/>
    <n v="2000"/>
    <x v="2"/>
    <x v="1"/>
    <m/>
    <s v="no comment"/>
    <x v="1"/>
    <n v="0"/>
  </r>
  <r>
    <x v="61"/>
    <x v="819"/>
    <s v="Bonny"/>
    <x v="2"/>
    <x v="2"/>
    <x v="1"/>
    <x v="2"/>
    <n v="2"/>
    <n v="33973"/>
    <n v="5"/>
    <n v="32274.35"/>
    <n v="64548.7"/>
    <n v="1500"/>
    <x v="0"/>
    <x v="1"/>
    <m/>
    <s v="no comment"/>
    <x v="1"/>
    <n v="0"/>
  </r>
  <r>
    <x v="118"/>
    <x v="820"/>
    <s v="Asokoro"/>
    <x v="1"/>
    <x v="3"/>
    <x v="1"/>
    <x v="2"/>
    <n v="3"/>
    <n v="23847"/>
    <n v="5"/>
    <n v="22654.65"/>
    <n v="67963.950000000012"/>
    <n v="2000"/>
    <x v="2"/>
    <x v="1"/>
    <m/>
    <s v="no comment"/>
    <x v="1"/>
    <n v="0"/>
  </r>
  <r>
    <x v="133"/>
    <x v="821"/>
    <s v="Lekki"/>
    <x v="3"/>
    <x v="10"/>
    <x v="1"/>
    <x v="4"/>
    <n v="4"/>
    <n v="66773"/>
    <n v="10"/>
    <n v="60095.7"/>
    <n v="240382.8"/>
    <n v="1500"/>
    <x v="2"/>
    <x v="0"/>
    <m/>
    <s v="okay"/>
    <x v="0"/>
    <n v="0"/>
  </r>
  <r>
    <x v="173"/>
    <x v="822"/>
    <s v="Eruwa"/>
    <x v="0"/>
    <x v="1"/>
    <x v="0"/>
    <x v="1"/>
    <n v="3"/>
    <n v="52354"/>
    <n v="0"/>
    <n v="52354"/>
    <n v="157062"/>
    <n v="1000"/>
    <x v="0"/>
    <x v="2"/>
    <d v="2025-03-31T00:00:00"/>
    <s v="excellent"/>
    <x v="2"/>
    <n v="7"/>
  </r>
  <r>
    <x v="34"/>
    <x v="823"/>
    <s v="Ikeja"/>
    <x v="3"/>
    <x v="9"/>
    <x v="2"/>
    <x v="3"/>
    <n v="1"/>
    <n v="52130"/>
    <n v="5"/>
    <n v="49523.5"/>
    <n v="49523.5"/>
    <n v="1000"/>
    <x v="1"/>
    <x v="1"/>
    <m/>
    <s v="no comment"/>
    <x v="1"/>
    <n v="0"/>
  </r>
  <r>
    <x v="20"/>
    <x v="824"/>
    <s v="Obio-Akpor"/>
    <x v="2"/>
    <x v="3"/>
    <x v="1"/>
    <x v="2"/>
    <n v="3"/>
    <n v="38318"/>
    <n v="5"/>
    <n v="36402.1"/>
    <n v="109206.3"/>
    <n v="2000"/>
    <x v="1"/>
    <x v="0"/>
    <m/>
    <s v="okay"/>
    <x v="0"/>
    <n v="0"/>
  </r>
  <r>
    <x v="0"/>
    <x v="825"/>
    <s v="Ogbomosho"/>
    <x v="0"/>
    <x v="4"/>
    <x v="2"/>
    <x v="3"/>
    <n v="3"/>
    <n v="40518"/>
    <n v="10"/>
    <n v="34440.300000000003"/>
    <n v="103320.9"/>
    <n v="1000"/>
    <x v="0"/>
    <x v="2"/>
    <d v="2025-04-04T00:00:00"/>
    <s v="excellent"/>
    <x v="2"/>
    <n v="6"/>
  </r>
  <r>
    <x v="29"/>
    <x v="826"/>
    <s v="Obio-Akpor"/>
    <x v="2"/>
    <x v="8"/>
    <x v="0"/>
    <x v="1"/>
    <n v="3"/>
    <n v="2587"/>
    <n v="20"/>
    <n v="2069.6"/>
    <n v="6208.7999999999993"/>
    <n v="1500"/>
    <x v="0"/>
    <x v="1"/>
    <m/>
    <s v="no comment"/>
    <x v="1"/>
    <n v="0"/>
  </r>
  <r>
    <x v="85"/>
    <x v="827"/>
    <s v="Wuse"/>
    <x v="1"/>
    <x v="0"/>
    <x v="0"/>
    <x v="0"/>
    <n v="2"/>
    <n v="23765"/>
    <n v="0"/>
    <n v="23765"/>
    <n v="47530"/>
    <n v="2000"/>
    <x v="0"/>
    <x v="1"/>
    <m/>
    <s v="no comment"/>
    <x v="1"/>
    <n v="0"/>
  </r>
  <r>
    <x v="139"/>
    <x v="828"/>
    <s v="Iseyin"/>
    <x v="0"/>
    <x v="8"/>
    <x v="0"/>
    <x v="1"/>
    <n v="1"/>
    <n v="53963"/>
    <n v="5"/>
    <n v="51264.85"/>
    <n v="51264.85"/>
    <n v="1000"/>
    <x v="1"/>
    <x v="2"/>
    <d v="2025-04-15T00:00:00"/>
    <s v="excellent"/>
    <x v="2"/>
    <n v="8"/>
  </r>
  <r>
    <x v="11"/>
    <x v="829"/>
    <s v="Yaba"/>
    <x v="3"/>
    <x v="8"/>
    <x v="0"/>
    <x v="1"/>
    <n v="4"/>
    <n v="29396"/>
    <n v="10"/>
    <n v="26456.400000000001"/>
    <n v="105825.60000000001"/>
    <n v="2000"/>
    <x v="1"/>
    <x v="1"/>
    <m/>
    <s v="no comment"/>
    <x v="1"/>
    <n v="0"/>
  </r>
  <r>
    <x v="144"/>
    <x v="830"/>
    <s v="Eruwa"/>
    <x v="0"/>
    <x v="6"/>
    <x v="2"/>
    <x v="5"/>
    <n v="5"/>
    <n v="46492"/>
    <n v="10"/>
    <n v="41842.800000000003"/>
    <n v="209214"/>
    <n v="1500"/>
    <x v="2"/>
    <x v="0"/>
    <m/>
    <s v="okay"/>
    <x v="0"/>
    <n v="0"/>
  </r>
  <r>
    <x v="149"/>
    <x v="831"/>
    <s v="Wuse"/>
    <x v="1"/>
    <x v="1"/>
    <x v="0"/>
    <x v="1"/>
    <n v="2"/>
    <n v="59269"/>
    <n v="15"/>
    <n v="50378.65"/>
    <n v="100757.3"/>
    <n v="1500"/>
    <x v="0"/>
    <x v="2"/>
    <d v="2025-02-11T00:00:00"/>
    <s v="excellent"/>
    <x v="2"/>
    <n v="12"/>
  </r>
  <r>
    <x v="98"/>
    <x v="832"/>
    <s v="Asokoro"/>
    <x v="1"/>
    <x v="10"/>
    <x v="1"/>
    <x v="4"/>
    <n v="5"/>
    <n v="16089"/>
    <n v="10"/>
    <n v="14480.1"/>
    <n v="72400.5"/>
    <n v="1000"/>
    <x v="1"/>
    <x v="2"/>
    <d v="2025-01-26T00:00:00"/>
    <s v="excellent"/>
    <x v="2"/>
    <n v="7"/>
  </r>
  <r>
    <x v="121"/>
    <x v="833"/>
    <s v="Maitama"/>
    <x v="1"/>
    <x v="2"/>
    <x v="1"/>
    <x v="2"/>
    <n v="5"/>
    <n v="36181"/>
    <n v="0"/>
    <n v="36181"/>
    <n v="180905"/>
    <n v="1000"/>
    <x v="2"/>
    <x v="0"/>
    <m/>
    <s v="okay"/>
    <x v="0"/>
    <n v="0"/>
  </r>
  <r>
    <x v="9"/>
    <x v="834"/>
    <s v="Oyigbo"/>
    <x v="2"/>
    <x v="6"/>
    <x v="2"/>
    <x v="5"/>
    <n v="2"/>
    <n v="5102"/>
    <n v="5"/>
    <n v="4846.8999999999996"/>
    <n v="9693.7999999999993"/>
    <n v="1500"/>
    <x v="1"/>
    <x v="2"/>
    <d v="2025-05-22T00:00:00"/>
    <s v="excellent"/>
    <x v="2"/>
    <n v="8"/>
  </r>
  <r>
    <x v="13"/>
    <x v="835"/>
    <s v="Bonny"/>
    <x v="2"/>
    <x v="4"/>
    <x v="2"/>
    <x v="3"/>
    <n v="1"/>
    <n v="50937"/>
    <n v="15"/>
    <n v="43296.45"/>
    <n v="43296.45"/>
    <n v="2000"/>
    <x v="2"/>
    <x v="1"/>
    <m/>
    <s v="no comment"/>
    <x v="1"/>
    <n v="0"/>
  </r>
  <r>
    <x v="113"/>
    <x v="836"/>
    <s v="Oyigbo"/>
    <x v="2"/>
    <x v="7"/>
    <x v="2"/>
    <x v="5"/>
    <n v="2"/>
    <n v="16095"/>
    <n v="20"/>
    <n v="12876"/>
    <n v="25752"/>
    <n v="1000"/>
    <x v="0"/>
    <x v="0"/>
    <m/>
    <s v="okay"/>
    <x v="0"/>
    <n v="0"/>
  </r>
  <r>
    <x v="46"/>
    <x v="837"/>
    <s v="Wuse"/>
    <x v="1"/>
    <x v="9"/>
    <x v="2"/>
    <x v="3"/>
    <n v="2"/>
    <n v="76934"/>
    <n v="20"/>
    <n v="61547.199999999997"/>
    <n v="123094.39999999999"/>
    <n v="1500"/>
    <x v="1"/>
    <x v="1"/>
    <m/>
    <s v="no comment"/>
    <x v="1"/>
    <n v="0"/>
  </r>
  <r>
    <x v="6"/>
    <x v="838"/>
    <s v="Ikeja"/>
    <x v="3"/>
    <x v="5"/>
    <x v="1"/>
    <x v="4"/>
    <n v="3"/>
    <n v="30063"/>
    <n v="10"/>
    <n v="27056.7"/>
    <n v="81170.100000000006"/>
    <n v="2000"/>
    <x v="0"/>
    <x v="0"/>
    <m/>
    <s v="okay"/>
    <x v="0"/>
    <n v="0"/>
  </r>
  <r>
    <x v="131"/>
    <x v="839"/>
    <s v="Eruwa"/>
    <x v="0"/>
    <x v="10"/>
    <x v="1"/>
    <x v="4"/>
    <n v="4"/>
    <n v="44059"/>
    <n v="5"/>
    <n v="41856.050000000003"/>
    <n v="167424.20000000001"/>
    <n v="2000"/>
    <x v="2"/>
    <x v="0"/>
    <m/>
    <s v="okay"/>
    <x v="0"/>
    <n v="0"/>
  </r>
  <r>
    <x v="120"/>
    <x v="840"/>
    <s v="Eruwa"/>
    <x v="0"/>
    <x v="8"/>
    <x v="0"/>
    <x v="1"/>
    <n v="1"/>
    <n v="68784"/>
    <n v="0"/>
    <n v="68784"/>
    <n v="68784"/>
    <n v="2000"/>
    <x v="0"/>
    <x v="0"/>
    <m/>
    <s v="okay"/>
    <x v="0"/>
    <n v="0"/>
  </r>
  <r>
    <x v="122"/>
    <x v="841"/>
    <s v="Yaba"/>
    <x v="3"/>
    <x v="0"/>
    <x v="0"/>
    <x v="0"/>
    <n v="1"/>
    <n v="19441"/>
    <n v="0"/>
    <n v="19441"/>
    <n v="19441"/>
    <n v="1000"/>
    <x v="1"/>
    <x v="0"/>
    <m/>
    <s v="okay"/>
    <x v="0"/>
    <n v="0"/>
  </r>
  <r>
    <x v="108"/>
    <x v="842"/>
    <s v="Yaba"/>
    <x v="3"/>
    <x v="3"/>
    <x v="1"/>
    <x v="2"/>
    <n v="4"/>
    <n v="62899"/>
    <n v="20"/>
    <n v="50319.199999999997"/>
    <n v="201276.79999999999"/>
    <n v="1000"/>
    <x v="1"/>
    <x v="2"/>
    <d v="2025-05-30T00:00:00"/>
    <s v="excellent"/>
    <x v="2"/>
    <n v="6"/>
  </r>
  <r>
    <x v="110"/>
    <x v="843"/>
    <s v="Obio-Akpor"/>
    <x v="2"/>
    <x v="10"/>
    <x v="1"/>
    <x v="4"/>
    <n v="1"/>
    <n v="58571"/>
    <n v="5"/>
    <n v="55642.45"/>
    <n v="55642.45"/>
    <n v="1000"/>
    <x v="0"/>
    <x v="2"/>
    <d v="2025-04-15T00:00:00"/>
    <s v="excellent"/>
    <x v="2"/>
    <n v="11"/>
  </r>
  <r>
    <x v="110"/>
    <x v="844"/>
    <s v="Iseyin"/>
    <x v="0"/>
    <x v="8"/>
    <x v="0"/>
    <x v="1"/>
    <n v="3"/>
    <n v="64260"/>
    <n v="0"/>
    <n v="64260"/>
    <n v="192780"/>
    <n v="1000"/>
    <x v="2"/>
    <x v="0"/>
    <m/>
    <s v="okay"/>
    <x v="0"/>
    <n v="0"/>
  </r>
  <r>
    <x v="75"/>
    <x v="845"/>
    <s v="Maitama"/>
    <x v="1"/>
    <x v="0"/>
    <x v="0"/>
    <x v="0"/>
    <n v="5"/>
    <n v="39519"/>
    <n v="15"/>
    <n v="33591.15"/>
    <n v="167955.75"/>
    <n v="1000"/>
    <x v="1"/>
    <x v="1"/>
    <m/>
    <s v="no comment"/>
    <x v="1"/>
    <n v="0"/>
  </r>
  <r>
    <x v="119"/>
    <x v="846"/>
    <s v="Bonny"/>
    <x v="2"/>
    <x v="6"/>
    <x v="2"/>
    <x v="5"/>
    <n v="5"/>
    <n v="29951"/>
    <n v="0"/>
    <n v="29951"/>
    <n v="149755"/>
    <n v="2000"/>
    <x v="1"/>
    <x v="1"/>
    <m/>
    <s v="no comment"/>
    <x v="1"/>
    <n v="0"/>
  </r>
  <r>
    <x v="77"/>
    <x v="847"/>
    <s v="Ogbomosho"/>
    <x v="0"/>
    <x v="9"/>
    <x v="2"/>
    <x v="3"/>
    <n v="2"/>
    <n v="29996"/>
    <n v="20"/>
    <n v="23996.799999999999"/>
    <n v="47993.599999999999"/>
    <n v="1500"/>
    <x v="2"/>
    <x v="1"/>
    <m/>
    <s v="no comment"/>
    <x v="1"/>
    <n v="0"/>
  </r>
  <r>
    <x v="83"/>
    <x v="848"/>
    <s v="Ogbomosho"/>
    <x v="0"/>
    <x v="5"/>
    <x v="1"/>
    <x v="4"/>
    <n v="2"/>
    <n v="20619"/>
    <n v="5"/>
    <n v="19588.05"/>
    <n v="39176.1"/>
    <n v="1000"/>
    <x v="1"/>
    <x v="2"/>
    <d v="2025-07-01T00:00:00"/>
    <s v="excellent"/>
    <x v="2"/>
    <n v="14"/>
  </r>
  <r>
    <x v="47"/>
    <x v="849"/>
    <s v="Bonny"/>
    <x v="2"/>
    <x v="5"/>
    <x v="1"/>
    <x v="4"/>
    <n v="3"/>
    <n v="7993"/>
    <n v="15"/>
    <n v="6794.05"/>
    <n v="20382.150000000001"/>
    <n v="1500"/>
    <x v="1"/>
    <x v="1"/>
    <m/>
    <s v="no comment"/>
    <x v="1"/>
    <n v="0"/>
  </r>
  <r>
    <x v="87"/>
    <x v="850"/>
    <s v="Gwarinpa"/>
    <x v="1"/>
    <x v="0"/>
    <x v="0"/>
    <x v="0"/>
    <n v="3"/>
    <n v="8234"/>
    <n v="0"/>
    <n v="8234"/>
    <n v="24702"/>
    <n v="2000"/>
    <x v="2"/>
    <x v="1"/>
    <m/>
    <s v="no comment"/>
    <x v="1"/>
    <n v="0"/>
  </r>
  <r>
    <x v="111"/>
    <x v="851"/>
    <s v="Wuse"/>
    <x v="1"/>
    <x v="5"/>
    <x v="1"/>
    <x v="4"/>
    <n v="4"/>
    <n v="13028"/>
    <n v="0"/>
    <n v="13028"/>
    <n v="52112"/>
    <n v="1000"/>
    <x v="2"/>
    <x v="2"/>
    <d v="2025-04-19T00:00:00"/>
    <s v="excellent"/>
    <x v="2"/>
    <n v="13"/>
  </r>
  <r>
    <x v="138"/>
    <x v="852"/>
    <s v="Yaba"/>
    <x v="3"/>
    <x v="4"/>
    <x v="2"/>
    <x v="3"/>
    <n v="3"/>
    <n v="38707"/>
    <n v="15"/>
    <n v="32900.949999999997"/>
    <n v="98702.849999999991"/>
    <n v="1000"/>
    <x v="0"/>
    <x v="0"/>
    <m/>
    <s v="okay"/>
    <x v="0"/>
    <n v="0"/>
  </r>
  <r>
    <x v="67"/>
    <x v="853"/>
    <s v="Yaba"/>
    <x v="3"/>
    <x v="6"/>
    <x v="2"/>
    <x v="5"/>
    <n v="2"/>
    <n v="7684"/>
    <n v="15"/>
    <n v="6531.4"/>
    <n v="13062.8"/>
    <n v="1500"/>
    <x v="2"/>
    <x v="2"/>
    <d v="2025-02-17T00:00:00"/>
    <s v="excellent"/>
    <x v="2"/>
    <n v="13"/>
  </r>
  <r>
    <x v="179"/>
    <x v="854"/>
    <s v="Yaba"/>
    <x v="3"/>
    <x v="3"/>
    <x v="1"/>
    <x v="2"/>
    <n v="3"/>
    <n v="68657"/>
    <n v="5"/>
    <n v="65224.15"/>
    <n v="195672.45"/>
    <n v="1000"/>
    <x v="2"/>
    <x v="1"/>
    <m/>
    <s v="no comment"/>
    <x v="1"/>
    <n v="0"/>
  </r>
  <r>
    <x v="124"/>
    <x v="855"/>
    <s v="Ibadan"/>
    <x v="0"/>
    <x v="10"/>
    <x v="1"/>
    <x v="4"/>
    <n v="3"/>
    <n v="40653"/>
    <n v="15"/>
    <n v="34555.050000000003"/>
    <n v="103665.15"/>
    <n v="2000"/>
    <x v="0"/>
    <x v="2"/>
    <d v="2025-01-24T00:00:00"/>
    <s v="excellent"/>
    <x v="2"/>
    <n v="8"/>
  </r>
  <r>
    <x v="22"/>
    <x v="856"/>
    <s v="Gwarinpa"/>
    <x v="1"/>
    <x v="9"/>
    <x v="2"/>
    <x v="3"/>
    <n v="1"/>
    <n v="7187"/>
    <n v="5"/>
    <n v="6827.65"/>
    <n v="6827.65"/>
    <n v="1500"/>
    <x v="2"/>
    <x v="2"/>
    <d v="2025-07-01T00:00:00"/>
    <s v="excellent"/>
    <x v="2"/>
    <n v="8"/>
  </r>
  <r>
    <x v="124"/>
    <x v="857"/>
    <s v="Iseyin"/>
    <x v="0"/>
    <x v="9"/>
    <x v="2"/>
    <x v="3"/>
    <n v="2"/>
    <n v="60181"/>
    <n v="20"/>
    <n v="48144.800000000003"/>
    <n v="96289.600000000006"/>
    <n v="2000"/>
    <x v="1"/>
    <x v="1"/>
    <m/>
    <s v="no comment"/>
    <x v="1"/>
    <n v="0"/>
  </r>
  <r>
    <x v="145"/>
    <x v="858"/>
    <s v="Eruwa"/>
    <x v="0"/>
    <x v="9"/>
    <x v="2"/>
    <x v="3"/>
    <n v="4"/>
    <n v="67232"/>
    <n v="5"/>
    <n v="63870.400000000001"/>
    <n v="255481.60000000001"/>
    <n v="1500"/>
    <x v="2"/>
    <x v="1"/>
    <m/>
    <s v="no comment"/>
    <x v="1"/>
    <n v="0"/>
  </r>
  <r>
    <x v="175"/>
    <x v="859"/>
    <s v="Surulere"/>
    <x v="3"/>
    <x v="11"/>
    <x v="0"/>
    <x v="0"/>
    <n v="4"/>
    <n v="36665"/>
    <n v="20"/>
    <n v="29332"/>
    <n v="117328"/>
    <n v="1500"/>
    <x v="0"/>
    <x v="0"/>
    <m/>
    <s v="okay"/>
    <x v="0"/>
    <n v="0"/>
  </r>
  <r>
    <x v="83"/>
    <x v="860"/>
    <s v="Iseyin"/>
    <x v="0"/>
    <x v="10"/>
    <x v="1"/>
    <x v="4"/>
    <n v="3"/>
    <n v="47277"/>
    <n v="5"/>
    <n v="44913.15"/>
    <n v="134739.45000000001"/>
    <n v="2000"/>
    <x v="1"/>
    <x v="0"/>
    <m/>
    <s v="okay"/>
    <x v="0"/>
    <n v="0"/>
  </r>
  <r>
    <x v="159"/>
    <x v="861"/>
    <s v="Lekki"/>
    <x v="3"/>
    <x v="10"/>
    <x v="1"/>
    <x v="4"/>
    <n v="4"/>
    <n v="72448"/>
    <n v="0"/>
    <n v="72448"/>
    <n v="289792"/>
    <n v="1500"/>
    <x v="1"/>
    <x v="0"/>
    <m/>
    <s v="okay"/>
    <x v="0"/>
    <n v="0"/>
  </r>
  <r>
    <x v="137"/>
    <x v="862"/>
    <s v="Lekki"/>
    <x v="3"/>
    <x v="3"/>
    <x v="1"/>
    <x v="2"/>
    <n v="5"/>
    <n v="8935"/>
    <n v="15"/>
    <n v="7594.75"/>
    <n v="37973.75"/>
    <n v="2000"/>
    <x v="2"/>
    <x v="1"/>
    <m/>
    <s v="no comment"/>
    <x v="1"/>
    <n v="0"/>
  </r>
  <r>
    <x v="156"/>
    <x v="863"/>
    <s v="Bonny"/>
    <x v="2"/>
    <x v="0"/>
    <x v="0"/>
    <x v="0"/>
    <n v="1"/>
    <n v="36145"/>
    <n v="0"/>
    <n v="36145"/>
    <n v="36145"/>
    <n v="1500"/>
    <x v="2"/>
    <x v="1"/>
    <m/>
    <s v="no comment"/>
    <x v="1"/>
    <n v="0"/>
  </r>
  <r>
    <x v="111"/>
    <x v="864"/>
    <s v="Eruwa"/>
    <x v="0"/>
    <x v="4"/>
    <x v="2"/>
    <x v="3"/>
    <n v="1"/>
    <n v="39348"/>
    <n v="0"/>
    <n v="39348"/>
    <n v="39348"/>
    <n v="1000"/>
    <x v="1"/>
    <x v="2"/>
    <d v="2025-04-14T00:00:00"/>
    <s v="excellent"/>
    <x v="2"/>
    <n v="8"/>
  </r>
  <r>
    <x v="26"/>
    <x v="865"/>
    <s v="Wuse"/>
    <x v="1"/>
    <x v="2"/>
    <x v="1"/>
    <x v="2"/>
    <n v="2"/>
    <n v="68043"/>
    <n v="10"/>
    <n v="61238.7"/>
    <n v="122477.4"/>
    <n v="1000"/>
    <x v="0"/>
    <x v="0"/>
    <m/>
    <s v="okay"/>
    <x v="0"/>
    <n v="0"/>
  </r>
  <r>
    <x v="180"/>
    <x v="866"/>
    <s v="Bonny"/>
    <x v="2"/>
    <x v="7"/>
    <x v="2"/>
    <x v="5"/>
    <n v="1"/>
    <n v="41420"/>
    <n v="5"/>
    <n v="39349"/>
    <n v="39349"/>
    <n v="1500"/>
    <x v="0"/>
    <x v="0"/>
    <m/>
    <s v="okay"/>
    <x v="0"/>
    <n v="0"/>
  </r>
  <r>
    <x v="177"/>
    <x v="867"/>
    <s v="Ikeja"/>
    <x v="3"/>
    <x v="7"/>
    <x v="2"/>
    <x v="5"/>
    <n v="4"/>
    <n v="60111"/>
    <n v="20"/>
    <n v="48088.800000000003"/>
    <n v="192355.20000000001"/>
    <n v="1500"/>
    <x v="1"/>
    <x v="2"/>
    <d v="2025-02-12T00:00:00"/>
    <s v="excellent"/>
    <x v="2"/>
    <n v="2"/>
  </r>
  <r>
    <x v="140"/>
    <x v="868"/>
    <s v="Maitama"/>
    <x v="1"/>
    <x v="2"/>
    <x v="1"/>
    <x v="2"/>
    <n v="4"/>
    <n v="30485"/>
    <n v="10"/>
    <n v="27436.5"/>
    <n v="109746"/>
    <n v="1500"/>
    <x v="1"/>
    <x v="2"/>
    <d v="2025-04-13T00:00:00"/>
    <s v="excellent"/>
    <x v="2"/>
    <n v="14"/>
  </r>
  <r>
    <x v="53"/>
    <x v="869"/>
    <s v="Maitama"/>
    <x v="1"/>
    <x v="10"/>
    <x v="1"/>
    <x v="4"/>
    <n v="2"/>
    <n v="18474"/>
    <n v="0"/>
    <n v="18474"/>
    <n v="36948"/>
    <n v="2000"/>
    <x v="1"/>
    <x v="2"/>
    <d v="2025-02-27T00:00:00"/>
    <s v="excellent"/>
    <x v="2"/>
    <n v="4"/>
  </r>
  <r>
    <x v="178"/>
    <x v="870"/>
    <s v="Wuse"/>
    <x v="1"/>
    <x v="5"/>
    <x v="1"/>
    <x v="4"/>
    <n v="2"/>
    <n v="63888"/>
    <n v="15"/>
    <n v="54304.800000000003"/>
    <n v="108609.60000000001"/>
    <n v="2000"/>
    <x v="1"/>
    <x v="2"/>
    <d v="2025-01-11T00:00:00"/>
    <s v="excellent"/>
    <x v="2"/>
    <n v="6"/>
  </r>
  <r>
    <x v="128"/>
    <x v="871"/>
    <s v="Ikeja"/>
    <x v="3"/>
    <x v="4"/>
    <x v="2"/>
    <x v="3"/>
    <n v="1"/>
    <n v="52682"/>
    <n v="20"/>
    <n v="42145.599999999999"/>
    <n v="42145.599999999999"/>
    <n v="2000"/>
    <x v="1"/>
    <x v="0"/>
    <m/>
    <s v="okay"/>
    <x v="0"/>
    <n v="0"/>
  </r>
  <r>
    <x v="117"/>
    <x v="872"/>
    <s v="Wuse"/>
    <x v="1"/>
    <x v="5"/>
    <x v="1"/>
    <x v="4"/>
    <n v="1"/>
    <n v="45109"/>
    <n v="15"/>
    <n v="38342.65"/>
    <n v="38342.65"/>
    <n v="1000"/>
    <x v="2"/>
    <x v="0"/>
    <m/>
    <s v="okay"/>
    <x v="0"/>
    <n v="0"/>
  </r>
  <r>
    <x v="131"/>
    <x v="873"/>
    <s v="Oyigbo"/>
    <x v="2"/>
    <x v="5"/>
    <x v="1"/>
    <x v="4"/>
    <n v="1"/>
    <n v="24332"/>
    <n v="15"/>
    <n v="20682.2"/>
    <n v="20682.2"/>
    <n v="1000"/>
    <x v="0"/>
    <x v="1"/>
    <m/>
    <s v="no comment"/>
    <x v="1"/>
    <n v="0"/>
  </r>
  <r>
    <x v="114"/>
    <x v="874"/>
    <s v="Surulere"/>
    <x v="3"/>
    <x v="2"/>
    <x v="1"/>
    <x v="2"/>
    <n v="4"/>
    <n v="19319"/>
    <n v="20"/>
    <n v="15455.2"/>
    <n v="61820.800000000003"/>
    <n v="1500"/>
    <x v="1"/>
    <x v="1"/>
    <m/>
    <s v="no comment"/>
    <x v="1"/>
    <n v="0"/>
  </r>
  <r>
    <x v="24"/>
    <x v="875"/>
    <s v="Gwarinpa"/>
    <x v="1"/>
    <x v="7"/>
    <x v="2"/>
    <x v="5"/>
    <n v="3"/>
    <n v="50926"/>
    <n v="20"/>
    <n v="40740.800000000003"/>
    <n v="122222.39999999999"/>
    <n v="1000"/>
    <x v="1"/>
    <x v="0"/>
    <m/>
    <s v="okay"/>
    <x v="0"/>
    <n v="0"/>
  </r>
  <r>
    <x v="92"/>
    <x v="876"/>
    <s v="Ibadan"/>
    <x v="0"/>
    <x v="3"/>
    <x v="1"/>
    <x v="2"/>
    <n v="5"/>
    <n v="77092"/>
    <n v="0"/>
    <n v="77092"/>
    <n v="385460"/>
    <n v="2000"/>
    <x v="1"/>
    <x v="0"/>
    <m/>
    <s v="okay"/>
    <x v="0"/>
    <n v="0"/>
  </r>
  <r>
    <x v="127"/>
    <x v="877"/>
    <s v="Surulere"/>
    <x v="3"/>
    <x v="5"/>
    <x v="1"/>
    <x v="4"/>
    <n v="4"/>
    <n v="37269"/>
    <n v="10"/>
    <n v="33542.1"/>
    <n v="134168.4"/>
    <n v="1000"/>
    <x v="0"/>
    <x v="2"/>
    <d v="2025-03-10T00:00:00"/>
    <s v="excellent"/>
    <x v="2"/>
    <n v="14"/>
  </r>
  <r>
    <x v="5"/>
    <x v="878"/>
    <s v="Gwarinpa"/>
    <x v="1"/>
    <x v="9"/>
    <x v="2"/>
    <x v="3"/>
    <n v="3"/>
    <n v="49649"/>
    <n v="5"/>
    <n v="47166.55"/>
    <n v="141499.65"/>
    <n v="2000"/>
    <x v="0"/>
    <x v="0"/>
    <m/>
    <s v="okay"/>
    <x v="0"/>
    <n v="0"/>
  </r>
  <r>
    <x v="88"/>
    <x v="879"/>
    <s v="Eruwa"/>
    <x v="0"/>
    <x v="9"/>
    <x v="2"/>
    <x v="3"/>
    <n v="4"/>
    <n v="12021"/>
    <n v="10"/>
    <n v="10818.9"/>
    <n v="43275.6"/>
    <n v="1500"/>
    <x v="0"/>
    <x v="1"/>
    <m/>
    <s v="no comment"/>
    <x v="1"/>
    <n v="0"/>
  </r>
  <r>
    <x v="68"/>
    <x v="880"/>
    <s v="Ikeja"/>
    <x v="3"/>
    <x v="11"/>
    <x v="0"/>
    <x v="0"/>
    <n v="1"/>
    <n v="51072"/>
    <n v="10"/>
    <n v="45964.800000000003"/>
    <n v="45964.800000000003"/>
    <n v="1500"/>
    <x v="2"/>
    <x v="2"/>
    <d v="2025-06-17T00:00:00"/>
    <s v="excellent"/>
    <x v="2"/>
    <n v="13"/>
  </r>
  <r>
    <x v="13"/>
    <x v="881"/>
    <s v="Wuse"/>
    <x v="1"/>
    <x v="5"/>
    <x v="1"/>
    <x v="4"/>
    <n v="2"/>
    <n v="58536"/>
    <n v="10"/>
    <n v="52682.400000000001"/>
    <n v="105364.8"/>
    <n v="1000"/>
    <x v="2"/>
    <x v="2"/>
    <d v="2025-02-27T00:00:00"/>
    <s v="excellent"/>
    <x v="2"/>
    <n v="12"/>
  </r>
  <r>
    <x v="104"/>
    <x v="882"/>
    <s v="Oyigbo"/>
    <x v="2"/>
    <x v="9"/>
    <x v="2"/>
    <x v="3"/>
    <n v="3"/>
    <n v="23156"/>
    <n v="10"/>
    <n v="20840.400000000001"/>
    <n v="62521.2"/>
    <n v="1500"/>
    <x v="0"/>
    <x v="2"/>
    <d v="2025-05-25T00:00:00"/>
    <s v="excellent"/>
    <x v="2"/>
    <n v="12"/>
  </r>
  <r>
    <x v="19"/>
    <x v="883"/>
    <s v="Port Harcourt"/>
    <x v="2"/>
    <x v="1"/>
    <x v="0"/>
    <x v="1"/>
    <n v="1"/>
    <n v="35811"/>
    <n v="5"/>
    <n v="34020.449999999997"/>
    <n v="34020.449999999997"/>
    <n v="1500"/>
    <x v="0"/>
    <x v="0"/>
    <m/>
    <s v="okay"/>
    <x v="0"/>
    <n v="0"/>
  </r>
  <r>
    <x v="154"/>
    <x v="884"/>
    <s v="Ikeja"/>
    <x v="3"/>
    <x v="5"/>
    <x v="1"/>
    <x v="4"/>
    <n v="5"/>
    <n v="15707"/>
    <n v="20"/>
    <n v="12565.6"/>
    <n v="62828"/>
    <n v="2000"/>
    <x v="0"/>
    <x v="0"/>
    <m/>
    <s v="okay"/>
    <x v="0"/>
    <n v="0"/>
  </r>
  <r>
    <x v="159"/>
    <x v="885"/>
    <s v="Ikeja"/>
    <x v="3"/>
    <x v="5"/>
    <x v="1"/>
    <x v="4"/>
    <n v="3"/>
    <n v="20076"/>
    <n v="15"/>
    <n v="17064.599999999999"/>
    <n v="51193.8"/>
    <n v="1500"/>
    <x v="0"/>
    <x v="2"/>
    <d v="2025-01-20T00:00:00"/>
    <s v="excellent"/>
    <x v="2"/>
    <n v="7"/>
  </r>
  <r>
    <x v="145"/>
    <x v="886"/>
    <s v="Wuse"/>
    <x v="1"/>
    <x v="3"/>
    <x v="1"/>
    <x v="2"/>
    <n v="2"/>
    <n v="28660"/>
    <n v="0"/>
    <n v="28660"/>
    <n v="57320"/>
    <n v="1000"/>
    <x v="2"/>
    <x v="1"/>
    <m/>
    <s v="no comment"/>
    <x v="1"/>
    <n v="0"/>
  </r>
  <r>
    <x v="15"/>
    <x v="887"/>
    <s v="Surulere"/>
    <x v="3"/>
    <x v="11"/>
    <x v="0"/>
    <x v="0"/>
    <n v="3"/>
    <n v="63145"/>
    <n v="20"/>
    <n v="50516"/>
    <n v="151548"/>
    <n v="2000"/>
    <x v="2"/>
    <x v="2"/>
    <d v="2025-02-17T00:00:00"/>
    <s v="excellent"/>
    <x v="2"/>
    <n v="3"/>
  </r>
  <r>
    <x v="45"/>
    <x v="888"/>
    <s v="Oyigbo"/>
    <x v="2"/>
    <x v="7"/>
    <x v="2"/>
    <x v="5"/>
    <n v="1"/>
    <n v="4085"/>
    <n v="15"/>
    <n v="3472.25"/>
    <n v="3472.25"/>
    <n v="2000"/>
    <x v="2"/>
    <x v="0"/>
    <m/>
    <s v="okay"/>
    <x v="0"/>
    <n v="0"/>
  </r>
  <r>
    <x v="153"/>
    <x v="889"/>
    <s v="Eruwa"/>
    <x v="0"/>
    <x v="2"/>
    <x v="1"/>
    <x v="2"/>
    <n v="3"/>
    <n v="49521"/>
    <n v="15"/>
    <n v="42092.85"/>
    <n v="126278.55"/>
    <n v="2000"/>
    <x v="0"/>
    <x v="2"/>
    <d v="2025-03-02T00:00:00"/>
    <s v="excellent"/>
    <x v="2"/>
    <n v="3"/>
  </r>
  <r>
    <x v="27"/>
    <x v="890"/>
    <s v="Iseyin"/>
    <x v="0"/>
    <x v="8"/>
    <x v="0"/>
    <x v="1"/>
    <n v="1"/>
    <n v="51140"/>
    <n v="0"/>
    <n v="51140"/>
    <n v="51140"/>
    <n v="1500"/>
    <x v="1"/>
    <x v="0"/>
    <m/>
    <s v="okay"/>
    <x v="0"/>
    <n v="0"/>
  </r>
  <r>
    <x v="175"/>
    <x v="891"/>
    <s v="Ogbomosho"/>
    <x v="0"/>
    <x v="4"/>
    <x v="2"/>
    <x v="3"/>
    <n v="1"/>
    <n v="10267"/>
    <n v="0"/>
    <n v="10267"/>
    <n v="10267"/>
    <n v="2000"/>
    <x v="2"/>
    <x v="1"/>
    <m/>
    <s v="no comment"/>
    <x v="1"/>
    <n v="0"/>
  </r>
  <r>
    <x v="18"/>
    <x v="892"/>
    <s v="Port Harcourt"/>
    <x v="2"/>
    <x v="1"/>
    <x v="0"/>
    <x v="1"/>
    <n v="2"/>
    <n v="20720"/>
    <n v="0"/>
    <n v="20720"/>
    <n v="41440"/>
    <n v="2000"/>
    <x v="0"/>
    <x v="1"/>
    <m/>
    <s v="no comment"/>
    <x v="1"/>
    <n v="0"/>
  </r>
  <r>
    <x v="150"/>
    <x v="893"/>
    <s v="Asokoro"/>
    <x v="1"/>
    <x v="3"/>
    <x v="1"/>
    <x v="2"/>
    <n v="5"/>
    <n v="36164"/>
    <n v="15"/>
    <n v="30739.4"/>
    <n v="153697"/>
    <n v="2000"/>
    <x v="2"/>
    <x v="0"/>
    <m/>
    <s v="okay"/>
    <x v="0"/>
    <n v="0"/>
  </r>
  <r>
    <x v="80"/>
    <x v="894"/>
    <s v="Port Harcourt"/>
    <x v="2"/>
    <x v="1"/>
    <x v="0"/>
    <x v="1"/>
    <n v="5"/>
    <n v="2991"/>
    <n v="10"/>
    <n v="2691.9"/>
    <n v="13459.5"/>
    <n v="2000"/>
    <x v="2"/>
    <x v="0"/>
    <m/>
    <s v="okay"/>
    <x v="0"/>
    <n v="0"/>
  </r>
  <r>
    <x v="54"/>
    <x v="895"/>
    <s v="Maitama"/>
    <x v="1"/>
    <x v="10"/>
    <x v="1"/>
    <x v="4"/>
    <n v="1"/>
    <n v="15327"/>
    <n v="10"/>
    <n v="13794.3"/>
    <n v="13794.3"/>
    <n v="1500"/>
    <x v="2"/>
    <x v="1"/>
    <m/>
    <s v="no comment"/>
    <x v="1"/>
    <n v="0"/>
  </r>
  <r>
    <x v="145"/>
    <x v="896"/>
    <s v="Ogbomosho"/>
    <x v="0"/>
    <x v="8"/>
    <x v="0"/>
    <x v="1"/>
    <n v="5"/>
    <n v="76937"/>
    <n v="5"/>
    <n v="73090.149999999994"/>
    <n v="365450.75"/>
    <n v="2000"/>
    <x v="2"/>
    <x v="1"/>
    <m/>
    <s v="no comment"/>
    <x v="1"/>
    <n v="0"/>
  </r>
  <r>
    <x v="29"/>
    <x v="897"/>
    <s v="Iseyin"/>
    <x v="0"/>
    <x v="5"/>
    <x v="1"/>
    <x v="4"/>
    <n v="1"/>
    <n v="16244"/>
    <n v="15"/>
    <n v="13807.4"/>
    <n v="13807.4"/>
    <n v="1500"/>
    <x v="2"/>
    <x v="1"/>
    <m/>
    <s v="no comment"/>
    <x v="1"/>
    <n v="0"/>
  </r>
  <r>
    <x v="76"/>
    <x v="898"/>
    <s v="Ogbomosho"/>
    <x v="0"/>
    <x v="3"/>
    <x v="1"/>
    <x v="2"/>
    <n v="1"/>
    <n v="37354"/>
    <n v="5"/>
    <n v="35486.300000000003"/>
    <n v="35486.300000000003"/>
    <n v="2000"/>
    <x v="2"/>
    <x v="2"/>
    <d v="2025-03-30T00:00:00"/>
    <s v="excellent"/>
    <x v="2"/>
    <n v="9"/>
  </r>
  <r>
    <x v="96"/>
    <x v="899"/>
    <s v="Ogbomosho"/>
    <x v="0"/>
    <x v="10"/>
    <x v="1"/>
    <x v="4"/>
    <n v="4"/>
    <n v="76823"/>
    <n v="10"/>
    <n v="69140.7"/>
    <n v="276562.8"/>
    <n v="1500"/>
    <x v="0"/>
    <x v="0"/>
    <m/>
    <s v="okay"/>
    <x v="0"/>
    <n v="0"/>
  </r>
  <r>
    <x v="64"/>
    <x v="900"/>
    <s v="Maitama"/>
    <x v="1"/>
    <x v="5"/>
    <x v="1"/>
    <x v="4"/>
    <n v="1"/>
    <n v="19873"/>
    <n v="20"/>
    <n v="15898.4"/>
    <n v="15898.4"/>
    <n v="1500"/>
    <x v="1"/>
    <x v="0"/>
    <m/>
    <s v="okay"/>
    <x v="0"/>
    <n v="0"/>
  </r>
  <r>
    <x v="19"/>
    <x v="777"/>
    <s v="Surulere"/>
    <x v="3"/>
    <x v="6"/>
    <x v="2"/>
    <x v="5"/>
    <n v="1"/>
    <n v="35919"/>
    <n v="10"/>
    <n v="32327.1"/>
    <n v="32327.1"/>
    <n v="1500"/>
    <x v="1"/>
    <x v="2"/>
    <d v="2025-04-08T00:00:00"/>
    <s v="excellent"/>
    <x v="2"/>
    <n v="14"/>
  </r>
  <r>
    <x v="113"/>
    <x v="901"/>
    <s v="Wuse"/>
    <x v="1"/>
    <x v="4"/>
    <x v="2"/>
    <x v="3"/>
    <n v="5"/>
    <n v="58454"/>
    <n v="15"/>
    <n v="49685.9"/>
    <n v="248429.5"/>
    <n v="2000"/>
    <x v="1"/>
    <x v="0"/>
    <m/>
    <s v="okay"/>
    <x v="0"/>
    <n v="0"/>
  </r>
  <r>
    <x v="18"/>
    <x v="902"/>
    <s v="Surulere"/>
    <x v="3"/>
    <x v="5"/>
    <x v="1"/>
    <x v="4"/>
    <n v="2"/>
    <n v="32037"/>
    <n v="15"/>
    <n v="27231.45"/>
    <n v="54462.9"/>
    <n v="1500"/>
    <x v="1"/>
    <x v="2"/>
    <d v="2025-05-14T00:00:00"/>
    <s v="excellent"/>
    <x v="2"/>
    <n v="5"/>
  </r>
  <r>
    <x v="153"/>
    <x v="903"/>
    <s v="Wuse"/>
    <x v="1"/>
    <x v="7"/>
    <x v="2"/>
    <x v="5"/>
    <n v="2"/>
    <n v="55641"/>
    <n v="15"/>
    <n v="47294.85"/>
    <n v="94589.7"/>
    <n v="1000"/>
    <x v="1"/>
    <x v="2"/>
    <d v="2025-03-08T00:00:00"/>
    <s v="excellent"/>
    <x v="2"/>
    <n v="9"/>
  </r>
  <r>
    <x v="3"/>
    <x v="904"/>
    <s v="Surulere"/>
    <x v="3"/>
    <x v="4"/>
    <x v="2"/>
    <x v="3"/>
    <n v="1"/>
    <n v="50203"/>
    <n v="5"/>
    <n v="47692.85"/>
    <n v="47692.85"/>
    <n v="2000"/>
    <x v="0"/>
    <x v="0"/>
    <m/>
    <s v="okay"/>
    <x v="0"/>
    <n v="0"/>
  </r>
  <r>
    <x v="75"/>
    <x v="905"/>
    <s v="Oyigbo"/>
    <x v="2"/>
    <x v="3"/>
    <x v="1"/>
    <x v="2"/>
    <n v="4"/>
    <n v="62767"/>
    <n v="5"/>
    <n v="59628.65"/>
    <n v="238514.6"/>
    <n v="2000"/>
    <x v="0"/>
    <x v="2"/>
    <d v="2025-02-06T00:00:00"/>
    <s v="excellent"/>
    <x v="2"/>
    <n v="5"/>
  </r>
  <r>
    <x v="43"/>
    <x v="906"/>
    <s v="Gwarinpa"/>
    <x v="1"/>
    <x v="3"/>
    <x v="1"/>
    <x v="2"/>
    <n v="1"/>
    <n v="64804"/>
    <n v="10"/>
    <n v="58323.6"/>
    <n v="58323.6"/>
    <n v="1000"/>
    <x v="0"/>
    <x v="0"/>
    <m/>
    <s v="okay"/>
    <x v="0"/>
    <n v="0"/>
  </r>
  <r>
    <x v="81"/>
    <x v="907"/>
    <s v="Ikeja"/>
    <x v="3"/>
    <x v="3"/>
    <x v="1"/>
    <x v="2"/>
    <n v="4"/>
    <n v="29041"/>
    <n v="0"/>
    <n v="29041"/>
    <n v="116164"/>
    <n v="1500"/>
    <x v="0"/>
    <x v="0"/>
    <m/>
    <s v="okay"/>
    <x v="0"/>
    <n v="0"/>
  </r>
  <r>
    <x v="54"/>
    <x v="908"/>
    <s v="Iseyin"/>
    <x v="0"/>
    <x v="9"/>
    <x v="2"/>
    <x v="3"/>
    <n v="4"/>
    <n v="65407"/>
    <n v="10"/>
    <n v="58866.3"/>
    <n v="235465.2"/>
    <n v="2000"/>
    <x v="1"/>
    <x v="2"/>
    <d v="2025-06-03T00:00:00"/>
    <s v="excellent"/>
    <x v="2"/>
    <n v="8"/>
  </r>
  <r>
    <x v="81"/>
    <x v="909"/>
    <s v="Obio-Akpor"/>
    <x v="2"/>
    <x v="9"/>
    <x v="2"/>
    <x v="3"/>
    <n v="3"/>
    <n v="56041"/>
    <n v="20"/>
    <n v="44832.800000000003"/>
    <n v="134498.4"/>
    <n v="1500"/>
    <x v="0"/>
    <x v="0"/>
    <m/>
    <s v="okay"/>
    <x v="0"/>
    <n v="0"/>
  </r>
  <r>
    <x v="48"/>
    <x v="910"/>
    <s v="Oyigbo"/>
    <x v="2"/>
    <x v="11"/>
    <x v="0"/>
    <x v="0"/>
    <n v="3"/>
    <n v="26352"/>
    <n v="20"/>
    <n v="21081.599999999999"/>
    <n v="63244.800000000003"/>
    <n v="1000"/>
    <x v="0"/>
    <x v="1"/>
    <m/>
    <s v="no comment"/>
    <x v="1"/>
    <n v="0"/>
  </r>
  <r>
    <x v="91"/>
    <x v="911"/>
    <s v="Ogbomosho"/>
    <x v="0"/>
    <x v="2"/>
    <x v="1"/>
    <x v="2"/>
    <n v="3"/>
    <n v="22364"/>
    <n v="10"/>
    <n v="20127.599999999999"/>
    <n v="60382.8"/>
    <n v="2000"/>
    <x v="1"/>
    <x v="2"/>
    <d v="2025-06-21T00:00:00"/>
    <s v="excellent"/>
    <x v="2"/>
    <n v="12"/>
  </r>
  <r>
    <x v="145"/>
    <x v="912"/>
    <s v="Ogbomosho"/>
    <x v="0"/>
    <x v="2"/>
    <x v="1"/>
    <x v="2"/>
    <n v="2"/>
    <n v="63372"/>
    <n v="5"/>
    <n v="60203.4"/>
    <n v="120406.8"/>
    <n v="1500"/>
    <x v="0"/>
    <x v="0"/>
    <m/>
    <s v="okay"/>
    <x v="0"/>
    <n v="0"/>
  </r>
  <r>
    <x v="165"/>
    <x v="913"/>
    <s v="Maitama"/>
    <x v="1"/>
    <x v="3"/>
    <x v="1"/>
    <x v="2"/>
    <n v="1"/>
    <n v="44353"/>
    <n v="5"/>
    <n v="42135.35"/>
    <n v="42135.35"/>
    <n v="1500"/>
    <x v="2"/>
    <x v="2"/>
    <d v="2025-02-14T00:00:00"/>
    <s v="excellent"/>
    <x v="2"/>
    <n v="6"/>
  </r>
  <r>
    <x v="37"/>
    <x v="914"/>
    <s v="Eruwa"/>
    <x v="0"/>
    <x v="9"/>
    <x v="2"/>
    <x v="3"/>
    <n v="2"/>
    <n v="27589"/>
    <n v="5"/>
    <n v="26209.55"/>
    <n v="52419.1"/>
    <n v="1500"/>
    <x v="2"/>
    <x v="2"/>
    <d v="2025-02-21T00:00:00"/>
    <s v="excellent"/>
    <x v="2"/>
    <n v="12"/>
  </r>
  <r>
    <x v="50"/>
    <x v="915"/>
    <s v="Gwarinpa"/>
    <x v="1"/>
    <x v="9"/>
    <x v="2"/>
    <x v="3"/>
    <n v="1"/>
    <n v="66793"/>
    <n v="10"/>
    <n v="60113.7"/>
    <n v="60113.7"/>
    <n v="1500"/>
    <x v="2"/>
    <x v="0"/>
    <m/>
    <s v="okay"/>
    <x v="0"/>
    <n v="0"/>
  </r>
  <r>
    <x v="146"/>
    <x v="916"/>
    <s v="Maitama"/>
    <x v="1"/>
    <x v="3"/>
    <x v="1"/>
    <x v="2"/>
    <n v="3"/>
    <n v="52240"/>
    <n v="15"/>
    <n v="44404"/>
    <n v="133212"/>
    <n v="2000"/>
    <x v="2"/>
    <x v="2"/>
    <d v="2025-06-12T00:00:00"/>
    <s v="excellent"/>
    <x v="2"/>
    <n v="14"/>
  </r>
  <r>
    <x v="66"/>
    <x v="917"/>
    <s v="Asokoro"/>
    <x v="1"/>
    <x v="10"/>
    <x v="1"/>
    <x v="4"/>
    <n v="2"/>
    <n v="7675"/>
    <n v="0"/>
    <n v="7675"/>
    <n v="15350"/>
    <n v="2000"/>
    <x v="1"/>
    <x v="0"/>
    <m/>
    <s v="okay"/>
    <x v="0"/>
    <n v="0"/>
  </r>
  <r>
    <x v="21"/>
    <x v="918"/>
    <s v="Bonny"/>
    <x v="2"/>
    <x v="4"/>
    <x v="2"/>
    <x v="3"/>
    <n v="5"/>
    <n v="12538"/>
    <n v="0"/>
    <n v="12538"/>
    <n v="62690"/>
    <n v="1500"/>
    <x v="2"/>
    <x v="2"/>
    <d v="2025-01-25T00:00:00"/>
    <s v="excellent"/>
    <x v="2"/>
    <n v="5"/>
  </r>
  <r>
    <x v="17"/>
    <x v="919"/>
    <s v="Lekki"/>
    <x v="3"/>
    <x v="3"/>
    <x v="1"/>
    <x v="2"/>
    <n v="5"/>
    <n v="39161"/>
    <n v="0"/>
    <n v="39161"/>
    <n v="195805"/>
    <n v="1500"/>
    <x v="0"/>
    <x v="0"/>
    <m/>
    <s v="okay"/>
    <x v="0"/>
    <n v="0"/>
  </r>
  <r>
    <x v="95"/>
    <x v="920"/>
    <s v="Obio-Akpor"/>
    <x v="2"/>
    <x v="10"/>
    <x v="1"/>
    <x v="4"/>
    <n v="4"/>
    <n v="40732"/>
    <n v="20"/>
    <n v="32585.599999999999"/>
    <n v="130342.39999999999"/>
    <n v="2000"/>
    <x v="1"/>
    <x v="0"/>
    <m/>
    <s v="okay"/>
    <x v="0"/>
    <n v="0"/>
  </r>
  <r>
    <x v="114"/>
    <x v="921"/>
    <s v="Yaba"/>
    <x v="3"/>
    <x v="2"/>
    <x v="1"/>
    <x v="2"/>
    <n v="3"/>
    <n v="9713"/>
    <n v="20"/>
    <n v="7770.4"/>
    <n v="23311.200000000001"/>
    <n v="1500"/>
    <x v="0"/>
    <x v="1"/>
    <m/>
    <s v="no comment"/>
    <x v="1"/>
    <n v="0"/>
  </r>
  <r>
    <x v="180"/>
    <x v="922"/>
    <s v="Maitama"/>
    <x v="1"/>
    <x v="5"/>
    <x v="1"/>
    <x v="4"/>
    <n v="2"/>
    <n v="25194"/>
    <n v="0"/>
    <n v="25194"/>
    <n v="50388"/>
    <n v="2000"/>
    <x v="1"/>
    <x v="2"/>
    <d v="2025-06-24T00:00:00"/>
    <s v="excellent"/>
    <x v="2"/>
    <n v="5"/>
  </r>
  <r>
    <x v="141"/>
    <x v="923"/>
    <s v="Surulere"/>
    <x v="3"/>
    <x v="1"/>
    <x v="0"/>
    <x v="1"/>
    <n v="5"/>
    <n v="58053"/>
    <n v="0"/>
    <n v="58053"/>
    <n v="290265"/>
    <n v="1500"/>
    <x v="0"/>
    <x v="1"/>
    <m/>
    <s v="no comment"/>
    <x v="1"/>
    <n v="0"/>
  </r>
  <r>
    <x v="30"/>
    <x v="924"/>
    <s v="Yaba"/>
    <x v="3"/>
    <x v="11"/>
    <x v="0"/>
    <x v="0"/>
    <n v="3"/>
    <n v="58053"/>
    <n v="0"/>
    <n v="58053"/>
    <n v="174159"/>
    <n v="2000"/>
    <x v="0"/>
    <x v="2"/>
    <d v="2025-07-09T00:00:00"/>
    <s v="excellent"/>
    <x v="2"/>
    <n v="11"/>
  </r>
  <r>
    <x v="114"/>
    <x v="925"/>
    <s v="Oyigbo"/>
    <x v="2"/>
    <x v="11"/>
    <x v="0"/>
    <x v="0"/>
    <n v="1"/>
    <n v="1670"/>
    <n v="20"/>
    <n v="1336"/>
    <n v="1336"/>
    <n v="1500"/>
    <x v="1"/>
    <x v="1"/>
    <m/>
    <s v="no comment"/>
    <x v="1"/>
    <n v="0"/>
  </r>
  <r>
    <x v="128"/>
    <x v="926"/>
    <s v="Lekki"/>
    <x v="3"/>
    <x v="8"/>
    <x v="0"/>
    <x v="1"/>
    <n v="2"/>
    <n v="23128"/>
    <n v="15"/>
    <n v="19658.8"/>
    <n v="39317.599999999999"/>
    <n v="2000"/>
    <x v="0"/>
    <x v="0"/>
    <m/>
    <s v="okay"/>
    <x v="0"/>
    <n v="0"/>
  </r>
  <r>
    <x v="144"/>
    <x v="927"/>
    <s v="Iseyin"/>
    <x v="0"/>
    <x v="7"/>
    <x v="2"/>
    <x v="5"/>
    <n v="1"/>
    <n v="74174"/>
    <n v="10"/>
    <n v="66756.600000000006"/>
    <n v="66756.600000000006"/>
    <n v="1500"/>
    <x v="1"/>
    <x v="0"/>
    <m/>
    <s v="okay"/>
    <x v="0"/>
    <n v="0"/>
  </r>
  <r>
    <x v="157"/>
    <x v="928"/>
    <s v="Ogbomosho"/>
    <x v="0"/>
    <x v="2"/>
    <x v="1"/>
    <x v="2"/>
    <n v="2"/>
    <n v="38000"/>
    <n v="20"/>
    <n v="30400"/>
    <n v="60800"/>
    <n v="1000"/>
    <x v="2"/>
    <x v="1"/>
    <m/>
    <s v="no comment"/>
    <x v="1"/>
    <n v="0"/>
  </r>
  <r>
    <x v="84"/>
    <x v="929"/>
    <s v="Ogbomosho"/>
    <x v="0"/>
    <x v="5"/>
    <x v="1"/>
    <x v="4"/>
    <n v="1"/>
    <n v="53554"/>
    <n v="15"/>
    <n v="45520.9"/>
    <n v="45520.9"/>
    <n v="2000"/>
    <x v="0"/>
    <x v="2"/>
    <d v="2025-05-22T00:00:00"/>
    <s v="excellent"/>
    <x v="2"/>
    <n v="7"/>
  </r>
  <r>
    <x v="97"/>
    <x v="930"/>
    <s v="Iseyin"/>
    <x v="0"/>
    <x v="10"/>
    <x v="1"/>
    <x v="4"/>
    <n v="1"/>
    <n v="73865"/>
    <n v="0"/>
    <n v="73865"/>
    <n v="73865"/>
    <n v="1000"/>
    <x v="1"/>
    <x v="1"/>
    <m/>
    <s v="no comment"/>
    <x v="1"/>
    <n v="0"/>
  </r>
  <r>
    <x v="70"/>
    <x v="931"/>
    <s v="Ikeja"/>
    <x v="3"/>
    <x v="7"/>
    <x v="2"/>
    <x v="5"/>
    <n v="3"/>
    <n v="76760"/>
    <n v="10"/>
    <n v="69084"/>
    <n v="207252"/>
    <n v="1000"/>
    <x v="0"/>
    <x v="0"/>
    <m/>
    <s v="okay"/>
    <x v="0"/>
    <n v="0"/>
  </r>
  <r>
    <x v="167"/>
    <x v="932"/>
    <s v="Bonny"/>
    <x v="2"/>
    <x v="2"/>
    <x v="1"/>
    <x v="2"/>
    <n v="5"/>
    <n v="75312"/>
    <n v="15"/>
    <n v="64015.199999999997"/>
    <n v="320076"/>
    <n v="2000"/>
    <x v="2"/>
    <x v="0"/>
    <m/>
    <s v="okay"/>
    <x v="0"/>
    <n v="0"/>
  </r>
  <r>
    <x v="34"/>
    <x v="933"/>
    <s v="Yaba"/>
    <x v="3"/>
    <x v="1"/>
    <x v="0"/>
    <x v="1"/>
    <n v="3"/>
    <n v="9954"/>
    <n v="5"/>
    <n v="9456.2999999999993"/>
    <n v="28368.9"/>
    <n v="2000"/>
    <x v="2"/>
    <x v="0"/>
    <m/>
    <s v="okay"/>
    <x v="0"/>
    <n v="0"/>
  </r>
  <r>
    <x v="33"/>
    <x v="934"/>
    <s v="Asokoro"/>
    <x v="1"/>
    <x v="11"/>
    <x v="0"/>
    <x v="0"/>
    <n v="5"/>
    <n v="1595"/>
    <n v="20"/>
    <n v="1276"/>
    <n v="6380"/>
    <n v="2000"/>
    <x v="1"/>
    <x v="1"/>
    <m/>
    <s v="no comment"/>
    <x v="1"/>
    <n v="0"/>
  </r>
  <r>
    <x v="1"/>
    <x v="935"/>
    <s v="Ogbomosho"/>
    <x v="0"/>
    <x v="5"/>
    <x v="1"/>
    <x v="4"/>
    <n v="4"/>
    <n v="52236"/>
    <n v="0"/>
    <n v="52236"/>
    <n v="208944"/>
    <n v="1000"/>
    <x v="2"/>
    <x v="2"/>
    <d v="2025-05-14T00:00:00"/>
    <s v="excellent"/>
    <x v="2"/>
    <n v="6"/>
  </r>
  <r>
    <x v="54"/>
    <x v="936"/>
    <s v="Lekki"/>
    <x v="3"/>
    <x v="0"/>
    <x v="0"/>
    <x v="0"/>
    <n v="2"/>
    <n v="10321"/>
    <n v="20"/>
    <n v="8256.7999999999993"/>
    <n v="16513.599999999999"/>
    <n v="1000"/>
    <x v="0"/>
    <x v="1"/>
    <m/>
    <s v="no comment"/>
    <x v="1"/>
    <n v="0"/>
  </r>
  <r>
    <x v="106"/>
    <x v="937"/>
    <s v="Eruwa"/>
    <x v="0"/>
    <x v="11"/>
    <x v="0"/>
    <x v="0"/>
    <n v="4"/>
    <n v="40055"/>
    <n v="5"/>
    <n v="38052.25"/>
    <n v="152209"/>
    <n v="1500"/>
    <x v="1"/>
    <x v="2"/>
    <d v="2025-05-15T00:00:00"/>
    <s v="excellent"/>
    <x v="2"/>
    <n v="10"/>
  </r>
  <r>
    <x v="159"/>
    <x v="938"/>
    <s v="Bonny"/>
    <x v="2"/>
    <x v="9"/>
    <x v="2"/>
    <x v="3"/>
    <n v="1"/>
    <n v="28717"/>
    <n v="15"/>
    <n v="24409.45"/>
    <n v="24409.45"/>
    <n v="1500"/>
    <x v="0"/>
    <x v="1"/>
    <m/>
    <s v="no comment"/>
    <x v="1"/>
    <n v="0"/>
  </r>
  <r>
    <x v="143"/>
    <x v="939"/>
    <s v="Port Harcourt"/>
    <x v="2"/>
    <x v="8"/>
    <x v="0"/>
    <x v="1"/>
    <n v="4"/>
    <n v="24190"/>
    <n v="20"/>
    <n v="19352"/>
    <n v="77408"/>
    <n v="1500"/>
    <x v="1"/>
    <x v="0"/>
    <m/>
    <s v="okay"/>
    <x v="0"/>
    <n v="0"/>
  </r>
  <r>
    <x v="6"/>
    <x v="940"/>
    <s v="Bonny"/>
    <x v="2"/>
    <x v="7"/>
    <x v="2"/>
    <x v="5"/>
    <n v="2"/>
    <n v="63324"/>
    <n v="10"/>
    <n v="56991.6"/>
    <n v="113983.2"/>
    <n v="1000"/>
    <x v="1"/>
    <x v="0"/>
    <m/>
    <s v="okay"/>
    <x v="0"/>
    <n v="0"/>
  </r>
  <r>
    <x v="149"/>
    <x v="941"/>
    <s v="Maitama"/>
    <x v="1"/>
    <x v="7"/>
    <x v="2"/>
    <x v="5"/>
    <n v="2"/>
    <n v="45297"/>
    <n v="20"/>
    <n v="36237.599999999999"/>
    <n v="72475.199999999997"/>
    <n v="1500"/>
    <x v="1"/>
    <x v="1"/>
    <m/>
    <s v="no comment"/>
    <x v="1"/>
    <n v="0"/>
  </r>
  <r>
    <x v="179"/>
    <x v="942"/>
    <s v="Ikeja"/>
    <x v="3"/>
    <x v="1"/>
    <x v="0"/>
    <x v="1"/>
    <n v="1"/>
    <n v="43225"/>
    <n v="0"/>
    <n v="43225"/>
    <n v="43225"/>
    <n v="1500"/>
    <x v="1"/>
    <x v="2"/>
    <d v="2025-04-29T00:00:00"/>
    <s v="excellent"/>
    <x v="2"/>
    <n v="3"/>
  </r>
  <r>
    <x v="59"/>
    <x v="943"/>
    <s v="Obio-Akpor"/>
    <x v="2"/>
    <x v="6"/>
    <x v="2"/>
    <x v="5"/>
    <n v="1"/>
    <n v="18806"/>
    <n v="0"/>
    <n v="18806"/>
    <n v="18806"/>
    <n v="1000"/>
    <x v="0"/>
    <x v="1"/>
    <m/>
    <s v="no comment"/>
    <x v="1"/>
    <n v="0"/>
  </r>
  <r>
    <x v="106"/>
    <x v="944"/>
    <s v="Ikeja"/>
    <x v="3"/>
    <x v="10"/>
    <x v="1"/>
    <x v="4"/>
    <n v="5"/>
    <n v="34727"/>
    <n v="5"/>
    <n v="32990.65"/>
    <n v="164953.25"/>
    <n v="1000"/>
    <x v="2"/>
    <x v="1"/>
    <m/>
    <s v="no comment"/>
    <x v="1"/>
    <n v="0"/>
  </r>
  <r>
    <x v="155"/>
    <x v="945"/>
    <s v="Ibadan"/>
    <x v="0"/>
    <x v="3"/>
    <x v="1"/>
    <x v="2"/>
    <n v="3"/>
    <n v="21765"/>
    <n v="20"/>
    <n v="17412"/>
    <n v="52236"/>
    <n v="2000"/>
    <x v="0"/>
    <x v="1"/>
    <m/>
    <s v="no comment"/>
    <x v="1"/>
    <n v="0"/>
  </r>
  <r>
    <x v="141"/>
    <x v="946"/>
    <s v="Iseyin"/>
    <x v="0"/>
    <x v="2"/>
    <x v="1"/>
    <x v="2"/>
    <n v="1"/>
    <n v="22352"/>
    <n v="10"/>
    <n v="20116.8"/>
    <n v="20116.8"/>
    <n v="1500"/>
    <x v="2"/>
    <x v="0"/>
    <m/>
    <s v="okay"/>
    <x v="0"/>
    <n v="0"/>
  </r>
  <r>
    <x v="67"/>
    <x v="947"/>
    <s v="Iseyin"/>
    <x v="0"/>
    <x v="0"/>
    <x v="0"/>
    <x v="0"/>
    <n v="3"/>
    <n v="66090"/>
    <n v="10"/>
    <n v="59481"/>
    <n v="178443"/>
    <n v="1000"/>
    <x v="2"/>
    <x v="2"/>
    <d v="2025-02-15T00:00:00"/>
    <s v="excellent"/>
    <x v="2"/>
    <n v="11"/>
  </r>
  <r>
    <x v="75"/>
    <x v="948"/>
    <s v="Surulere"/>
    <x v="3"/>
    <x v="10"/>
    <x v="1"/>
    <x v="4"/>
    <n v="4"/>
    <n v="38316"/>
    <n v="10"/>
    <n v="34484.400000000001"/>
    <n v="137937.60000000001"/>
    <n v="2000"/>
    <x v="1"/>
    <x v="2"/>
    <d v="2025-02-08T00:00:00"/>
    <s v="excellent"/>
    <x v="2"/>
    <n v="7"/>
  </r>
  <r>
    <x v="81"/>
    <x v="949"/>
    <s v="Yaba"/>
    <x v="3"/>
    <x v="4"/>
    <x v="2"/>
    <x v="3"/>
    <n v="2"/>
    <n v="55245"/>
    <n v="10"/>
    <n v="49720.5"/>
    <n v="99441"/>
    <n v="2000"/>
    <x v="0"/>
    <x v="0"/>
    <m/>
    <s v="okay"/>
    <x v="0"/>
    <n v="0"/>
  </r>
  <r>
    <x v="131"/>
    <x v="950"/>
    <s v="Maitama"/>
    <x v="1"/>
    <x v="2"/>
    <x v="1"/>
    <x v="2"/>
    <n v="3"/>
    <n v="9940"/>
    <n v="0"/>
    <n v="9940"/>
    <n v="29820"/>
    <n v="1000"/>
    <x v="1"/>
    <x v="0"/>
    <m/>
    <s v="okay"/>
    <x v="0"/>
    <n v="0"/>
  </r>
  <r>
    <x v="169"/>
    <x v="951"/>
    <s v="Port Harcourt"/>
    <x v="2"/>
    <x v="1"/>
    <x v="0"/>
    <x v="1"/>
    <n v="4"/>
    <n v="28583"/>
    <n v="10"/>
    <n v="22866.400000000001"/>
    <n v="91465.600000000006"/>
    <n v="2000"/>
    <x v="2"/>
    <x v="0"/>
    <m/>
    <s v="okay"/>
    <x v="0"/>
    <n v="0"/>
  </r>
  <r>
    <x v="22"/>
    <x v="952"/>
    <s v="Lekki"/>
    <x v="3"/>
    <x v="2"/>
    <x v="1"/>
    <x v="2"/>
    <n v="1"/>
    <n v="24054"/>
    <n v="20"/>
    <n v="19243.2"/>
    <n v="19243.2"/>
    <n v="1500"/>
    <x v="2"/>
    <x v="2"/>
    <d v="2025-07-07T00:00:00"/>
    <s v="excellent"/>
    <x v="2"/>
    <n v="14"/>
  </r>
  <r>
    <x v="182"/>
    <x v="953"/>
    <s v="Bonny"/>
    <x v="2"/>
    <x v="0"/>
    <x v="0"/>
    <x v="0"/>
    <n v="2"/>
    <n v="56593"/>
    <n v="0"/>
    <n v="56593"/>
    <n v="113186"/>
    <n v="2000"/>
    <x v="1"/>
    <x v="2"/>
    <d v="2025-05-09T00:00:00"/>
    <s v="excellent"/>
    <x v="2"/>
    <n v="5"/>
  </r>
  <r>
    <x v="70"/>
    <x v="954"/>
    <s v="Iseyin"/>
    <x v="0"/>
    <x v="6"/>
    <x v="2"/>
    <x v="5"/>
    <n v="5"/>
    <n v="52683"/>
    <n v="0"/>
    <n v="52683"/>
    <n v="263415"/>
    <n v="1000"/>
    <x v="2"/>
    <x v="1"/>
    <m/>
    <s v="no comment"/>
    <x v="1"/>
    <n v="0"/>
  </r>
  <r>
    <x v="41"/>
    <x v="955"/>
    <s v="Ikeja"/>
    <x v="3"/>
    <x v="10"/>
    <x v="1"/>
    <x v="4"/>
    <n v="3"/>
    <n v="39980"/>
    <n v="0"/>
    <n v="39980"/>
    <n v="119940"/>
    <n v="1000"/>
    <x v="1"/>
    <x v="1"/>
    <m/>
    <s v="no comment"/>
    <x v="1"/>
    <n v="0"/>
  </r>
  <r>
    <x v="39"/>
    <x v="956"/>
    <s v="Surulere"/>
    <x v="3"/>
    <x v="8"/>
    <x v="0"/>
    <x v="1"/>
    <n v="1"/>
    <n v="30665"/>
    <n v="10"/>
    <n v="27598.5"/>
    <n v="27598.5"/>
    <n v="1000"/>
    <x v="2"/>
    <x v="0"/>
    <m/>
    <s v="okay"/>
    <x v="0"/>
    <n v="0"/>
  </r>
  <r>
    <x v="171"/>
    <x v="957"/>
    <s v="Surulere"/>
    <x v="3"/>
    <x v="0"/>
    <x v="0"/>
    <x v="0"/>
    <n v="2"/>
    <n v="32194"/>
    <n v="5"/>
    <n v="30584.3"/>
    <n v="61168.6"/>
    <n v="2000"/>
    <x v="0"/>
    <x v="1"/>
    <m/>
    <s v="no comment"/>
    <x v="1"/>
    <n v="0"/>
  </r>
  <r>
    <x v="1"/>
    <x v="958"/>
    <s v="Maitama"/>
    <x v="1"/>
    <x v="3"/>
    <x v="1"/>
    <x v="2"/>
    <n v="3"/>
    <n v="26220"/>
    <n v="10"/>
    <n v="23598"/>
    <n v="70794"/>
    <n v="1500"/>
    <x v="2"/>
    <x v="0"/>
    <m/>
    <s v="okay"/>
    <x v="0"/>
    <n v="0"/>
  </r>
  <r>
    <x v="33"/>
    <x v="959"/>
    <s v="Oyigbo"/>
    <x v="2"/>
    <x v="4"/>
    <x v="2"/>
    <x v="3"/>
    <n v="3"/>
    <n v="23364"/>
    <n v="10"/>
    <n v="21027.599999999999"/>
    <n v="63082.8"/>
    <n v="2000"/>
    <x v="0"/>
    <x v="0"/>
    <m/>
    <s v="okay"/>
    <x v="0"/>
    <n v="0"/>
  </r>
  <r>
    <x v="27"/>
    <x v="960"/>
    <s v="Eruwa"/>
    <x v="0"/>
    <x v="0"/>
    <x v="0"/>
    <x v="0"/>
    <n v="3"/>
    <n v="78995"/>
    <n v="0"/>
    <n v="78995"/>
    <n v="236985"/>
    <n v="2000"/>
    <x v="0"/>
    <x v="0"/>
    <m/>
    <s v="okay"/>
    <x v="0"/>
    <n v="0"/>
  </r>
  <r>
    <x v="65"/>
    <x v="961"/>
    <s v="Oyigbo"/>
    <x v="2"/>
    <x v="11"/>
    <x v="0"/>
    <x v="0"/>
    <n v="5"/>
    <n v="48805"/>
    <n v="10"/>
    <n v="43924.5"/>
    <n v="219622.5"/>
    <n v="1500"/>
    <x v="2"/>
    <x v="2"/>
    <d v="2025-04-05T00:00:00"/>
    <s v="excellent"/>
    <x v="2"/>
    <n v="5"/>
  </r>
  <r>
    <x v="6"/>
    <x v="962"/>
    <s v="Lekki"/>
    <x v="3"/>
    <x v="6"/>
    <x v="2"/>
    <x v="5"/>
    <n v="2"/>
    <n v="43168"/>
    <n v="5"/>
    <n v="41009.599999999999"/>
    <n v="82019.199999999997"/>
    <n v="1000"/>
    <x v="2"/>
    <x v="0"/>
    <m/>
    <s v="okay"/>
    <x v="0"/>
    <n v="0"/>
  </r>
  <r>
    <x v="137"/>
    <x v="963"/>
    <s v="Port Harcourt"/>
    <x v="2"/>
    <x v="10"/>
    <x v="1"/>
    <x v="4"/>
    <n v="4"/>
    <n v="35244"/>
    <n v="10"/>
    <n v="31719.599999999999"/>
    <n v="126878.39999999999"/>
    <n v="1000"/>
    <x v="0"/>
    <x v="0"/>
    <m/>
    <s v="okay"/>
    <x v="0"/>
    <n v="0"/>
  </r>
  <r>
    <x v="16"/>
    <x v="964"/>
    <s v="Bonny"/>
    <x v="2"/>
    <x v="10"/>
    <x v="1"/>
    <x v="4"/>
    <n v="1"/>
    <n v="24294"/>
    <n v="15"/>
    <n v="20649.900000000001"/>
    <n v="20649.900000000001"/>
    <n v="2000"/>
    <x v="2"/>
    <x v="0"/>
    <m/>
    <s v="okay"/>
    <x v="0"/>
    <n v="0"/>
  </r>
  <r>
    <x v="143"/>
    <x v="965"/>
    <s v="Oyigbo"/>
    <x v="2"/>
    <x v="2"/>
    <x v="1"/>
    <x v="2"/>
    <n v="5"/>
    <n v="62547"/>
    <n v="20"/>
    <n v="50037.599999999999"/>
    <n v="250188"/>
    <n v="1000"/>
    <x v="2"/>
    <x v="1"/>
    <m/>
    <s v="no comment"/>
    <x v="1"/>
    <n v="0"/>
  </r>
  <r>
    <x v="157"/>
    <x v="966"/>
    <s v="Yaba"/>
    <x v="3"/>
    <x v="11"/>
    <x v="0"/>
    <x v="0"/>
    <n v="3"/>
    <n v="54197"/>
    <n v="0"/>
    <n v="54197"/>
    <n v="162591"/>
    <n v="1500"/>
    <x v="2"/>
    <x v="1"/>
    <m/>
    <s v="no comment"/>
    <x v="1"/>
    <n v="0"/>
  </r>
  <r>
    <x v="27"/>
    <x v="967"/>
    <s v="Iseyin"/>
    <x v="0"/>
    <x v="7"/>
    <x v="2"/>
    <x v="5"/>
    <n v="4"/>
    <n v="57552"/>
    <n v="20"/>
    <n v="46041.599999999999"/>
    <n v="184166.39999999999"/>
    <n v="2000"/>
    <x v="1"/>
    <x v="1"/>
    <m/>
    <s v="no comment"/>
    <x v="1"/>
    <n v="0"/>
  </r>
  <r>
    <x v="105"/>
    <x v="968"/>
    <s v="Iseyin"/>
    <x v="0"/>
    <x v="8"/>
    <x v="0"/>
    <x v="1"/>
    <n v="4"/>
    <n v="76370"/>
    <n v="15"/>
    <n v="64914.5"/>
    <n v="259658"/>
    <n v="1500"/>
    <x v="1"/>
    <x v="2"/>
    <d v="2025-01-19T00:00:00"/>
    <s v="excellent"/>
    <x v="2"/>
    <n v="5"/>
  </r>
  <r>
    <x v="84"/>
    <x v="969"/>
    <s v="Ibadan"/>
    <x v="0"/>
    <x v="9"/>
    <x v="2"/>
    <x v="3"/>
    <n v="4"/>
    <n v="79446"/>
    <n v="0"/>
    <n v="79446"/>
    <n v="317784"/>
    <n v="1000"/>
    <x v="0"/>
    <x v="2"/>
    <d v="2025-05-21T00:00:00"/>
    <s v="excellent"/>
    <x v="2"/>
    <n v="6"/>
  </r>
  <r>
    <x v="47"/>
    <x v="970"/>
    <s v="Eruwa"/>
    <x v="0"/>
    <x v="11"/>
    <x v="0"/>
    <x v="0"/>
    <n v="3"/>
    <n v="14636"/>
    <n v="15"/>
    <n v="12440.6"/>
    <n v="37321.800000000003"/>
    <n v="2000"/>
    <x v="1"/>
    <x v="1"/>
    <m/>
    <s v="no comment"/>
    <x v="1"/>
    <n v="0"/>
  </r>
  <r>
    <x v="24"/>
    <x v="971"/>
    <s v="Ogbomosho"/>
    <x v="0"/>
    <x v="10"/>
    <x v="1"/>
    <x v="4"/>
    <n v="2"/>
    <n v="71260"/>
    <n v="20"/>
    <n v="57008"/>
    <n v="114016"/>
    <n v="1000"/>
    <x v="1"/>
    <x v="0"/>
    <m/>
    <s v="okay"/>
    <x v="0"/>
    <n v="0"/>
  </r>
  <r>
    <x v="149"/>
    <x v="972"/>
    <s v="Ikeja"/>
    <x v="3"/>
    <x v="3"/>
    <x v="1"/>
    <x v="2"/>
    <n v="1"/>
    <n v="52791"/>
    <n v="5"/>
    <n v="50151.45"/>
    <n v="50151.45"/>
    <n v="1000"/>
    <x v="0"/>
    <x v="2"/>
    <d v="2025-02-03T00:00:00"/>
    <s v="excellent"/>
    <x v="2"/>
    <n v="4"/>
  </r>
  <r>
    <x v="163"/>
    <x v="973"/>
    <s v="Surulere"/>
    <x v="3"/>
    <x v="6"/>
    <x v="2"/>
    <x v="5"/>
    <n v="5"/>
    <n v="1565"/>
    <n v="20"/>
    <n v="1252"/>
    <n v="6260"/>
    <n v="1000"/>
    <x v="1"/>
    <x v="1"/>
    <m/>
    <s v="no comment"/>
    <x v="1"/>
    <n v="0"/>
  </r>
  <r>
    <x v="60"/>
    <x v="974"/>
    <s v="Oyigbo"/>
    <x v="2"/>
    <x v="7"/>
    <x v="2"/>
    <x v="5"/>
    <n v="3"/>
    <n v="73503"/>
    <n v="0"/>
    <n v="73503"/>
    <n v="220509"/>
    <n v="2000"/>
    <x v="2"/>
    <x v="1"/>
    <m/>
    <s v="no comment"/>
    <x v="1"/>
    <n v="0"/>
  </r>
  <r>
    <x v="93"/>
    <x v="975"/>
    <s v="Gwarinpa"/>
    <x v="1"/>
    <x v="2"/>
    <x v="1"/>
    <x v="2"/>
    <n v="1"/>
    <n v="69662"/>
    <n v="0"/>
    <n v="69662"/>
    <n v="69662"/>
    <n v="1500"/>
    <x v="0"/>
    <x v="1"/>
    <m/>
    <s v="no comment"/>
    <x v="1"/>
    <n v="0"/>
  </r>
  <r>
    <x v="89"/>
    <x v="976"/>
    <s v="Wuse"/>
    <x v="1"/>
    <x v="4"/>
    <x v="2"/>
    <x v="3"/>
    <n v="2"/>
    <n v="36751"/>
    <n v="0"/>
    <n v="36751"/>
    <n v="73502"/>
    <n v="2000"/>
    <x v="0"/>
    <x v="0"/>
    <m/>
    <s v="okay"/>
    <x v="0"/>
    <n v="0"/>
  </r>
  <r>
    <x v="75"/>
    <x v="122"/>
    <s v="Eruwa"/>
    <x v="0"/>
    <x v="1"/>
    <x v="0"/>
    <x v="1"/>
    <n v="2"/>
    <n v="60648"/>
    <n v="10"/>
    <n v="54583.199999999997"/>
    <n v="109166.39999999999"/>
    <n v="1500"/>
    <x v="1"/>
    <x v="1"/>
    <m/>
    <s v="no comment"/>
    <x v="1"/>
    <n v="0"/>
  </r>
  <r>
    <x v="37"/>
    <x v="977"/>
    <s v="Oyigbo"/>
    <x v="2"/>
    <x v="7"/>
    <x v="2"/>
    <x v="5"/>
    <n v="5"/>
    <n v="47796"/>
    <n v="0"/>
    <n v="47796"/>
    <n v="238980"/>
    <n v="1500"/>
    <x v="0"/>
    <x v="0"/>
    <m/>
    <s v="okay"/>
    <x v="0"/>
    <n v="0"/>
  </r>
  <r>
    <x v="100"/>
    <x v="978"/>
    <s v="Iseyin"/>
    <x v="0"/>
    <x v="9"/>
    <x v="2"/>
    <x v="3"/>
    <n v="4"/>
    <n v="44644"/>
    <n v="15"/>
    <n v="37947.4"/>
    <n v="151789.6"/>
    <n v="1500"/>
    <x v="1"/>
    <x v="2"/>
    <d v="2025-06-15T00:00:00"/>
    <s v="excellent"/>
    <x v="2"/>
    <n v="10"/>
  </r>
  <r>
    <x v="18"/>
    <x v="979"/>
    <s v="Port Harcourt"/>
    <x v="2"/>
    <x v="8"/>
    <x v="0"/>
    <x v="1"/>
    <n v="1"/>
    <n v="39756"/>
    <n v="15"/>
    <n v="33792.6"/>
    <n v="33792.6"/>
    <n v="1000"/>
    <x v="0"/>
    <x v="1"/>
    <m/>
    <s v="no comment"/>
    <x v="1"/>
    <n v="0"/>
  </r>
  <r>
    <x v="108"/>
    <x v="980"/>
    <s v="Ikeja"/>
    <x v="3"/>
    <x v="2"/>
    <x v="1"/>
    <x v="2"/>
    <n v="3"/>
    <n v="48419"/>
    <n v="15"/>
    <n v="41156.15"/>
    <n v="123468.45"/>
    <n v="1000"/>
    <x v="1"/>
    <x v="0"/>
    <m/>
    <s v="okay"/>
    <x v="0"/>
    <n v="0"/>
  </r>
  <r>
    <x v="115"/>
    <x v="981"/>
    <s v="Oyigbo"/>
    <x v="2"/>
    <x v="8"/>
    <x v="0"/>
    <x v="1"/>
    <n v="1"/>
    <n v="76706"/>
    <n v="10"/>
    <n v="69035.399999999994"/>
    <n v="69035.399999999994"/>
    <n v="2000"/>
    <x v="1"/>
    <x v="0"/>
    <m/>
    <s v="okay"/>
    <x v="0"/>
    <n v="0"/>
  </r>
  <r>
    <x v="23"/>
    <x v="982"/>
    <s v="Eruwa"/>
    <x v="0"/>
    <x v="2"/>
    <x v="1"/>
    <x v="2"/>
    <n v="4"/>
    <n v="29001"/>
    <n v="20"/>
    <n v="23200.799999999999"/>
    <n v="92803.199999999997"/>
    <n v="1500"/>
    <x v="1"/>
    <x v="0"/>
    <m/>
    <s v="okay"/>
    <x v="0"/>
    <n v="0"/>
  </r>
  <r>
    <x v="54"/>
    <x v="983"/>
    <s v="Eruwa"/>
    <x v="0"/>
    <x v="9"/>
    <x v="2"/>
    <x v="3"/>
    <n v="2"/>
    <n v="59798"/>
    <n v="20"/>
    <n v="47838.400000000001"/>
    <n v="95676.800000000003"/>
    <n v="2000"/>
    <x v="1"/>
    <x v="1"/>
    <m/>
    <s v="no comment"/>
    <x v="1"/>
    <n v="0"/>
  </r>
  <r>
    <x v="155"/>
    <x v="984"/>
    <s v="Yaba"/>
    <x v="3"/>
    <x v="0"/>
    <x v="0"/>
    <x v="0"/>
    <n v="1"/>
    <n v="51300"/>
    <n v="0"/>
    <n v="51300"/>
    <n v="51300"/>
    <n v="1000"/>
    <x v="1"/>
    <x v="0"/>
    <m/>
    <s v="okay"/>
    <x v="0"/>
    <n v="0"/>
  </r>
  <r>
    <x v="180"/>
    <x v="985"/>
    <s v="Maitama"/>
    <x v="1"/>
    <x v="10"/>
    <x v="1"/>
    <x v="4"/>
    <n v="1"/>
    <n v="61065"/>
    <n v="0"/>
    <n v="61065"/>
    <n v="61065"/>
    <n v="1500"/>
    <x v="0"/>
    <x v="0"/>
    <m/>
    <s v="okay"/>
    <x v="0"/>
    <n v="0"/>
  </r>
  <r>
    <x v="47"/>
    <x v="986"/>
    <s v="Iseyin"/>
    <x v="0"/>
    <x v="2"/>
    <x v="1"/>
    <x v="2"/>
    <n v="3"/>
    <n v="23286"/>
    <n v="10"/>
    <n v="20957.400000000001"/>
    <n v="62872.2"/>
    <n v="2000"/>
    <x v="0"/>
    <x v="0"/>
    <m/>
    <s v="okay"/>
    <x v="0"/>
    <n v="0"/>
  </r>
  <r>
    <x v="123"/>
    <x v="987"/>
    <s v="Surulere"/>
    <x v="3"/>
    <x v="10"/>
    <x v="1"/>
    <x v="4"/>
    <n v="4"/>
    <n v="6947"/>
    <n v="15"/>
    <n v="5904.95"/>
    <n v="23619.8"/>
    <n v="1000"/>
    <x v="0"/>
    <x v="2"/>
    <d v="2025-04-10T00:00:00"/>
    <s v="excellent"/>
    <x v="2"/>
    <n v="8"/>
  </r>
  <r>
    <x v="86"/>
    <x v="988"/>
    <s v="Port Harcourt"/>
    <x v="2"/>
    <x v="7"/>
    <x v="2"/>
    <x v="5"/>
    <n v="2"/>
    <n v="23876"/>
    <n v="15"/>
    <n v="20294.599999999999"/>
    <n v="40589.199999999997"/>
    <n v="1000"/>
    <x v="0"/>
    <x v="0"/>
    <m/>
    <s v="okay"/>
    <x v="0"/>
    <n v="0"/>
  </r>
  <r>
    <x v="101"/>
    <x v="989"/>
    <s v="Obio-Akpor"/>
    <x v="2"/>
    <x v="1"/>
    <x v="0"/>
    <x v="1"/>
    <n v="4"/>
    <n v="74440"/>
    <n v="10"/>
    <n v="66996"/>
    <n v="267984"/>
    <n v="1500"/>
    <x v="2"/>
    <x v="0"/>
    <m/>
    <s v="okay"/>
    <x v="0"/>
    <n v="0"/>
  </r>
  <r>
    <x v="102"/>
    <x v="990"/>
    <s v="Obio-Akpor"/>
    <x v="2"/>
    <x v="11"/>
    <x v="0"/>
    <x v="0"/>
    <n v="5"/>
    <n v="21900"/>
    <n v="20"/>
    <n v="17520"/>
    <n v="87600"/>
    <n v="2000"/>
    <x v="0"/>
    <x v="2"/>
    <d v="2025-02-26T00:00:00"/>
    <s v="excellent"/>
    <x v="2"/>
    <n v="5"/>
  </r>
  <r>
    <x v="147"/>
    <x v="991"/>
    <s v="Iseyin"/>
    <x v="0"/>
    <x v="8"/>
    <x v="0"/>
    <x v="1"/>
    <n v="5"/>
    <n v="61902"/>
    <n v="20"/>
    <n v="49521.599999999999"/>
    <n v="247608"/>
    <n v="2000"/>
    <x v="2"/>
    <x v="2"/>
    <d v="2025-06-11T00:00:00"/>
    <s v="excellent"/>
    <x v="2"/>
    <n v="3"/>
  </r>
  <r>
    <x v="49"/>
    <x v="992"/>
    <s v="Gwarinpa"/>
    <x v="1"/>
    <x v="8"/>
    <x v="0"/>
    <x v="1"/>
    <n v="5"/>
    <n v="55832"/>
    <n v="20"/>
    <n v="44665.599999999999"/>
    <n v="223328"/>
    <n v="2000"/>
    <x v="1"/>
    <x v="2"/>
    <d v="2025-02-28T00:00:00"/>
    <s v="excellent"/>
    <x v="2"/>
    <n v="3"/>
  </r>
  <r>
    <x v="180"/>
    <x v="993"/>
    <s v="Ikeja"/>
    <x v="3"/>
    <x v="0"/>
    <x v="0"/>
    <x v="0"/>
    <n v="2"/>
    <n v="26533"/>
    <n v="10"/>
    <n v="23879.7"/>
    <n v="47759.4"/>
    <n v="1500"/>
    <x v="1"/>
    <x v="0"/>
    <m/>
    <s v="okay"/>
    <x v="0"/>
    <n v="0"/>
  </r>
  <r>
    <x v="116"/>
    <x v="994"/>
    <s v="Ogbomosho"/>
    <x v="0"/>
    <x v="6"/>
    <x v="2"/>
    <x v="5"/>
    <n v="4"/>
    <n v="61051"/>
    <n v="10"/>
    <n v="54945.9"/>
    <n v="219783.6"/>
    <n v="2000"/>
    <x v="2"/>
    <x v="2"/>
    <d v="2025-05-04T00:00:00"/>
    <s v="excellent"/>
    <x v="2"/>
    <n v="11"/>
  </r>
  <r>
    <x v="11"/>
    <x v="995"/>
    <s v="Maitama"/>
    <x v="1"/>
    <x v="8"/>
    <x v="0"/>
    <x v="1"/>
    <n v="4"/>
    <n v="10412"/>
    <n v="15"/>
    <n v="8850.2000000000007"/>
    <n v="35400.800000000003"/>
    <n v="1500"/>
    <x v="0"/>
    <x v="0"/>
    <m/>
    <s v="okay"/>
    <x v="0"/>
    <n v="0"/>
  </r>
  <r>
    <x v="130"/>
    <x v="996"/>
    <s v="Asokoro"/>
    <x v="1"/>
    <x v="2"/>
    <x v="1"/>
    <x v="2"/>
    <n v="4"/>
    <n v="34895"/>
    <n v="0"/>
    <n v="34895"/>
    <n v="139580"/>
    <n v="2000"/>
    <x v="2"/>
    <x v="2"/>
    <d v="2025-05-09T00:00:00"/>
    <s v="excellent"/>
    <x v="2"/>
    <n v="6"/>
  </r>
  <r>
    <x v="31"/>
    <x v="997"/>
    <s v="Port Harcourt"/>
    <x v="2"/>
    <x v="0"/>
    <x v="0"/>
    <x v="0"/>
    <n v="3"/>
    <n v="41957"/>
    <n v="5"/>
    <n v="39859.15"/>
    <n v="119577.45"/>
    <n v="1000"/>
    <x v="2"/>
    <x v="2"/>
    <d v="2025-02-22T00:00:00"/>
    <s v="excellent"/>
    <x v="2"/>
    <n v="11"/>
  </r>
  <r>
    <x v="88"/>
    <x v="998"/>
    <s v="Obio-Akpor"/>
    <x v="2"/>
    <x v="5"/>
    <x v="1"/>
    <x v="4"/>
    <n v="5"/>
    <n v="12801"/>
    <n v="5"/>
    <n v="12160.95"/>
    <n v="60804.75"/>
    <n v="1500"/>
    <x v="0"/>
    <x v="2"/>
    <d v="2025-01-28T00:00:00"/>
    <s v="excellent"/>
    <x v="2"/>
    <n v="11"/>
  </r>
  <r>
    <x v="75"/>
    <x v="999"/>
    <s v="Ibadan"/>
    <x v="0"/>
    <x v="6"/>
    <x v="2"/>
    <x v="5"/>
    <n v="4"/>
    <n v="16719"/>
    <n v="20"/>
    <n v="13375.2"/>
    <n v="53500.800000000003"/>
    <n v="1000"/>
    <x v="2"/>
    <x v="1"/>
    <m/>
    <s v="no comment"/>
    <x v="1"/>
    <n v="0"/>
  </r>
  <r>
    <x v="92"/>
    <x v="1000"/>
    <s v="Gwarinpa"/>
    <x v="1"/>
    <x v="8"/>
    <x v="0"/>
    <x v="1"/>
    <n v="2"/>
    <n v="27137"/>
    <n v="0"/>
    <n v="27137"/>
    <n v="54274"/>
    <n v="2000"/>
    <x v="1"/>
    <x v="2"/>
    <d v="2025-02-03T00:00:00"/>
    <s v="excellent"/>
    <x v="2"/>
    <n v="6"/>
  </r>
  <r>
    <x v="45"/>
    <x v="1001"/>
    <s v="Lekki"/>
    <x v="3"/>
    <x v="10"/>
    <x v="1"/>
    <x v="4"/>
    <n v="3"/>
    <n v="25596"/>
    <n v="15"/>
    <n v="21756.6"/>
    <n v="65269.8"/>
    <n v="2000"/>
    <x v="0"/>
    <x v="0"/>
    <m/>
    <s v="okay"/>
    <x v="0"/>
    <n v="0"/>
  </r>
  <r>
    <x v="0"/>
    <x v="1002"/>
    <s v="Wuse"/>
    <x v="1"/>
    <x v="4"/>
    <x v="2"/>
    <x v="3"/>
    <n v="3"/>
    <n v="56883"/>
    <n v="5"/>
    <n v="54038.85"/>
    <n v="162116.54999999999"/>
    <n v="1500"/>
    <x v="0"/>
    <x v="1"/>
    <m/>
    <s v="no comment"/>
    <x v="1"/>
    <n v="0"/>
  </r>
  <r>
    <x v="115"/>
    <x v="1003"/>
    <s v="Eruwa"/>
    <x v="0"/>
    <x v="8"/>
    <x v="0"/>
    <x v="1"/>
    <n v="3"/>
    <n v="12992"/>
    <n v="5"/>
    <n v="12342.4"/>
    <n v="37027.199999999997"/>
    <n v="2000"/>
    <x v="0"/>
    <x v="2"/>
    <d v="2025-04-09T00:00:00"/>
    <s v="excellent"/>
    <x v="2"/>
    <n v="4"/>
  </r>
  <r>
    <x v="83"/>
    <x v="1004"/>
    <s v="Asokoro"/>
    <x v="1"/>
    <x v="0"/>
    <x v="0"/>
    <x v="0"/>
    <n v="2"/>
    <n v="51812"/>
    <n v="0"/>
    <n v="51812"/>
    <n v="103624"/>
    <n v="2000"/>
    <x v="0"/>
    <x v="1"/>
    <m/>
    <s v="no comment"/>
    <x v="1"/>
    <n v="0"/>
  </r>
  <r>
    <x v="122"/>
    <x v="1005"/>
    <s v="Wuse"/>
    <x v="1"/>
    <x v="7"/>
    <x v="2"/>
    <x v="5"/>
    <n v="4"/>
    <n v="48092"/>
    <n v="0"/>
    <n v="48092"/>
    <n v="192368"/>
    <n v="2000"/>
    <x v="0"/>
    <x v="1"/>
    <m/>
    <s v="no comment"/>
    <x v="1"/>
    <n v="0"/>
  </r>
  <r>
    <x v="22"/>
    <x v="1006"/>
    <s v="Lekki"/>
    <x v="3"/>
    <x v="4"/>
    <x v="2"/>
    <x v="3"/>
    <n v="5"/>
    <n v="14497"/>
    <n v="5"/>
    <n v="13772.15"/>
    <n v="68860.75"/>
    <n v="1000"/>
    <x v="1"/>
    <x v="0"/>
    <m/>
    <s v="okay"/>
    <x v="0"/>
    <n v="0"/>
  </r>
  <r>
    <x v="0"/>
    <x v="1007"/>
    <s v="Obio-Akpor"/>
    <x v="2"/>
    <x v="11"/>
    <x v="0"/>
    <x v="0"/>
    <n v="5"/>
    <n v="61758"/>
    <n v="20"/>
    <n v="49406.400000000001"/>
    <n v="247032"/>
    <n v="1000"/>
    <x v="0"/>
    <x v="1"/>
    <m/>
    <s v="no comment"/>
    <x v="1"/>
    <n v="0"/>
  </r>
  <r>
    <x v="164"/>
    <x v="1008"/>
    <s v="Gwarinpa"/>
    <x v="1"/>
    <x v="5"/>
    <x v="1"/>
    <x v="4"/>
    <n v="3"/>
    <n v="70942"/>
    <n v="5"/>
    <n v="67394.899999999994"/>
    <n v="202184.7"/>
    <n v="2000"/>
    <x v="1"/>
    <x v="0"/>
    <m/>
    <s v="okay"/>
    <x v="0"/>
    <n v="0"/>
  </r>
  <r>
    <x v="143"/>
    <x v="1009"/>
    <s v="Bonny"/>
    <x v="2"/>
    <x v="9"/>
    <x v="2"/>
    <x v="3"/>
    <n v="1"/>
    <n v="35540"/>
    <n v="0"/>
    <n v="35540"/>
    <n v="35540"/>
    <n v="1500"/>
    <x v="0"/>
    <x v="1"/>
    <m/>
    <s v="no comment"/>
    <x v="1"/>
    <n v="0"/>
  </r>
  <r>
    <x v="109"/>
    <x v="1010"/>
    <s v="Oyigbo"/>
    <x v="2"/>
    <x v="1"/>
    <x v="0"/>
    <x v="1"/>
    <n v="3"/>
    <n v="35702"/>
    <n v="15"/>
    <n v="30346.7"/>
    <n v="91040.1"/>
    <n v="1500"/>
    <x v="1"/>
    <x v="2"/>
    <d v="2025-03-24T00:00:00"/>
    <s v="excellent"/>
    <x v="2"/>
    <n v="12"/>
  </r>
  <r>
    <x v="107"/>
    <x v="1011"/>
    <s v="Port Harcourt"/>
    <x v="2"/>
    <x v="3"/>
    <x v="1"/>
    <x v="2"/>
    <n v="2"/>
    <n v="35033"/>
    <n v="5"/>
    <n v="33281.35"/>
    <n v="66562.7"/>
    <n v="1000"/>
    <x v="0"/>
    <x v="1"/>
    <m/>
    <s v="no comment"/>
    <x v="1"/>
    <n v="0"/>
  </r>
  <r>
    <x v="8"/>
    <x v="1012"/>
    <s v="Oyigbo"/>
    <x v="2"/>
    <x v="4"/>
    <x v="2"/>
    <x v="3"/>
    <n v="2"/>
    <n v="73412"/>
    <n v="10"/>
    <n v="66070.8"/>
    <n v="132141.6"/>
    <n v="2000"/>
    <x v="0"/>
    <x v="2"/>
    <d v="2025-04-03T00:00:00"/>
    <s v="excellent"/>
    <x v="2"/>
    <n v="6"/>
  </r>
  <r>
    <x v="76"/>
    <x v="1013"/>
    <s v="Ikeja"/>
    <x v="3"/>
    <x v="1"/>
    <x v="0"/>
    <x v="1"/>
    <n v="4"/>
    <n v="23100"/>
    <n v="20"/>
    <n v="18480"/>
    <n v="73920"/>
    <n v="2000"/>
    <x v="0"/>
    <x v="1"/>
    <m/>
    <s v="no comment"/>
    <x v="1"/>
    <n v="0"/>
  </r>
  <r>
    <x v="170"/>
    <x v="1014"/>
    <s v="Oyigbo"/>
    <x v="2"/>
    <x v="5"/>
    <x v="1"/>
    <x v="4"/>
    <n v="2"/>
    <n v="78169"/>
    <n v="5"/>
    <n v="74260.55"/>
    <n v="148521.1"/>
    <n v="1500"/>
    <x v="1"/>
    <x v="0"/>
    <m/>
    <s v="okay"/>
    <x v="0"/>
    <n v="0"/>
  </r>
  <r>
    <x v="100"/>
    <x v="1015"/>
    <s v="Ibadan"/>
    <x v="0"/>
    <x v="11"/>
    <x v="0"/>
    <x v="0"/>
    <n v="1"/>
    <n v="61401"/>
    <n v="15"/>
    <n v="52190.85"/>
    <n v="52190.85"/>
    <n v="2000"/>
    <x v="0"/>
    <x v="1"/>
    <m/>
    <s v="no comment"/>
    <x v="1"/>
    <n v="0"/>
  </r>
  <r>
    <x v="170"/>
    <x v="1016"/>
    <s v="Yaba"/>
    <x v="3"/>
    <x v="6"/>
    <x v="2"/>
    <x v="5"/>
    <n v="3"/>
    <n v="7344"/>
    <n v="0"/>
    <n v="7344"/>
    <n v="22032"/>
    <n v="2000"/>
    <x v="1"/>
    <x v="2"/>
    <d v="2025-06-02T00:00:00"/>
    <s v="excellent"/>
    <x v="2"/>
    <n v="6"/>
  </r>
  <r>
    <x v="6"/>
    <x v="1017"/>
    <s v="Obio-Akpor"/>
    <x v="2"/>
    <x v="8"/>
    <x v="0"/>
    <x v="1"/>
    <n v="5"/>
    <n v="6742"/>
    <n v="10"/>
    <n v="6067.8"/>
    <n v="30339"/>
    <n v="2000"/>
    <x v="2"/>
    <x v="0"/>
    <m/>
    <s v="okay"/>
    <x v="0"/>
    <n v="0"/>
  </r>
  <r>
    <x v="98"/>
    <x v="1018"/>
    <s v="Oyigbo"/>
    <x v="2"/>
    <x v="8"/>
    <x v="0"/>
    <x v="1"/>
    <n v="1"/>
    <n v="72873"/>
    <n v="0"/>
    <n v="72873"/>
    <n v="72873"/>
    <n v="2000"/>
    <x v="1"/>
    <x v="1"/>
    <m/>
    <s v="no comment"/>
    <x v="1"/>
    <n v="0"/>
  </r>
  <r>
    <x v="27"/>
    <x v="1019"/>
    <s v="Iseyin"/>
    <x v="0"/>
    <x v="8"/>
    <x v="0"/>
    <x v="1"/>
    <n v="4"/>
    <n v="8141"/>
    <n v="10"/>
    <n v="6512.8"/>
    <n v="26051.200000000001"/>
    <n v="1500"/>
    <x v="1"/>
    <x v="1"/>
    <m/>
    <s v="no comment"/>
    <x v="1"/>
    <n v="0"/>
  </r>
  <r>
    <x v="84"/>
    <x v="1020"/>
    <s v="Lekki"/>
    <x v="3"/>
    <x v="6"/>
    <x v="2"/>
    <x v="5"/>
    <n v="1"/>
    <n v="14743"/>
    <n v="0"/>
    <n v="14743"/>
    <n v="14743"/>
    <n v="1500"/>
    <x v="2"/>
    <x v="0"/>
    <m/>
    <s v="okay"/>
    <x v="0"/>
    <n v="0"/>
  </r>
  <r>
    <x v="68"/>
    <x v="1021"/>
    <s v="Gwarinpa"/>
    <x v="1"/>
    <x v="6"/>
    <x v="2"/>
    <x v="5"/>
    <n v="4"/>
    <n v="77486"/>
    <n v="5"/>
    <n v="73611.7"/>
    <n v="294446.8"/>
    <n v="2000"/>
    <x v="0"/>
    <x v="2"/>
    <d v="2025-06-17T00:00:00"/>
    <s v="excellent"/>
    <x v="2"/>
    <n v="13"/>
  </r>
  <r>
    <x v="48"/>
    <x v="1022"/>
    <s v="Ibadan"/>
    <x v="0"/>
    <x v="10"/>
    <x v="1"/>
    <x v="4"/>
    <n v="4"/>
    <n v="20325"/>
    <n v="0"/>
    <n v="20325"/>
    <n v="81300"/>
    <n v="2000"/>
    <x v="0"/>
    <x v="0"/>
    <m/>
    <s v="okay"/>
    <x v="0"/>
    <n v="0"/>
  </r>
  <r>
    <x v="74"/>
    <x v="1023"/>
    <s v="Yaba"/>
    <x v="3"/>
    <x v="1"/>
    <x v="0"/>
    <x v="1"/>
    <n v="4"/>
    <n v="16010"/>
    <n v="20"/>
    <n v="12808"/>
    <n v="51232"/>
    <n v="2000"/>
    <x v="0"/>
    <x v="1"/>
    <m/>
    <s v="no comment"/>
    <x v="1"/>
    <n v="0"/>
  </r>
  <r>
    <x v="94"/>
    <x v="1024"/>
    <s v="Lekki"/>
    <x v="3"/>
    <x v="6"/>
    <x v="2"/>
    <x v="5"/>
    <n v="3"/>
    <n v="48413"/>
    <n v="15"/>
    <n v="41151.050000000003"/>
    <n v="123453.15"/>
    <n v="1000"/>
    <x v="0"/>
    <x v="2"/>
    <d v="2025-06-03T00:00:00"/>
    <s v="excellent"/>
    <x v="2"/>
    <n v="2"/>
  </r>
  <r>
    <x v="66"/>
    <x v="1025"/>
    <s v="Lekki"/>
    <x v="3"/>
    <x v="8"/>
    <x v="0"/>
    <x v="1"/>
    <n v="2"/>
    <n v="14918"/>
    <n v="0"/>
    <n v="14918"/>
    <n v="29836"/>
    <n v="2000"/>
    <x v="0"/>
    <x v="0"/>
    <m/>
    <s v="okay"/>
    <x v="0"/>
    <n v="0"/>
  </r>
  <r>
    <x v="1"/>
    <x v="1026"/>
    <s v="Ibadan"/>
    <x v="0"/>
    <x v="5"/>
    <x v="1"/>
    <x v="4"/>
    <n v="1"/>
    <n v="19683"/>
    <n v="10"/>
    <n v="17714.7"/>
    <n v="17714.7"/>
    <n v="2000"/>
    <x v="0"/>
    <x v="0"/>
    <m/>
    <s v="okay"/>
    <x v="0"/>
    <n v="0"/>
  </r>
  <r>
    <x v="0"/>
    <x v="1027"/>
    <s v="Surulere"/>
    <x v="3"/>
    <x v="2"/>
    <x v="1"/>
    <x v="2"/>
    <n v="3"/>
    <n v="50661"/>
    <n v="15"/>
    <n v="43061.85"/>
    <n v="129185.55"/>
    <n v="2000"/>
    <x v="0"/>
    <x v="2"/>
    <d v="2025-04-02T00:00:00"/>
    <s v="excellent"/>
    <x v="2"/>
    <n v="4"/>
  </r>
  <r>
    <x v="98"/>
    <x v="1028"/>
    <s v="Ogbomosho"/>
    <x v="0"/>
    <x v="3"/>
    <x v="1"/>
    <x v="2"/>
    <n v="1"/>
    <n v="16418"/>
    <n v="10"/>
    <n v="14776.2"/>
    <n v="14776.2"/>
    <n v="1000"/>
    <x v="2"/>
    <x v="0"/>
    <m/>
    <s v="okay"/>
    <x v="0"/>
    <n v="0"/>
  </r>
  <r>
    <x v="116"/>
    <x v="1029"/>
    <s v="Gwarinpa"/>
    <x v="1"/>
    <x v="5"/>
    <x v="1"/>
    <x v="4"/>
    <n v="2"/>
    <n v="64205"/>
    <n v="10"/>
    <n v="57784.5"/>
    <n v="115569"/>
    <n v="2000"/>
    <x v="2"/>
    <x v="2"/>
    <d v="2025-05-07T00:00:00"/>
    <s v="excellent"/>
    <x v="2"/>
    <n v="14"/>
  </r>
  <r>
    <x v="96"/>
    <x v="1030"/>
    <s v="Port Harcourt"/>
    <x v="2"/>
    <x v="1"/>
    <x v="0"/>
    <x v="1"/>
    <n v="2"/>
    <n v="9457"/>
    <n v="15"/>
    <n v="8038.45"/>
    <n v="16076.9"/>
    <n v="1500"/>
    <x v="2"/>
    <x v="2"/>
    <d v="2025-01-12T00:00:00"/>
    <s v="excellent"/>
    <x v="2"/>
    <n v="9"/>
  </r>
  <r>
    <x v="133"/>
    <x v="1031"/>
    <s v="Ikeja"/>
    <x v="3"/>
    <x v="4"/>
    <x v="2"/>
    <x v="3"/>
    <n v="3"/>
    <n v="31882"/>
    <n v="0"/>
    <n v="31882"/>
    <n v="95646"/>
    <n v="1000"/>
    <x v="2"/>
    <x v="1"/>
    <m/>
    <s v="no comment"/>
    <x v="1"/>
    <n v="0"/>
  </r>
  <r>
    <x v="140"/>
    <x v="1032"/>
    <s v="Lekki"/>
    <x v="3"/>
    <x v="7"/>
    <x v="2"/>
    <x v="5"/>
    <n v="3"/>
    <n v="44362"/>
    <n v="0"/>
    <n v="44362"/>
    <n v="133086"/>
    <n v="1000"/>
    <x v="1"/>
    <x v="2"/>
    <d v="2025-04-13T00:00:00"/>
    <s v="excellent"/>
    <x v="2"/>
    <n v="14"/>
  </r>
  <r>
    <x v="99"/>
    <x v="1033"/>
    <s v="Yaba"/>
    <x v="3"/>
    <x v="8"/>
    <x v="0"/>
    <x v="1"/>
    <n v="1"/>
    <n v="20446"/>
    <n v="20"/>
    <n v="16356.8"/>
    <n v="16356.8"/>
    <n v="1500"/>
    <x v="0"/>
    <x v="2"/>
    <d v="2025-02-01T00:00:00"/>
    <s v="excellent"/>
    <x v="2"/>
    <n v="7"/>
  </r>
  <r>
    <x v="120"/>
    <x v="1034"/>
    <s v="Port Harcourt"/>
    <x v="2"/>
    <x v="10"/>
    <x v="1"/>
    <x v="4"/>
    <n v="4"/>
    <n v="62962"/>
    <n v="5"/>
    <n v="59813.9"/>
    <n v="239255.6"/>
    <n v="1000"/>
    <x v="1"/>
    <x v="0"/>
    <m/>
    <s v="okay"/>
    <x v="0"/>
    <n v="0"/>
  </r>
  <r>
    <x v="166"/>
    <x v="1035"/>
    <s v="Yaba"/>
    <x v="3"/>
    <x v="11"/>
    <x v="0"/>
    <x v="0"/>
    <n v="3"/>
    <n v="18950"/>
    <n v="10"/>
    <n v="17055"/>
    <n v="51165"/>
    <n v="1500"/>
    <x v="1"/>
    <x v="2"/>
    <d v="2025-04-13T00:00:00"/>
    <s v="excellent"/>
    <x v="2"/>
    <n v="10"/>
  </r>
  <r>
    <x v="107"/>
    <x v="1036"/>
    <s v="Port Harcourt"/>
    <x v="2"/>
    <x v="5"/>
    <x v="1"/>
    <x v="4"/>
    <n v="5"/>
    <n v="20521"/>
    <n v="15"/>
    <n v="17442.849999999999"/>
    <n v="87214.25"/>
    <n v="2000"/>
    <x v="2"/>
    <x v="0"/>
    <m/>
    <s v="okay"/>
    <x v="0"/>
    <n v="0"/>
  </r>
  <r>
    <x v="53"/>
    <x v="1037"/>
    <s v="Eruwa"/>
    <x v="0"/>
    <x v="6"/>
    <x v="2"/>
    <x v="5"/>
    <n v="5"/>
    <n v="52557"/>
    <n v="0"/>
    <n v="52557"/>
    <n v="262785"/>
    <n v="2000"/>
    <x v="0"/>
    <x v="1"/>
    <m/>
    <s v="no comment"/>
    <x v="1"/>
    <n v="0"/>
  </r>
  <r>
    <x v="11"/>
    <x v="1038"/>
    <s v="Ibadan"/>
    <x v="0"/>
    <x v="5"/>
    <x v="1"/>
    <x v="4"/>
    <n v="2"/>
    <n v="67896"/>
    <n v="0"/>
    <n v="67896"/>
    <n v="135792"/>
    <n v="1000"/>
    <x v="1"/>
    <x v="2"/>
    <d v="2025-02-04T00:00:00"/>
    <s v="excellent"/>
    <x v="2"/>
    <n v="2"/>
  </r>
  <r>
    <x v="161"/>
    <x v="1039"/>
    <s v="Gwarinpa"/>
    <x v="1"/>
    <x v="3"/>
    <x v="1"/>
    <x v="2"/>
    <n v="5"/>
    <n v="25557"/>
    <n v="0"/>
    <n v="25557"/>
    <n v="127785"/>
    <n v="1500"/>
    <x v="2"/>
    <x v="0"/>
    <m/>
    <s v="okay"/>
    <x v="0"/>
    <n v="0"/>
  </r>
  <r>
    <x v="113"/>
    <x v="1040"/>
    <s v="Ogbomosho"/>
    <x v="0"/>
    <x v="8"/>
    <x v="0"/>
    <x v="1"/>
    <n v="5"/>
    <n v="45449"/>
    <n v="0"/>
    <n v="45449"/>
    <n v="227245"/>
    <n v="1500"/>
    <x v="0"/>
    <x v="1"/>
    <m/>
    <s v="no comment"/>
    <x v="1"/>
    <n v="0"/>
  </r>
  <r>
    <x v="61"/>
    <x v="1041"/>
    <s v="Gwarinpa"/>
    <x v="1"/>
    <x v="1"/>
    <x v="0"/>
    <x v="1"/>
    <n v="5"/>
    <n v="8747"/>
    <n v="0"/>
    <n v="8747"/>
    <n v="43735"/>
    <n v="1500"/>
    <x v="2"/>
    <x v="0"/>
    <m/>
    <s v="okay"/>
    <x v="0"/>
    <n v="0"/>
  </r>
  <r>
    <x v="174"/>
    <x v="1042"/>
    <s v="Bonny"/>
    <x v="2"/>
    <x v="4"/>
    <x v="2"/>
    <x v="3"/>
    <n v="4"/>
    <n v="72911"/>
    <n v="0"/>
    <n v="72911"/>
    <n v="291644"/>
    <n v="1000"/>
    <x v="1"/>
    <x v="2"/>
    <d v="2025-04-19T00:00:00"/>
    <s v="excellent"/>
    <x v="2"/>
    <n v="11"/>
  </r>
  <r>
    <x v="136"/>
    <x v="1043"/>
    <s v="Wuse"/>
    <x v="1"/>
    <x v="4"/>
    <x v="2"/>
    <x v="3"/>
    <n v="4"/>
    <n v="63058"/>
    <n v="10"/>
    <n v="56752.2"/>
    <n v="227008.8"/>
    <n v="1000"/>
    <x v="1"/>
    <x v="2"/>
    <d v="2025-05-06T00:00:00"/>
    <s v="excellent"/>
    <x v="2"/>
    <n v="9"/>
  </r>
  <r>
    <x v="101"/>
    <x v="1044"/>
    <s v="Wuse"/>
    <x v="1"/>
    <x v="8"/>
    <x v="0"/>
    <x v="1"/>
    <n v="1"/>
    <n v="65013"/>
    <n v="10"/>
    <n v="58511.7"/>
    <n v="58511.7"/>
    <n v="1000"/>
    <x v="1"/>
    <x v="0"/>
    <m/>
    <s v="okay"/>
    <x v="0"/>
    <n v="0"/>
  </r>
  <r>
    <x v="132"/>
    <x v="1045"/>
    <s v="Lekki"/>
    <x v="3"/>
    <x v="5"/>
    <x v="1"/>
    <x v="4"/>
    <n v="2"/>
    <n v="32820"/>
    <n v="10"/>
    <n v="29538"/>
    <n v="59076"/>
    <n v="1000"/>
    <x v="1"/>
    <x v="0"/>
    <m/>
    <s v="okay"/>
    <x v="0"/>
    <n v="0"/>
  </r>
  <r>
    <x v="92"/>
    <x v="1046"/>
    <s v="Eruwa"/>
    <x v="0"/>
    <x v="10"/>
    <x v="1"/>
    <x v="4"/>
    <n v="1"/>
    <n v="35301"/>
    <n v="15"/>
    <n v="30005.85"/>
    <n v="30005.85"/>
    <n v="1500"/>
    <x v="1"/>
    <x v="0"/>
    <m/>
    <s v="okay"/>
    <x v="0"/>
    <n v="0"/>
  </r>
  <r>
    <x v="18"/>
    <x v="1047"/>
    <s v="Eruwa"/>
    <x v="0"/>
    <x v="1"/>
    <x v="0"/>
    <x v="1"/>
    <n v="2"/>
    <n v="10523"/>
    <n v="15"/>
    <n v="8944.5499999999993"/>
    <n v="17889.099999999999"/>
    <n v="2000"/>
    <x v="0"/>
    <x v="0"/>
    <m/>
    <s v="okay"/>
    <x v="0"/>
    <n v="0"/>
  </r>
  <r>
    <x v="76"/>
    <x v="1048"/>
    <s v="Iseyin"/>
    <x v="0"/>
    <x v="3"/>
    <x v="1"/>
    <x v="2"/>
    <n v="1"/>
    <n v="38536"/>
    <n v="5"/>
    <n v="36609.199999999997"/>
    <n v="36609.199999999997"/>
    <n v="1500"/>
    <x v="1"/>
    <x v="2"/>
    <d v="2025-04-02T00:00:00"/>
    <s v="excellent"/>
    <x v="2"/>
    <n v="12"/>
  </r>
  <r>
    <x v="92"/>
    <x v="1049"/>
    <s v="Wuse"/>
    <x v="1"/>
    <x v="8"/>
    <x v="0"/>
    <x v="1"/>
    <n v="3"/>
    <n v="50356"/>
    <n v="10"/>
    <n v="45320.4"/>
    <n v="135961.20000000001"/>
    <n v="1000"/>
    <x v="1"/>
    <x v="0"/>
    <m/>
    <s v="okay"/>
    <x v="0"/>
    <n v="0"/>
  </r>
  <r>
    <x v="108"/>
    <x v="1050"/>
    <s v="Port Harcourt"/>
    <x v="2"/>
    <x v="2"/>
    <x v="1"/>
    <x v="2"/>
    <n v="5"/>
    <n v="36597"/>
    <n v="10"/>
    <n v="32937.300000000003"/>
    <n v="164686.5"/>
    <n v="1500"/>
    <x v="2"/>
    <x v="0"/>
    <m/>
    <s v="okay"/>
    <x v="0"/>
    <n v="0"/>
  </r>
  <r>
    <x v="29"/>
    <x v="1051"/>
    <s v="Lekki"/>
    <x v="3"/>
    <x v="4"/>
    <x v="2"/>
    <x v="3"/>
    <n v="2"/>
    <n v="9019"/>
    <n v="15"/>
    <n v="7666.15"/>
    <n v="15332.3"/>
    <n v="1000"/>
    <x v="1"/>
    <x v="1"/>
    <m/>
    <s v="no comment"/>
    <x v="1"/>
    <n v="0"/>
  </r>
  <r>
    <x v="40"/>
    <x v="1052"/>
    <s v="Surulere"/>
    <x v="3"/>
    <x v="7"/>
    <x v="2"/>
    <x v="5"/>
    <n v="5"/>
    <n v="25333"/>
    <n v="20"/>
    <n v="20266.400000000001"/>
    <n v="101332"/>
    <n v="1500"/>
    <x v="2"/>
    <x v="2"/>
    <d v="2025-06-29T00:00:00"/>
    <s v="excellent"/>
    <x v="2"/>
    <n v="11"/>
  </r>
  <r>
    <x v="7"/>
    <x v="1053"/>
    <s v="Oyigbo"/>
    <x v="2"/>
    <x v="10"/>
    <x v="1"/>
    <x v="4"/>
    <n v="5"/>
    <n v="12428"/>
    <n v="15"/>
    <n v="10563.8"/>
    <n v="52819"/>
    <n v="2000"/>
    <x v="2"/>
    <x v="2"/>
    <d v="2025-01-12T00:00:00"/>
    <s v="excellent"/>
    <x v="2"/>
    <n v="5"/>
  </r>
  <r>
    <x v="47"/>
    <x v="1054"/>
    <s v="Oyigbo"/>
    <x v="2"/>
    <x v="1"/>
    <x v="0"/>
    <x v="1"/>
    <n v="4"/>
    <n v="27392"/>
    <n v="10"/>
    <n v="24652.799999999999"/>
    <n v="98611.199999999997"/>
    <n v="1000"/>
    <x v="0"/>
    <x v="1"/>
    <m/>
    <s v="no comment"/>
    <x v="1"/>
    <n v="0"/>
  </r>
  <r>
    <x v="90"/>
    <x v="1055"/>
    <s v="Ogbomosho"/>
    <x v="0"/>
    <x v="10"/>
    <x v="1"/>
    <x v="4"/>
    <n v="1"/>
    <n v="17288"/>
    <n v="15"/>
    <n v="14694.8"/>
    <n v="14694.8"/>
    <n v="1000"/>
    <x v="0"/>
    <x v="2"/>
    <d v="2025-04-22T00:00:00"/>
    <s v="excellent"/>
    <x v="2"/>
    <n v="7"/>
  </r>
  <r>
    <x v="27"/>
    <x v="1056"/>
    <s v="Port Harcourt"/>
    <x v="2"/>
    <x v="11"/>
    <x v="0"/>
    <x v="0"/>
    <n v="5"/>
    <n v="6935"/>
    <n v="0"/>
    <n v="6935"/>
    <n v="34675"/>
    <n v="2000"/>
    <x v="1"/>
    <x v="2"/>
    <d v="2025-06-23T00:00:00"/>
    <s v="excellent"/>
    <x v="2"/>
    <n v="7"/>
  </r>
  <r>
    <x v="79"/>
    <x v="1057"/>
    <s v="Obio-Akpor"/>
    <x v="2"/>
    <x v="1"/>
    <x v="0"/>
    <x v="1"/>
    <n v="2"/>
    <n v="67231"/>
    <n v="5"/>
    <n v="63869.45"/>
    <n v="127738.9"/>
    <n v="1000"/>
    <x v="1"/>
    <x v="1"/>
    <m/>
    <s v="no comment"/>
    <x v="1"/>
    <n v="0"/>
  </r>
  <r>
    <x v="76"/>
    <x v="1058"/>
    <s v="Ikeja"/>
    <x v="3"/>
    <x v="10"/>
    <x v="1"/>
    <x v="4"/>
    <n v="5"/>
    <n v="54031"/>
    <n v="15"/>
    <n v="45926.35"/>
    <n v="229631.75"/>
    <n v="1500"/>
    <x v="1"/>
    <x v="1"/>
    <m/>
    <s v="no comment"/>
    <x v="1"/>
    <n v="0"/>
  </r>
  <r>
    <x v="52"/>
    <x v="1059"/>
    <s v="Ikeja"/>
    <x v="3"/>
    <x v="1"/>
    <x v="0"/>
    <x v="1"/>
    <n v="1"/>
    <n v="57461"/>
    <n v="5"/>
    <n v="54587.95"/>
    <n v="54587.95"/>
    <n v="1000"/>
    <x v="0"/>
    <x v="1"/>
    <m/>
    <s v="no comment"/>
    <x v="1"/>
    <n v="0"/>
  </r>
  <r>
    <x v="40"/>
    <x v="1060"/>
    <s v="Obio-Akpor"/>
    <x v="2"/>
    <x v="8"/>
    <x v="0"/>
    <x v="1"/>
    <n v="3"/>
    <n v="77969"/>
    <n v="10"/>
    <n v="70172.100000000006"/>
    <n v="210516.3"/>
    <n v="1500"/>
    <x v="0"/>
    <x v="0"/>
    <m/>
    <s v="okay"/>
    <x v="0"/>
    <n v="0"/>
  </r>
  <r>
    <x v="55"/>
    <x v="1061"/>
    <s v="Yaba"/>
    <x v="3"/>
    <x v="10"/>
    <x v="1"/>
    <x v="4"/>
    <n v="3"/>
    <n v="4093"/>
    <n v="15"/>
    <n v="3479.05"/>
    <n v="10437.15"/>
    <n v="2000"/>
    <x v="0"/>
    <x v="0"/>
    <m/>
    <s v="okay"/>
    <x v="0"/>
    <n v="0"/>
  </r>
  <r>
    <x v="163"/>
    <x v="1062"/>
    <s v="Ibadan"/>
    <x v="0"/>
    <x v="7"/>
    <x v="2"/>
    <x v="5"/>
    <n v="3"/>
    <n v="73588"/>
    <n v="15"/>
    <n v="62549.8"/>
    <n v="187649.4"/>
    <n v="1000"/>
    <x v="2"/>
    <x v="2"/>
    <d v="2025-04-15T00:00:00"/>
    <s v="excellent"/>
    <x v="2"/>
    <n v="6"/>
  </r>
  <r>
    <x v="95"/>
    <x v="1063"/>
    <s v="Gwarinpa"/>
    <x v="1"/>
    <x v="1"/>
    <x v="0"/>
    <x v="1"/>
    <n v="3"/>
    <n v="64020"/>
    <n v="0"/>
    <n v="64020"/>
    <n v="192060"/>
    <n v="1000"/>
    <x v="1"/>
    <x v="0"/>
    <m/>
    <s v="okay"/>
    <x v="0"/>
    <n v="0"/>
  </r>
  <r>
    <x v="139"/>
    <x v="1064"/>
    <s v="Lekki"/>
    <x v="3"/>
    <x v="2"/>
    <x v="1"/>
    <x v="2"/>
    <n v="4"/>
    <n v="29903"/>
    <n v="10"/>
    <n v="26912.7"/>
    <n v="107650.8"/>
    <n v="1500"/>
    <x v="2"/>
    <x v="0"/>
    <m/>
    <s v="okay"/>
    <x v="0"/>
    <n v="0"/>
  </r>
  <r>
    <x v="173"/>
    <x v="1065"/>
    <s v="Lekki"/>
    <x v="3"/>
    <x v="11"/>
    <x v="0"/>
    <x v="0"/>
    <n v="5"/>
    <n v="7408"/>
    <n v="5"/>
    <n v="7037.6"/>
    <n v="35188"/>
    <n v="1000"/>
    <x v="1"/>
    <x v="1"/>
    <m/>
    <s v="no comment"/>
    <x v="1"/>
    <n v="0"/>
  </r>
  <r>
    <x v="96"/>
    <x v="1066"/>
    <s v="Surulere"/>
    <x v="3"/>
    <x v="1"/>
    <x v="0"/>
    <x v="1"/>
    <n v="1"/>
    <n v="15928"/>
    <n v="20"/>
    <n v="12742.4"/>
    <n v="12742.4"/>
    <n v="1000"/>
    <x v="2"/>
    <x v="0"/>
    <m/>
    <s v="okay"/>
    <x v="0"/>
    <n v="0"/>
  </r>
  <r>
    <x v="40"/>
    <x v="1067"/>
    <s v="Obio-Akpor"/>
    <x v="2"/>
    <x v="8"/>
    <x v="0"/>
    <x v="1"/>
    <n v="3"/>
    <n v="41043"/>
    <n v="20"/>
    <n v="32834.400000000001"/>
    <n v="98503.200000000012"/>
    <n v="2000"/>
    <x v="0"/>
    <x v="1"/>
    <m/>
    <s v="no comment"/>
    <x v="1"/>
    <n v="0"/>
  </r>
  <r>
    <x v="147"/>
    <x v="1068"/>
    <s v="Ikeja"/>
    <x v="3"/>
    <x v="3"/>
    <x v="1"/>
    <x v="2"/>
    <n v="2"/>
    <n v="15433"/>
    <n v="5"/>
    <n v="14661.35"/>
    <n v="29322.7"/>
    <n v="1000"/>
    <x v="2"/>
    <x v="0"/>
    <m/>
    <s v="okay"/>
    <x v="0"/>
    <n v="0"/>
  </r>
  <r>
    <x v="138"/>
    <x v="1069"/>
    <s v="Oyigbo"/>
    <x v="2"/>
    <x v="9"/>
    <x v="2"/>
    <x v="3"/>
    <n v="1"/>
    <n v="43136"/>
    <n v="5"/>
    <n v="40979.199999999997"/>
    <n v="40979.199999999997"/>
    <n v="2000"/>
    <x v="0"/>
    <x v="0"/>
    <m/>
    <s v="okay"/>
    <x v="0"/>
    <n v="0"/>
  </r>
  <r>
    <x v="83"/>
    <x v="1070"/>
    <s v="Eruwa"/>
    <x v="0"/>
    <x v="4"/>
    <x v="2"/>
    <x v="3"/>
    <n v="3"/>
    <n v="15379"/>
    <n v="5"/>
    <n v="14610.05"/>
    <n v="43830.149999999987"/>
    <n v="1500"/>
    <x v="0"/>
    <x v="0"/>
    <m/>
    <s v="okay"/>
    <x v="0"/>
    <n v="0"/>
  </r>
  <r>
    <x v="154"/>
    <x v="1071"/>
    <s v="Maitama"/>
    <x v="1"/>
    <x v="1"/>
    <x v="0"/>
    <x v="1"/>
    <n v="4"/>
    <n v="21600"/>
    <n v="20"/>
    <n v="17280"/>
    <n v="69120"/>
    <n v="1000"/>
    <x v="0"/>
    <x v="0"/>
    <m/>
    <s v="okay"/>
    <x v="0"/>
    <n v="0"/>
  </r>
  <r>
    <x v="124"/>
    <x v="1072"/>
    <s v="Obio-Akpor"/>
    <x v="2"/>
    <x v="9"/>
    <x v="2"/>
    <x v="3"/>
    <n v="2"/>
    <n v="59531"/>
    <n v="5"/>
    <n v="56554.45"/>
    <n v="113108.9"/>
    <n v="1000"/>
    <x v="0"/>
    <x v="2"/>
    <d v="2025-01-21T00:00:00"/>
    <s v="excellent"/>
    <x v="2"/>
    <n v="5"/>
  </r>
  <r>
    <x v="139"/>
    <x v="1073"/>
    <s v="Port Harcourt"/>
    <x v="2"/>
    <x v="2"/>
    <x v="1"/>
    <x v="2"/>
    <n v="4"/>
    <n v="10302"/>
    <n v="10"/>
    <n v="9271.7999999999993"/>
    <n v="37087.199999999997"/>
    <n v="1000"/>
    <x v="2"/>
    <x v="0"/>
    <m/>
    <s v="okay"/>
    <x v="0"/>
    <n v="0"/>
  </r>
  <r>
    <x v="135"/>
    <x v="1074"/>
    <s v="Gwarinpa"/>
    <x v="1"/>
    <x v="2"/>
    <x v="1"/>
    <x v="2"/>
    <n v="1"/>
    <n v="46478"/>
    <n v="15"/>
    <n v="39506.300000000003"/>
    <n v="39506.300000000003"/>
    <n v="1000"/>
    <x v="0"/>
    <x v="0"/>
    <m/>
    <s v="okay"/>
    <x v="0"/>
    <n v="0"/>
  </r>
  <r>
    <x v="38"/>
    <x v="1075"/>
    <s v="Ikeja"/>
    <x v="3"/>
    <x v="6"/>
    <x v="2"/>
    <x v="5"/>
    <n v="2"/>
    <n v="58734"/>
    <n v="20"/>
    <n v="46987.199999999997"/>
    <n v="93974.399999999994"/>
    <n v="1000"/>
    <x v="1"/>
    <x v="2"/>
    <d v="2025-01-28T00:00:00"/>
    <s v="excellent"/>
    <x v="2"/>
    <n v="13"/>
  </r>
  <r>
    <x v="173"/>
    <x v="1076"/>
    <s v="Ikeja"/>
    <x v="3"/>
    <x v="11"/>
    <x v="0"/>
    <x v="0"/>
    <n v="5"/>
    <n v="37133"/>
    <n v="10"/>
    <n v="33419.699999999997"/>
    <n v="167098.5"/>
    <n v="2000"/>
    <x v="2"/>
    <x v="2"/>
    <d v="2025-04-04T00:00:00"/>
    <s v="excellent"/>
    <x v="2"/>
    <n v="11"/>
  </r>
  <r>
    <x v="72"/>
    <x v="1077"/>
    <s v="Port Harcourt"/>
    <x v="2"/>
    <x v="7"/>
    <x v="2"/>
    <x v="5"/>
    <n v="1"/>
    <n v="43632"/>
    <n v="10"/>
    <n v="39268.800000000003"/>
    <n v="39268.800000000003"/>
    <n v="1000"/>
    <x v="0"/>
    <x v="2"/>
    <d v="2025-04-25T00:00:00"/>
    <s v="excellent"/>
    <x v="2"/>
    <n v="12"/>
  </r>
  <r>
    <x v="13"/>
    <x v="1078"/>
    <s v="Lekki"/>
    <x v="3"/>
    <x v="9"/>
    <x v="2"/>
    <x v="3"/>
    <n v="4"/>
    <n v="57084"/>
    <n v="0"/>
    <n v="57084"/>
    <n v="228336"/>
    <n v="2000"/>
    <x v="0"/>
    <x v="0"/>
    <m/>
    <s v="okay"/>
    <x v="0"/>
    <n v="0"/>
  </r>
  <r>
    <x v="110"/>
    <x v="1079"/>
    <s v="Ogbomosho"/>
    <x v="0"/>
    <x v="11"/>
    <x v="0"/>
    <x v="0"/>
    <n v="2"/>
    <n v="79549"/>
    <n v="10"/>
    <n v="71594.100000000006"/>
    <n v="143188.20000000001"/>
    <n v="1500"/>
    <x v="1"/>
    <x v="2"/>
    <d v="2025-04-14T00:00:00"/>
    <s v="excellent"/>
    <x v="2"/>
    <n v="10"/>
  </r>
  <r>
    <x v="18"/>
    <x v="1080"/>
    <s v="Maitama"/>
    <x v="1"/>
    <x v="8"/>
    <x v="0"/>
    <x v="1"/>
    <n v="5"/>
    <n v="61500"/>
    <n v="20"/>
    <n v="49200"/>
    <n v="246000"/>
    <n v="2000"/>
    <x v="1"/>
    <x v="0"/>
    <m/>
    <s v="okay"/>
    <x v="0"/>
    <n v="0"/>
  </r>
  <r>
    <x v="145"/>
    <x v="1081"/>
    <s v="Bonny"/>
    <x v="2"/>
    <x v="4"/>
    <x v="2"/>
    <x v="3"/>
    <n v="5"/>
    <n v="54637"/>
    <n v="20"/>
    <n v="43709.599999999999"/>
    <n v="218548"/>
    <n v="2000"/>
    <x v="1"/>
    <x v="2"/>
    <d v="2025-05-18T00:00:00"/>
    <s v="excellent"/>
    <x v="2"/>
    <n v="12"/>
  </r>
  <r>
    <x v="153"/>
    <x v="1082"/>
    <s v="Ogbomosho"/>
    <x v="0"/>
    <x v="2"/>
    <x v="1"/>
    <x v="2"/>
    <n v="5"/>
    <n v="37144"/>
    <n v="15"/>
    <n v="31572.400000000001"/>
    <n v="157862"/>
    <n v="2000"/>
    <x v="0"/>
    <x v="1"/>
    <m/>
    <s v="no comment"/>
    <x v="1"/>
    <n v="0"/>
  </r>
  <r>
    <x v="20"/>
    <x v="1083"/>
    <s v="Oyigbo"/>
    <x v="2"/>
    <x v="7"/>
    <x v="2"/>
    <x v="5"/>
    <n v="2"/>
    <n v="2067"/>
    <n v="20"/>
    <n v="1653.6"/>
    <n v="3307.2"/>
    <n v="1000"/>
    <x v="1"/>
    <x v="1"/>
    <m/>
    <s v="no comment"/>
    <x v="1"/>
    <n v="0"/>
  </r>
  <r>
    <x v="61"/>
    <x v="1084"/>
    <s v="Bonny"/>
    <x v="2"/>
    <x v="9"/>
    <x v="2"/>
    <x v="3"/>
    <n v="3"/>
    <n v="18157"/>
    <n v="5"/>
    <n v="17249.150000000001"/>
    <n v="51747.45"/>
    <n v="2000"/>
    <x v="1"/>
    <x v="2"/>
    <d v="2025-03-27T00:00:00"/>
    <s v="excellent"/>
    <x v="2"/>
    <n v="12"/>
  </r>
  <r>
    <x v="27"/>
    <x v="1085"/>
    <s v="Eruwa"/>
    <x v="0"/>
    <x v="1"/>
    <x v="0"/>
    <x v="1"/>
    <n v="4"/>
    <n v="28795"/>
    <n v="0"/>
    <n v="28795"/>
    <n v="115180"/>
    <n v="2000"/>
    <x v="2"/>
    <x v="1"/>
    <m/>
    <s v="no comment"/>
    <x v="1"/>
    <n v="0"/>
  </r>
  <r>
    <x v="98"/>
    <x v="1086"/>
    <s v="Ibadan"/>
    <x v="0"/>
    <x v="6"/>
    <x v="2"/>
    <x v="5"/>
    <n v="4"/>
    <n v="52529"/>
    <n v="15"/>
    <n v="44649.65"/>
    <n v="178598.6"/>
    <n v="1000"/>
    <x v="2"/>
    <x v="0"/>
    <m/>
    <s v="okay"/>
    <x v="0"/>
    <n v="0"/>
  </r>
  <r>
    <x v="159"/>
    <x v="1087"/>
    <s v="Ogbomosho"/>
    <x v="0"/>
    <x v="4"/>
    <x v="2"/>
    <x v="3"/>
    <n v="4"/>
    <n v="60989"/>
    <n v="20"/>
    <n v="48791.199999999997"/>
    <n v="195164.79999999999"/>
    <n v="1000"/>
    <x v="2"/>
    <x v="2"/>
    <d v="2025-01-16T00:00:00"/>
    <s v="excellent"/>
    <x v="2"/>
    <n v="3"/>
  </r>
  <r>
    <x v="164"/>
    <x v="1088"/>
    <s v="Lekki"/>
    <x v="3"/>
    <x v="0"/>
    <x v="0"/>
    <x v="0"/>
    <n v="1"/>
    <n v="44969"/>
    <n v="20"/>
    <n v="35975.199999999997"/>
    <n v="35975.199999999997"/>
    <n v="1500"/>
    <x v="1"/>
    <x v="0"/>
    <m/>
    <s v="okay"/>
    <x v="0"/>
    <n v="0"/>
  </r>
  <r>
    <x v="140"/>
    <x v="1089"/>
    <s v="Port Harcourt"/>
    <x v="2"/>
    <x v="10"/>
    <x v="1"/>
    <x v="4"/>
    <n v="3"/>
    <n v="69653"/>
    <n v="0"/>
    <n v="69653"/>
    <n v="208959"/>
    <n v="2000"/>
    <x v="2"/>
    <x v="2"/>
    <d v="2025-04-13T00:00:00"/>
    <s v="excellent"/>
    <x v="2"/>
    <n v="14"/>
  </r>
  <r>
    <x v="12"/>
    <x v="1090"/>
    <s v="Wuse"/>
    <x v="1"/>
    <x v="3"/>
    <x v="1"/>
    <x v="2"/>
    <n v="4"/>
    <n v="60312"/>
    <n v="0"/>
    <n v="60312"/>
    <n v="241248"/>
    <n v="2000"/>
    <x v="2"/>
    <x v="1"/>
    <m/>
    <s v="no comment"/>
    <x v="1"/>
    <n v="0"/>
  </r>
  <r>
    <x v="172"/>
    <x v="1091"/>
    <s v="Bonny"/>
    <x v="2"/>
    <x v="10"/>
    <x v="1"/>
    <x v="4"/>
    <n v="3"/>
    <n v="30219"/>
    <n v="20"/>
    <n v="24175.200000000001"/>
    <n v="72525.600000000006"/>
    <n v="1000"/>
    <x v="1"/>
    <x v="0"/>
    <m/>
    <s v="okay"/>
    <x v="0"/>
    <n v="0"/>
  </r>
  <r>
    <x v="155"/>
    <x v="1092"/>
    <s v="Eruwa"/>
    <x v="0"/>
    <x v="7"/>
    <x v="2"/>
    <x v="5"/>
    <n v="3"/>
    <n v="2618"/>
    <n v="10"/>
    <n v="2356.1999999999998"/>
    <n v="7068.5999999999995"/>
    <n v="2000"/>
    <x v="0"/>
    <x v="1"/>
    <m/>
    <s v="no comment"/>
    <x v="1"/>
    <n v="0"/>
  </r>
  <r>
    <x v="11"/>
    <x v="1093"/>
    <s v="Oyigbo"/>
    <x v="2"/>
    <x v="0"/>
    <x v="0"/>
    <x v="0"/>
    <n v="5"/>
    <n v="24282"/>
    <n v="20"/>
    <n v="19425.599999999999"/>
    <n v="97128"/>
    <n v="1000"/>
    <x v="2"/>
    <x v="2"/>
    <d v="2025-02-16T00:00:00"/>
    <s v="excellent"/>
    <x v="2"/>
    <n v="14"/>
  </r>
  <r>
    <x v="72"/>
    <x v="1094"/>
    <s v="Port Harcourt"/>
    <x v="2"/>
    <x v="4"/>
    <x v="2"/>
    <x v="3"/>
    <n v="5"/>
    <n v="49091"/>
    <n v="20"/>
    <n v="39272.800000000003"/>
    <n v="196364"/>
    <n v="1500"/>
    <x v="2"/>
    <x v="0"/>
    <m/>
    <s v="okay"/>
    <x v="0"/>
    <n v="0"/>
  </r>
  <r>
    <x v="106"/>
    <x v="1095"/>
    <s v="Maitama"/>
    <x v="1"/>
    <x v="7"/>
    <x v="2"/>
    <x v="5"/>
    <n v="1"/>
    <n v="55501"/>
    <n v="20"/>
    <n v="44400.800000000003"/>
    <n v="44400.800000000003"/>
    <n v="1500"/>
    <x v="2"/>
    <x v="0"/>
    <m/>
    <s v="okay"/>
    <x v="0"/>
    <n v="0"/>
  </r>
  <r>
    <x v="89"/>
    <x v="1096"/>
    <s v="Yaba"/>
    <x v="3"/>
    <x v="7"/>
    <x v="2"/>
    <x v="5"/>
    <n v="5"/>
    <n v="3474"/>
    <n v="5"/>
    <n v="3300.3"/>
    <n v="16501.5"/>
    <n v="1000"/>
    <x v="0"/>
    <x v="2"/>
    <d v="2025-05-10T00:00:00"/>
    <s v="excellent"/>
    <x v="2"/>
    <n v="10"/>
  </r>
  <r>
    <x v="35"/>
    <x v="1097"/>
    <s v="Eruwa"/>
    <x v="0"/>
    <x v="2"/>
    <x v="1"/>
    <x v="2"/>
    <n v="1"/>
    <n v="46933"/>
    <n v="15"/>
    <n v="39893.050000000003"/>
    <n v="39893.050000000003"/>
    <n v="2000"/>
    <x v="2"/>
    <x v="2"/>
    <d v="2025-01-20T00:00:00"/>
    <s v="excellent"/>
    <x v="2"/>
    <n v="12"/>
  </r>
  <r>
    <x v="19"/>
    <x v="1098"/>
    <s v="Asokoro"/>
    <x v="1"/>
    <x v="4"/>
    <x v="2"/>
    <x v="3"/>
    <n v="5"/>
    <n v="3468"/>
    <n v="10"/>
    <n v="3121.2"/>
    <n v="15606"/>
    <n v="1000"/>
    <x v="1"/>
    <x v="2"/>
    <d v="2025-04-08T00:00:00"/>
    <s v="excellent"/>
    <x v="2"/>
    <n v="14"/>
  </r>
  <r>
    <x v="22"/>
    <x v="952"/>
    <s v="Lekki"/>
    <x v="3"/>
    <x v="2"/>
    <x v="1"/>
    <x v="2"/>
    <n v="1"/>
    <n v="24054"/>
    <n v="20"/>
    <n v="19243.2"/>
    <n v="19243.2"/>
    <n v="1500"/>
    <x v="2"/>
    <x v="2"/>
    <d v="2025-07-03T00:00:00"/>
    <s v="excellent"/>
    <x v="2"/>
    <n v="10"/>
  </r>
  <r>
    <x v="45"/>
    <x v="256"/>
    <s v="Oyigbo"/>
    <x v="2"/>
    <x v="0"/>
    <x v="0"/>
    <x v="0"/>
    <n v="5"/>
    <n v="73986"/>
    <n v="10"/>
    <n v="66587.399999999994"/>
    <n v="332937"/>
    <n v="2000"/>
    <x v="1"/>
    <x v="2"/>
    <d v="2025-02-02T00:00:00"/>
    <s v="excellent"/>
    <x v="2"/>
    <n v="4"/>
  </r>
  <r>
    <x v="112"/>
    <x v="163"/>
    <s v="Lekki"/>
    <x v="3"/>
    <x v="10"/>
    <x v="1"/>
    <x v="4"/>
    <n v="5"/>
    <n v="12156"/>
    <n v="15"/>
    <n v="10332.6"/>
    <n v="51663"/>
    <n v="2000"/>
    <x v="1"/>
    <x v="2"/>
    <d v="2025-02-18T00:00:00"/>
    <s v="excellent"/>
    <x v="2"/>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BF062-F6E9-4B93-9791-1F136A35FD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0:X17"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axis="axisRow" showAll="0" sortType="descending">
      <items count="7">
        <item x="0"/>
        <item x="4"/>
        <item x="3"/>
        <item x="1"/>
        <item x="2"/>
        <item x="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v="5"/>
    </i>
    <i>
      <x v="4"/>
    </i>
    <i>
      <x/>
    </i>
    <i>
      <x v="2"/>
    </i>
    <i>
      <x v="1"/>
    </i>
    <i>
      <x v="3"/>
    </i>
    <i t="grand">
      <x/>
    </i>
  </rowItems>
  <colItems count="1">
    <i/>
  </colItems>
  <dataFields count="1">
    <dataField name="Average of Total Price (₦)" fld="11" subtotal="average" baseField="6" baseItem="0" numFmtId="43"/>
  </dataFields>
  <formats count="1">
    <format dxfId="4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966167-D395-4D60-AFBD-3E04B039FE7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7"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dataField="1" showAll="0"/>
    <pivotField showAll="0"/>
    <pivotField numFmtId="1"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Sum of Quantity"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A54EDE-2CE8-4CE1-A1AC-597673BE0D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R17" firstHeaderRow="1" firstDataRow="2"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axis="axisRow" showAll="0">
      <items count="13">
        <item x="9"/>
        <item x="3"/>
        <item x="4"/>
        <item x="2"/>
        <item x="10"/>
        <item x="8"/>
        <item x="6"/>
        <item x="7"/>
        <item x="11"/>
        <item x="1"/>
        <item x="5"/>
        <item x="0"/>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Fields count="1">
    <field x="17"/>
  </colFields>
  <colItems count="4">
    <i>
      <x/>
    </i>
    <i>
      <x v="1"/>
    </i>
    <i>
      <x v="2"/>
    </i>
    <i t="grand">
      <x/>
    </i>
  </colItems>
  <dataFields count="1">
    <dataField name="Sum of Product Rating" fld="17" baseField="0" baseItem="0"/>
  </dataFields>
  <formats count="1">
    <format dxfId="421">
      <pivotArea collapsedLevelsAreSubtotals="1" fieldPosition="0">
        <references count="1">
          <reference field="4" count="1">
            <x v="0"/>
          </reference>
        </references>
      </pivotArea>
    </format>
  </format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5" format="6" series="1">
      <pivotArea type="data" outline="0" fieldPosition="0">
        <references count="2">
          <reference field="4294967294" count="1" selected="0">
            <x v="0"/>
          </reference>
          <reference field="17" count="1" selected="0">
            <x v="0"/>
          </reference>
        </references>
      </pivotArea>
    </chartFormat>
    <chartFormat chart="5" format="7" series="1">
      <pivotArea type="data" outline="0" fieldPosition="0">
        <references count="2">
          <reference field="4294967294" count="1" selected="0">
            <x v="0"/>
          </reference>
          <reference field="17" count="1" selected="0">
            <x v="1"/>
          </reference>
        </references>
      </pivotArea>
    </chartFormat>
    <chartFormat chart="5"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2479F3-32FE-4EBB-B85E-270CBACD47B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D1120"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axis="axisRow" showAll="0">
      <items count="1100">
        <item x="1004"/>
        <item x="400"/>
        <item x="10"/>
        <item x="117"/>
        <item x="52"/>
        <item x="17"/>
        <item x="818"/>
        <item x="113"/>
        <item x="1081"/>
        <item x="908"/>
        <item x="658"/>
        <item x="301"/>
        <item x="670"/>
        <item x="873"/>
        <item x="30"/>
        <item x="739"/>
        <item x="180"/>
        <item x="663"/>
        <item x="359"/>
        <item x="573"/>
        <item x="306"/>
        <item x="641"/>
        <item x="66"/>
        <item x="447"/>
        <item x="367"/>
        <item x="768"/>
        <item x="394"/>
        <item x="417"/>
        <item x="603"/>
        <item x="331"/>
        <item x="337"/>
        <item x="99"/>
        <item x="622"/>
        <item x="383"/>
        <item x="358"/>
        <item x="1069"/>
        <item x="22"/>
        <item x="900"/>
        <item x="703"/>
        <item x="699"/>
        <item x="955"/>
        <item x="195"/>
        <item x="1042"/>
        <item x="995"/>
        <item x="563"/>
        <item x="335"/>
        <item x="1037"/>
        <item x="517"/>
        <item x="800"/>
        <item x="105"/>
        <item x="653"/>
        <item x="151"/>
        <item x="266"/>
        <item x="387"/>
        <item x="168"/>
        <item x="987"/>
        <item x="935"/>
        <item x="228"/>
        <item x="572"/>
        <item x="649"/>
        <item x="1065"/>
        <item x="371"/>
        <item x="890"/>
        <item x="999"/>
        <item x="62"/>
        <item x="439"/>
        <item x="460"/>
        <item x="377"/>
        <item x="134"/>
        <item x="959"/>
        <item x="90"/>
        <item x="461"/>
        <item x="878"/>
        <item x="191"/>
        <item x="741"/>
        <item x="39"/>
        <item x="1068"/>
        <item x="480"/>
        <item x="550"/>
        <item x="824"/>
        <item x="560"/>
        <item x="909"/>
        <item x="496"/>
        <item x="181"/>
        <item x="561"/>
        <item x="863"/>
        <item x="178"/>
        <item x="300"/>
        <item x="135"/>
        <item x="442"/>
        <item x="874"/>
        <item x="596"/>
        <item x="1090"/>
        <item x="206"/>
        <item x="47"/>
        <item x="372"/>
        <item x="1006"/>
        <item x="170"/>
        <item x="731"/>
        <item x="505"/>
        <item x="40"/>
        <item x="1094"/>
        <item x="933"/>
        <item x="1032"/>
        <item x="975"/>
        <item x="490"/>
        <item x="949"/>
        <item x="171"/>
        <item x="593"/>
        <item x="865"/>
        <item x="137"/>
        <item x="706"/>
        <item x="188"/>
        <item x="911"/>
        <item x="342"/>
        <item x="692"/>
        <item x="192"/>
        <item x="715"/>
        <item x="1033"/>
        <item x="1075"/>
        <item x="541"/>
        <item x="752"/>
        <item x="97"/>
        <item x="248"/>
        <item x="1018"/>
        <item x="293"/>
        <item x="615"/>
        <item x="1055"/>
        <item x="2"/>
        <item x="63"/>
        <item x="907"/>
        <item x="466"/>
        <item x="632"/>
        <item x="235"/>
        <item x="926"/>
        <item x="571"/>
        <item x="201"/>
        <item x="570"/>
        <item x="816"/>
        <item x="762"/>
        <item x="691"/>
        <item x="449"/>
        <item x="388"/>
        <item x="133"/>
        <item x="138"/>
        <item x="788"/>
        <item x="636"/>
        <item x="695"/>
        <item x="292"/>
        <item x="723"/>
        <item x="668"/>
        <item x="84"/>
        <item x="489"/>
        <item x="507"/>
        <item x="533"/>
        <item x="215"/>
        <item x="952"/>
        <item x="1029"/>
        <item x="1064"/>
        <item x="213"/>
        <item x="276"/>
        <item x="245"/>
        <item x="1077"/>
        <item x="85"/>
        <item x="160"/>
        <item x="764"/>
        <item x="718"/>
        <item x="887"/>
        <item x="854"/>
        <item x="278"/>
        <item x="539"/>
        <item x="898"/>
        <item x="765"/>
        <item x="100"/>
        <item x="1088"/>
        <item x="395"/>
        <item x="786"/>
        <item x="513"/>
        <item x="575"/>
        <item x="947"/>
        <item x="49"/>
        <item x="836"/>
        <item x="531"/>
        <item x="963"/>
        <item x="599"/>
        <item x="1025"/>
        <item x="455"/>
        <item x="792"/>
        <item x="782"/>
        <item x="664"/>
        <item x="537"/>
        <item x="851"/>
        <item x="285"/>
        <item x="467"/>
        <item x="705"/>
        <item x="144"/>
        <item x="565"/>
        <item x="299"/>
        <item x="194"/>
        <item x="964"/>
        <item x="112"/>
        <item x="239"/>
        <item x="1023"/>
        <item x="1084"/>
        <item x="784"/>
        <item x="324"/>
        <item x="1041"/>
        <item x="683"/>
        <item x="481"/>
        <item x="219"/>
        <item x="665"/>
        <item x="186"/>
        <item x="852"/>
        <item x="114"/>
        <item x="822"/>
        <item x="139"/>
        <item x="642"/>
        <item x="697"/>
        <item x="803"/>
        <item x="393"/>
        <item x="378"/>
        <item x="578"/>
        <item x="115"/>
        <item x="408"/>
        <item x="356"/>
        <item x="58"/>
        <item x="942"/>
        <item x="957"/>
        <item x="389"/>
        <item x="567"/>
        <item x="815"/>
        <item x="210"/>
        <item x="924"/>
        <item x="34"/>
        <item x="757"/>
        <item x="205"/>
        <item x="373"/>
        <item x="657"/>
        <item x="1059"/>
        <item x="769"/>
        <item x="1053"/>
        <item x="325"/>
        <item x="495"/>
        <item x="36"/>
        <item x="269"/>
        <item x="498"/>
        <item x="598"/>
        <item x="312"/>
        <item x="840"/>
        <item x="18"/>
        <item x="694"/>
        <item x="1079"/>
        <item x="737"/>
        <item x="183"/>
        <item x="820"/>
        <item x="684"/>
        <item x="340"/>
        <item x="1043"/>
        <item x="41"/>
        <item x="821"/>
        <item x="857"/>
        <item x="57"/>
        <item x="347"/>
        <item x="729"/>
        <item x="72"/>
        <item x="193"/>
        <item x="1051"/>
        <item x="222"/>
        <item x="380"/>
        <item x="901"/>
        <item x="545"/>
        <item x="320"/>
        <item x="884"/>
        <item x="515"/>
        <item x="485"/>
        <item x="969"/>
        <item x="1046"/>
        <item x="867"/>
        <item x="775"/>
        <item x="384"/>
        <item x="211"/>
        <item x="59"/>
        <item x="667"/>
        <item x="277"/>
        <item x="1002"/>
        <item x="60"/>
        <item x="1074"/>
        <item x="403"/>
        <item x="227"/>
        <item x="986"/>
        <item x="502"/>
        <item x="438"/>
        <item x="527"/>
        <item x="889"/>
        <item x="1067"/>
        <item x="617"/>
        <item x="521"/>
        <item x="830"/>
        <item x="291"/>
        <item x="895"/>
        <item x="360"/>
        <item x="258"/>
        <item x="760"/>
        <item x="538"/>
        <item x="711"/>
        <item x="951"/>
        <item x="584"/>
        <item x="140"/>
        <item x="761"/>
        <item x="421"/>
        <item x="1060"/>
        <item x="549"/>
        <item x="491"/>
        <item x="681"/>
        <item x="689"/>
        <item x="297"/>
        <item x="155"/>
        <item x="98"/>
        <item x="1027"/>
        <item x="465"/>
        <item x="14"/>
        <item x="675"/>
        <item x="264"/>
        <item x="870"/>
        <item x="165"/>
        <item x="364"/>
        <item x="411"/>
        <item x="994"/>
        <item x="678"/>
        <item x="1080"/>
        <item x="390"/>
        <item x="243"/>
        <item x="676"/>
        <item x="866"/>
        <item x="479"/>
        <item x="169"/>
        <item x="1028"/>
        <item x="83"/>
        <item x="585"/>
        <item x="644"/>
        <item x="724"/>
        <item x="826"/>
        <item x="1086"/>
        <item x="640"/>
        <item x="745"/>
        <item x="317"/>
        <item x="619"/>
        <item x="540"/>
        <item x="597"/>
        <item x="247"/>
        <item x="880"/>
        <item x="249"/>
        <item x="382"/>
        <item x="127"/>
        <item x="338"/>
        <item x="579"/>
        <item x="945"/>
        <item x="474"/>
        <item x="838"/>
        <item x="259"/>
        <item x="475"/>
        <item x="499"/>
        <item x="422"/>
        <item x="31"/>
        <item x="503"/>
        <item x="805"/>
        <item x="992"/>
        <item x="289"/>
        <item x="510"/>
        <item x="220"/>
        <item x="877"/>
        <item x="310"/>
        <item x="831"/>
        <item x="673"/>
        <item x="709"/>
        <item x="756"/>
        <item x="917"/>
        <item x="868"/>
        <item x="1096"/>
        <item x="273"/>
        <item x="659"/>
        <item x="414"/>
        <item x="862"/>
        <item x="55"/>
        <item x="939"/>
        <item x="379"/>
        <item x="946"/>
        <item x="462"/>
        <item x="106"/>
        <item x="609"/>
        <item x="65"/>
        <item x="914"/>
        <item x="305"/>
        <item x="655"/>
        <item x="879"/>
        <item x="506"/>
        <item x="696"/>
        <item x="688"/>
        <item x="430"/>
        <item x="1001"/>
        <item x="56"/>
        <item x="936"/>
        <item x="1093"/>
        <item x="208"/>
        <item x="748"/>
        <item x="708"/>
        <item x="45"/>
        <item x="376"/>
        <item x="512"/>
        <item x="772"/>
        <item x="493"/>
        <item x="509"/>
        <item x="81"/>
        <item x="1013"/>
        <item x="631"/>
        <item x="736"/>
        <item x="613"/>
        <item x="553"/>
        <item x="796"/>
        <item x="428"/>
        <item x="966"/>
        <item x="978"/>
        <item x="1054"/>
        <item x="754"/>
        <item x="581"/>
        <item x="350"/>
        <item x="1"/>
        <item x="61"/>
        <item x="744"/>
        <item x="51"/>
        <item x="365"/>
        <item x="832"/>
        <item x="580"/>
        <item x="804"/>
        <item x="1022"/>
        <item x="897"/>
        <item x="470"/>
        <item x="294"/>
        <item x="652"/>
        <item x="930"/>
        <item x="520"/>
        <item x="859"/>
        <item x="126"/>
        <item x="556"/>
        <item x="290"/>
        <item x="96"/>
        <item x="23"/>
        <item x="637"/>
        <item x="70"/>
        <item x="985"/>
        <item x="104"/>
        <item x="1036"/>
        <item x="1016"/>
        <item x="638"/>
        <item x="582"/>
        <item x="488"/>
        <item x="328"/>
        <item x="118"/>
        <item x="557"/>
        <item x="398"/>
        <item x="132"/>
        <item x="255"/>
        <item x="738"/>
        <item x="352"/>
        <item x="268"/>
        <item x="345"/>
        <item x="471"/>
        <item x="353"/>
        <item x="482"/>
        <item x="938"/>
        <item x="551"/>
        <item x="690"/>
        <item x="1010"/>
        <item x="828"/>
        <item x="680"/>
        <item x="339"/>
        <item x="343"/>
        <item x="1050"/>
        <item x="944"/>
        <item x="279"/>
        <item x="42"/>
        <item x="795"/>
        <item x="1083"/>
        <item x="1008"/>
        <item x="778"/>
        <item x="385"/>
        <item x="410"/>
        <item x="483"/>
        <item x="997"/>
        <item x="919"/>
        <item x="1063"/>
        <item x="204"/>
        <item x="284"/>
        <item x="454"/>
        <item x="893"/>
        <item x="679"/>
        <item x="1071"/>
        <item x="226"/>
        <item x="586"/>
        <item x="835"/>
        <item x="346"/>
        <item x="329"/>
        <item x="207"/>
        <item x="894"/>
        <item x="265"/>
        <item x="1078"/>
        <item x="934"/>
        <item x="67"/>
        <item x="230"/>
        <item x="79"/>
        <item x="429"/>
        <item x="179"/>
        <item x="457"/>
        <item x="875"/>
        <item x="777"/>
        <item x="616"/>
        <item x="916"/>
        <item x="1073"/>
        <item x="472"/>
        <item x="841"/>
        <item x="44"/>
        <item x="892"/>
        <item x="961"/>
        <item x="415"/>
        <item x="732"/>
        <item x="700"/>
        <item x="682"/>
        <item x="20"/>
        <item x="129"/>
        <item x="528"/>
        <item x="559"/>
        <item x="904"/>
        <item x="351"/>
        <item x="630"/>
        <item x="214"/>
        <item x="174"/>
        <item x="262"/>
        <item x="50"/>
        <item x="413"/>
        <item x="983"/>
        <item x="794"/>
        <item x="950"/>
        <item x="508"/>
        <item x="374"/>
        <item x="853"/>
        <item x="809"/>
        <item x="518"/>
        <item x="229"/>
        <item x="813"/>
        <item x="445"/>
        <item x="790"/>
        <item x="1019"/>
        <item x="808"/>
        <item x="123"/>
        <item x="128"/>
        <item x="270"/>
        <item x="844"/>
        <item x="1085"/>
        <item x="956"/>
        <item x="327"/>
        <item x="888"/>
        <item x="716"/>
        <item x="1044"/>
        <item x="650"/>
        <item x="1007"/>
        <item x="468"/>
        <item x="954"/>
        <item x="825"/>
        <item x="981"/>
        <item x="850"/>
        <item x="261"/>
        <item x="1047"/>
        <item x="1066"/>
        <item x="807"/>
        <item x="1057"/>
        <item x="254"/>
        <item x="78"/>
        <item x="238"/>
        <item x="497"/>
        <item x="643"/>
        <item x="555"/>
        <item x="448"/>
        <item x="64"/>
        <item x="275"/>
        <item x="361"/>
        <item x="217"/>
        <item x="529"/>
        <item x="810"/>
        <item x="991"/>
        <item x="876"/>
        <item x="159"/>
        <item x="366"/>
        <item x="858"/>
        <item x="441"/>
        <item x="583"/>
        <item x="9"/>
        <item x="912"/>
        <item x="783"/>
        <item x="604"/>
        <item x="546"/>
        <item x="27"/>
        <item x="965"/>
        <item x="426"/>
        <item x="806"/>
        <item x="522"/>
        <item x="1040"/>
        <item x="576"/>
        <item x="817"/>
        <item x="960"/>
        <item x="742"/>
        <item x="141"/>
        <item x="250"/>
        <item x="148"/>
        <item x="103"/>
        <item x="1020"/>
        <item x="29"/>
        <item x="1058"/>
        <item x="932"/>
        <item x="872"/>
        <item x="223"/>
        <item x="101"/>
        <item x="1092"/>
        <item x="1015"/>
        <item x="74"/>
        <item x="93"/>
        <item x="972"/>
        <item x="864"/>
        <item x="418"/>
        <item x="633"/>
        <item x="948"/>
        <item x="1095"/>
        <item x="717"/>
        <item x="734"/>
        <item x="839"/>
        <item x="1091"/>
        <item x="349"/>
        <item x="19"/>
        <item x="566"/>
        <item x="172"/>
        <item x="827"/>
        <item x="316"/>
        <item x="548"/>
        <item x="774"/>
        <item x="958"/>
        <item x="46"/>
        <item x="464"/>
        <item x="7"/>
        <item x="623"/>
        <item x="621"/>
        <item x="267"/>
        <item x="671"/>
        <item x="91"/>
        <item x="122"/>
        <item x="407"/>
        <item x="1087"/>
        <item x="814"/>
        <item x="484"/>
        <item x="967"/>
        <item x="28"/>
        <item x="535"/>
        <item x="937"/>
        <item x="720"/>
        <item x="12"/>
        <item x="526"/>
        <item x="218"/>
        <item x="477"/>
        <item x="511"/>
        <item x="147"/>
        <item x="1070"/>
        <item x="685"/>
        <item x="523"/>
        <item x="574"/>
        <item x="253"/>
        <item x="166"/>
        <item x="5"/>
        <item x="625"/>
        <item x="94"/>
        <item x="1056"/>
        <item x="252"/>
        <item x="231"/>
        <item x="311"/>
        <item x="88"/>
        <item x="730"/>
        <item x="626"/>
        <item x="971"/>
        <item x="755"/>
        <item x="257"/>
        <item x="903"/>
        <item x="348"/>
        <item x="424"/>
        <item x="871"/>
        <item x="433"/>
        <item x="922"/>
        <item x="3"/>
        <item x="834"/>
        <item x="672"/>
        <item x="704"/>
        <item x="75"/>
        <item x="459"/>
        <item x="780"/>
        <item x="8"/>
        <item x="979"/>
        <item x="77"/>
        <item x="11"/>
        <item x="845"/>
        <item x="881"/>
        <item x="766"/>
        <item x="927"/>
        <item x="620"/>
        <item x="1082"/>
        <item x="799"/>
        <item x="1062"/>
        <item x="399"/>
        <item x="163"/>
        <item x="1024"/>
        <item x="610"/>
        <item x="767"/>
        <item x="451"/>
        <item x="92"/>
        <item x="109"/>
        <item x="968"/>
        <item x="886"/>
        <item x="332"/>
        <item x="998"/>
        <item x="240"/>
        <item x="1021"/>
        <item x="21"/>
        <item x="435"/>
        <item x="600"/>
        <item x="35"/>
        <item x="432"/>
        <item x="458"/>
        <item x="315"/>
        <item x="918"/>
        <item x="281"/>
        <item x="492"/>
        <item x="869"/>
        <item x="153"/>
        <item x="516"/>
        <item x="167"/>
        <item x="759"/>
        <item x="611"/>
        <item x="355"/>
        <item x="420"/>
        <item x="370"/>
        <item x="221"/>
        <item x="906"/>
        <item x="793"/>
        <item x="396"/>
        <item x="242"/>
        <item x="552"/>
        <item x="789"/>
        <item x="286"/>
        <item x="326"/>
        <item x="1031"/>
        <item x="891"/>
        <item x="648"/>
        <item x="24"/>
        <item x="108"/>
        <item x="588"/>
        <item x="200"/>
        <item x="1035"/>
        <item x="486"/>
        <item x="735"/>
        <item x="860"/>
        <item x="283"/>
        <item x="564"/>
        <item x="707"/>
        <item x="71"/>
        <item x="645"/>
        <item x="184"/>
        <item x="770"/>
        <item x="304"/>
        <item x="654"/>
        <item x="251"/>
        <item x="940"/>
        <item x="962"/>
        <item x="318"/>
        <item x="594"/>
        <item x="525"/>
        <item x="719"/>
        <item x="726"/>
        <item x="577"/>
        <item x="314"/>
        <item x="953"/>
        <item x="381"/>
        <item x="425"/>
        <item x="819"/>
        <item x="811"/>
        <item x="263"/>
        <item x="203"/>
        <item x="923"/>
        <item x="627"/>
        <item x="970"/>
        <item x="392"/>
        <item x="416"/>
        <item x="996"/>
        <item x="554"/>
        <item x="375"/>
        <item x="1003"/>
        <item x="190"/>
        <item x="562"/>
        <item x="587"/>
        <item x="4"/>
        <item x="791"/>
        <item x="727"/>
        <item x="478"/>
        <item x="446"/>
        <item x="605"/>
        <item x="309"/>
        <item x="669"/>
        <item x="476"/>
        <item x="920"/>
        <item x="26"/>
        <item x="1030"/>
        <item x="639"/>
        <item x="362"/>
        <item x="1017"/>
        <item x="198"/>
        <item x="152"/>
        <item x="32"/>
        <item x="303"/>
        <item x="131"/>
        <item x="434"/>
        <item x="450"/>
        <item x="624"/>
        <item x="1009"/>
        <item x="976"/>
        <item x="882"/>
        <item x="161"/>
        <item x="751"/>
        <item x="282"/>
        <item x="344"/>
        <item x="701"/>
        <item x="842"/>
        <item x="150"/>
        <item x="779"/>
        <item x="313"/>
        <item x="102"/>
        <item x="1089"/>
        <item x="405"/>
        <item x="1061"/>
        <item x="323"/>
        <item x="187"/>
        <item x="130"/>
        <item x="921"/>
        <item x="558"/>
        <item x="915"/>
        <item x="296"/>
        <item x="216"/>
        <item x="629"/>
        <item x="209"/>
        <item x="233"/>
        <item x="647"/>
        <item x="246"/>
        <item x="771"/>
        <item x="848"/>
        <item x="1038"/>
        <item x="146"/>
        <item x="974"/>
        <item x="494"/>
        <item x="635"/>
        <item x="419"/>
        <item x="369"/>
        <item x="143"/>
        <item x="116"/>
        <item x="401"/>
        <item x="120"/>
        <item x="646"/>
        <item x="15"/>
        <item x="38"/>
        <item x="590"/>
        <item x="661"/>
        <item x="225"/>
        <item x="1049"/>
        <item x="154"/>
        <item x="202"/>
        <item x="530"/>
        <item x="1014"/>
        <item x="618"/>
        <item x="197"/>
        <item x="232"/>
        <item x="855"/>
        <item x="95"/>
        <item x="568"/>
        <item x="712"/>
        <item x="431"/>
        <item x="73"/>
        <item x="1072"/>
        <item x="608"/>
        <item x="993"/>
        <item x="698"/>
        <item x="758"/>
        <item x="436"/>
        <item x="591"/>
        <item x="334"/>
        <item x="785"/>
        <item x="453"/>
        <item x="656"/>
        <item x="910"/>
        <item x="913"/>
        <item x="363"/>
        <item x="256"/>
        <item x="158"/>
        <item x="931"/>
        <item x="662"/>
        <item x="199"/>
        <item x="883"/>
        <item x="1012"/>
        <item x="990"/>
        <item x="111"/>
        <item x="125"/>
        <item x="404"/>
        <item x="1052"/>
        <item x="423"/>
        <item x="601"/>
        <item x="847"/>
        <item x="136"/>
        <item x="660"/>
        <item x="295"/>
        <item x="412"/>
        <item x="532"/>
        <item x="929"/>
        <item x="402"/>
        <item x="241"/>
        <item x="773"/>
        <item x="856"/>
        <item x="501"/>
        <item x="322"/>
        <item x="196"/>
        <item x="185"/>
        <item x="943"/>
        <item x="391"/>
        <item x="6"/>
        <item x="16"/>
        <item x="798"/>
        <item x="440"/>
        <item x="592"/>
        <item x="236"/>
        <item x="797"/>
        <item x="542"/>
        <item x="651"/>
        <item x="437"/>
        <item x="787"/>
        <item x="628"/>
        <item x="606"/>
        <item x="569"/>
        <item x="48"/>
        <item x="271"/>
        <item x="988"/>
        <item x="1076"/>
        <item x="747"/>
        <item x="666"/>
        <item x="1048"/>
        <item x="544"/>
        <item x="750"/>
        <item x="25"/>
        <item x="469"/>
        <item x="595"/>
        <item x="368"/>
        <item x="1045"/>
        <item x="336"/>
        <item x="686"/>
        <item x="677"/>
        <item x="536"/>
        <item x="43"/>
        <item x="833"/>
        <item x="156"/>
        <item x="849"/>
        <item x="602"/>
        <item x="885"/>
        <item x="547"/>
        <item x="746"/>
        <item x="409"/>
        <item x="802"/>
        <item x="13"/>
        <item x="456"/>
        <item x="121"/>
        <item x="110"/>
        <item x="463"/>
        <item x="543"/>
        <item x="182"/>
        <item x="333"/>
        <item x="984"/>
        <item x="142"/>
        <item x="861"/>
        <item x="176"/>
        <item x="710"/>
        <item x="982"/>
        <item x="173"/>
        <item x="319"/>
        <item x="977"/>
        <item x="763"/>
        <item x="899"/>
        <item x="212"/>
        <item x="53"/>
        <item x="406"/>
        <item x="145"/>
        <item x="244"/>
        <item x="925"/>
        <item x="80"/>
        <item x="524"/>
        <item x="234"/>
        <item x="674"/>
        <item x="781"/>
        <item x="76"/>
        <item x="1000"/>
        <item x="1034"/>
        <item x="162"/>
        <item x="308"/>
        <item x="82"/>
        <item x="614"/>
        <item x="33"/>
        <item x="487"/>
        <item x="722"/>
        <item x="1005"/>
        <item x="87"/>
        <item x="612"/>
        <item x="444"/>
        <item x="812"/>
        <item x="973"/>
        <item x="288"/>
        <item x="776"/>
        <item x="427"/>
        <item x="452"/>
        <item x="298"/>
        <item x="149"/>
        <item x="702"/>
        <item x="928"/>
        <item x="941"/>
        <item x="37"/>
        <item x="189"/>
        <item x="107"/>
        <item x="1011"/>
        <item x="721"/>
        <item x="164"/>
        <item x="54"/>
        <item x="534"/>
        <item x="175"/>
        <item x="302"/>
        <item x="274"/>
        <item x="386"/>
        <item x="989"/>
        <item x="354"/>
        <item x="1098"/>
        <item x="687"/>
        <item x="896"/>
        <item x="86"/>
        <item x="749"/>
        <item x="740"/>
        <item x="607"/>
        <item x="514"/>
        <item x="357"/>
        <item x="330"/>
        <item x="68"/>
        <item x="272"/>
        <item x="823"/>
        <item x="753"/>
        <item x="237"/>
        <item x="321"/>
        <item x="714"/>
        <item x="519"/>
        <item x="634"/>
        <item x="728"/>
        <item x="801"/>
        <item x="693"/>
        <item x="725"/>
        <item x="89"/>
        <item x="224"/>
        <item x="0"/>
        <item x="473"/>
        <item x="280"/>
        <item x="260"/>
        <item x="500"/>
        <item x="287"/>
        <item x="980"/>
        <item x="1039"/>
        <item x="124"/>
        <item x="443"/>
        <item x="743"/>
        <item x="1026"/>
        <item x="307"/>
        <item x="69"/>
        <item x="177"/>
        <item x="902"/>
        <item x="504"/>
        <item x="843"/>
        <item x="829"/>
        <item x="1097"/>
        <item x="837"/>
        <item x="157"/>
        <item x="397"/>
        <item x="733"/>
        <item x="341"/>
        <item x="846"/>
        <item x="119"/>
        <item x="905"/>
        <item x="589"/>
        <item x="713"/>
        <item t="default"/>
      </items>
    </pivotField>
    <pivotField showAll="0"/>
    <pivotField showAll="0">
      <items count="5">
        <item x="1"/>
        <item x="3"/>
        <item x="0"/>
        <item x="2"/>
        <item t="default"/>
      </items>
    </pivotField>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t="grand">
      <x/>
    </i>
  </rowItems>
  <colItems count="1">
    <i/>
  </colItems>
  <dataFields count="1">
    <dataField name="Count of Product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C8CFB-08DA-4925-A72C-7480493C16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U8"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2"/>
    </i>
    <i>
      <x v="3"/>
    </i>
    <i>
      <x/>
    </i>
    <i>
      <x v="1"/>
    </i>
    <i t="grand">
      <x/>
    </i>
  </rowItems>
  <colItems count="1">
    <i/>
  </colItems>
  <dataFields count="1">
    <dataField name="Sum of Total Price (₦)" fld="11" baseField="0" baseItem="0" numFmtId="165"/>
  </dataFields>
  <formats count="1">
    <format dxfId="42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 chart="3" format="7">
      <pivotArea type="data" outline="0" fieldPosition="0">
        <references count="2">
          <reference field="4294967294" count="1" selected="0">
            <x v="0"/>
          </reference>
          <reference field="3" count="1" selected="0">
            <x v="3"/>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D743E-4E12-4A2F-AAEE-4CC6275DE1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3:E9"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axis="axisRow" showAll="0" measureFilter="1" sortType="ascending">
      <items count="13">
        <item x="9"/>
        <item x="3"/>
        <item x="4"/>
        <item x="2"/>
        <item x="10"/>
        <item x="8"/>
        <item x="6"/>
        <item x="7"/>
        <item x="11"/>
        <item x="1"/>
        <item x="5"/>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7"/>
    </i>
    <i>
      <x v="3"/>
    </i>
    <i>
      <x v="8"/>
    </i>
    <i>
      <x v="4"/>
    </i>
    <i>
      <x v="5"/>
    </i>
    <i t="grand">
      <x/>
    </i>
  </rowItems>
  <colItems count="1">
    <i/>
  </colItems>
  <dataFields count="1">
    <dataField name="Sum of Quantity" fld="7" baseField="0" baseItem="0"/>
  </dataFields>
  <chartFormats count="2">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56AC48-3E8C-43CE-86DB-64EC4C5636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0:U15"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numFmtId="1"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Average of Shipping Fee (₦)" fld="12" subtotal="average" baseField="3" baseItem="0" numFmtId="43"/>
  </dataFields>
  <formats count="1">
    <format dxfId="4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FBA92C-D605-420F-8154-54186D4D68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axis="axisRow" showAll="0" sortType="ascending">
      <items count="13">
        <item x="9"/>
        <item x="3"/>
        <item x="4"/>
        <item x="2"/>
        <item x="10"/>
        <item x="8"/>
        <item x="6"/>
        <item x="7"/>
        <item x="11"/>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v="1"/>
    </i>
    <i>
      <x v="7"/>
    </i>
    <i>
      <x v="10"/>
    </i>
    <i>
      <x v="3"/>
    </i>
    <i>
      <x/>
    </i>
    <i>
      <x v="11"/>
    </i>
    <i>
      <x v="8"/>
    </i>
    <i>
      <x v="4"/>
    </i>
    <i>
      <x v="2"/>
    </i>
    <i>
      <x v="6"/>
    </i>
    <i>
      <x v="9"/>
    </i>
    <i>
      <x v="5"/>
    </i>
    <i t="grand">
      <x/>
    </i>
  </rowItems>
  <colItems count="1">
    <i/>
  </colItems>
  <dataFields count="1">
    <dataField name="Average of Discount %" fld="9" subtotal="average" baseField="4" baseItem="0" numFmtId="1"/>
  </dataFields>
  <formats count="1">
    <format dxfId="424">
      <pivotArea collapsedLevelsAreSubtotals="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7EBC66-0BA8-4BA6-94C6-8395E10BF9A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7:AI18" firstHeaderRow="0" firstDataRow="1" firstDataCol="0"/>
  <pivotFields count="22">
    <pivotField dataField="1"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x="12"/>
        <item sd="0" x="13"/>
        <item t="default"/>
      </items>
    </pivotField>
    <pivotField showAll="0">
      <items count="7">
        <item sd="0" x="0"/>
        <item sd="0" x="1"/>
        <item sd="0" x="2"/>
        <item sd="0" x="3"/>
        <item x="4"/>
        <item sd="0" x="5"/>
        <item t="default"/>
      </items>
    </pivotField>
    <pivotField showAll="0">
      <items count="5">
        <item sd="0" x="0"/>
        <item sd="0" x="1"/>
        <item sd="0" x="2"/>
        <item sd="0" x="3"/>
        <item t="default"/>
      </items>
    </pivotField>
  </pivotFields>
  <rowItems count="1">
    <i/>
  </rowItems>
  <colFields count="1">
    <field x="-2"/>
  </colFields>
  <colItems count="4">
    <i>
      <x/>
    </i>
    <i i="1">
      <x v="1"/>
    </i>
    <i i="2">
      <x v="2"/>
    </i>
    <i i="3">
      <x v="3"/>
    </i>
  </colItems>
  <dataFields count="4">
    <dataField name="Count of Order Date" fld="0" subtotal="count" baseField="0" baseItem="0"/>
    <dataField name="Sum of Total Price (₦)" fld="11" baseField="0" baseItem="0"/>
    <dataField name="Average of Delivery time" fld="18" subtotal="average" baseField="0" baseItem="2"/>
    <dataField name="Average of Total Price (₦)2" fld="11" subtotal="average" baseField="0" baseItem="2"/>
  </dataFields>
  <formats count="1">
    <format dxfId="4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5D85EB-B8D8-43B9-BF42-63A89AF76F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items count="4">
        <item x="2"/>
        <item x="0"/>
        <item x="1"/>
        <item t="default"/>
      </items>
    </pivotField>
    <pivotField axis="axisRow" showAll="0" sortType="descending">
      <items count="7">
        <item x="0"/>
        <item x="4"/>
        <item x="3"/>
        <item x="1"/>
        <item x="2"/>
        <item x="5"/>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4"/>
    </i>
    <i>
      <x v="3"/>
    </i>
    <i>
      <x v="5"/>
    </i>
    <i>
      <x v="1"/>
    </i>
    <i>
      <x v="2"/>
    </i>
    <i t="grand">
      <x/>
    </i>
  </rowItems>
  <colItems count="1">
    <i/>
  </colItems>
  <dataFields count="1">
    <dataField name="Sum of Total Price (₦)" fld="11" baseField="0" baseItem="0" numFmtId="165"/>
  </dataFields>
  <formats count="30">
    <format dxfId="455">
      <pivotArea outline="0" collapsedLevelsAreSubtotals="1" fieldPosition="0"/>
    </format>
    <format dxfId="454">
      <pivotArea outline="0" collapsedLevelsAreSubtotals="1" fieldPosition="0"/>
    </format>
    <format dxfId="453">
      <pivotArea outline="0" collapsedLevelsAreSubtotals="1" fieldPosition="0"/>
    </format>
    <format dxfId="452">
      <pivotArea outline="0" collapsedLevelsAreSubtotals="1" fieldPosition="0"/>
    </format>
    <format dxfId="451">
      <pivotArea outline="0" collapsedLevelsAreSubtotals="1" fieldPosition="0"/>
    </format>
    <format dxfId="450">
      <pivotArea outline="0" collapsedLevelsAreSubtotals="1" fieldPosition="0"/>
    </format>
    <format dxfId="449">
      <pivotArea outline="0" collapsedLevelsAreSubtotals="1" fieldPosition="0"/>
    </format>
    <format dxfId="448">
      <pivotArea outline="0" collapsedLevelsAreSubtotals="1" fieldPosition="0"/>
    </format>
    <format dxfId="447">
      <pivotArea outline="0" collapsedLevelsAreSubtotals="1" fieldPosition="0"/>
    </format>
    <format dxfId="446">
      <pivotArea outline="0" collapsedLevelsAreSubtotals="1" fieldPosition="0"/>
    </format>
    <format dxfId="445">
      <pivotArea outline="0" collapsedLevelsAreSubtotals="1" fieldPosition="0"/>
    </format>
    <format dxfId="444">
      <pivotArea outline="0" collapsedLevelsAreSubtotals="1" fieldPosition="0"/>
    </format>
    <format dxfId="443">
      <pivotArea outline="0" collapsedLevelsAreSubtotals="1" fieldPosition="0"/>
    </format>
    <format dxfId="442">
      <pivotArea outline="0" collapsedLevelsAreSubtotals="1" fieldPosition="0"/>
    </format>
    <format dxfId="441">
      <pivotArea outline="0" collapsedLevelsAreSubtotals="1" fieldPosition="0"/>
    </format>
    <format dxfId="440">
      <pivotArea outline="0" collapsedLevelsAreSubtotals="1" fieldPosition="0"/>
    </format>
    <format dxfId="439">
      <pivotArea outline="0" collapsedLevelsAreSubtotals="1" fieldPosition="0"/>
    </format>
    <format dxfId="438">
      <pivotArea outline="0" collapsedLevelsAreSubtotals="1" fieldPosition="0"/>
    </format>
    <format dxfId="437">
      <pivotArea outline="0" collapsedLevelsAreSubtotals="1" fieldPosition="0"/>
    </format>
    <format dxfId="436">
      <pivotArea outline="0" collapsedLevelsAreSubtotals="1" fieldPosition="0"/>
    </format>
    <format dxfId="435">
      <pivotArea outline="0" collapsedLevelsAreSubtotals="1" fieldPosition="0"/>
    </format>
    <format dxfId="434">
      <pivotArea outline="0" collapsedLevelsAreSubtotals="1" fieldPosition="0"/>
    </format>
    <format dxfId="433">
      <pivotArea outline="0" collapsedLevelsAreSubtotals="1" fieldPosition="0"/>
    </format>
    <format dxfId="432">
      <pivotArea outline="0" collapsedLevelsAreSubtotals="1" fieldPosition="0"/>
    </format>
    <format dxfId="431">
      <pivotArea outline="0" collapsedLevelsAreSubtotals="1" fieldPosition="0"/>
    </format>
    <format dxfId="430">
      <pivotArea outline="0" collapsedLevelsAreSubtotals="1" fieldPosition="0"/>
    </format>
    <format dxfId="429">
      <pivotArea outline="0" collapsedLevelsAreSubtotals="1" fieldPosition="0"/>
    </format>
    <format dxfId="428">
      <pivotArea outline="0" collapsedLevelsAreSubtotals="1" fieldPosition="0"/>
    </format>
    <format dxfId="427">
      <pivotArea outline="0" collapsedLevelsAreSubtotals="1" fieldPosition="0"/>
    </format>
    <format dxfId="426">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26CEA2-F82D-47B7-8A8F-0BF2310E86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B7"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4">
    <i>
      <x/>
    </i>
    <i>
      <x v="1"/>
    </i>
    <i>
      <x v="2"/>
    </i>
    <i t="grand">
      <x/>
    </i>
  </rowItems>
  <colItems count="1">
    <i/>
  </colItems>
  <dataFields count="1">
    <dataField name="Average of Total Price (₦)" fld="11" subtotal="average" baseField="17" baseItem="0" numFmtId="43"/>
  </dataFields>
  <formats count="1">
    <format dxfId="4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7277E9-A9C6-4E0A-BB4D-A2EC5AAE254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20:X28"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showAll="0"/>
    <pivotField showAll="0"/>
    <pivotField axis="axisRow" showAll="0" sortType="ascending">
      <items count="15">
        <item sd="0" x="1"/>
        <item sd="0" x="2"/>
        <item sd="0" x="3"/>
        <item sd="0" x="4"/>
        <item sd="0" x="5"/>
        <item sd="0" x="6"/>
        <item sd="0" x="7"/>
        <item sd="0" x="8"/>
        <item sd="0" x="9"/>
        <item sd="0" x="10"/>
        <item sd="0" x="11"/>
        <item x="12"/>
        <item sd="0" x="0"/>
        <item sd="0" x="13"/>
        <item t="default"/>
      </items>
    </pivotField>
    <pivotField showAll="0">
      <items count="7">
        <item sd="0" x="0"/>
        <item sd="0" x="1"/>
        <item sd="0" x="2"/>
        <item sd="0" x="3"/>
        <item x="4"/>
        <item sd="0" x="5"/>
        <item t="default"/>
      </items>
    </pivotField>
    <pivotField showAll="0">
      <items count="5">
        <item sd="0" x="0"/>
        <item sd="0" x="1"/>
        <item sd="0" x="2"/>
        <item sd="0" x="3"/>
        <item t="default"/>
      </items>
    </pivotField>
  </pivotFields>
  <rowFields count="1">
    <field x="19"/>
  </rowFields>
  <rowItems count="8">
    <i>
      <x/>
    </i>
    <i>
      <x v="1"/>
    </i>
    <i>
      <x v="2"/>
    </i>
    <i>
      <x v="3"/>
    </i>
    <i>
      <x v="4"/>
    </i>
    <i>
      <x v="5"/>
    </i>
    <i>
      <x v="11"/>
    </i>
    <i t="grand">
      <x/>
    </i>
  </rowItems>
  <colItems count="1">
    <i/>
  </colItems>
  <dataFields count="1">
    <dataField name="Sum of Total Price (₦)" fld="11" baseField="0" baseItem="0" numFmtId="165"/>
  </dataFields>
  <formats count="1">
    <format dxfId="45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6D075C-9A90-4E4A-9197-611BE4C1B44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0:U23" firstHeaderRow="1" firstDataRow="1" firstDataCol="1"/>
  <pivotFields count="22">
    <pivotField axis="axisRow"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x="12"/>
        <item sd="0" x="13"/>
        <item t="default"/>
      </items>
    </pivotField>
    <pivotField axis="axisRow" showAll="0">
      <items count="7">
        <item sd="0" x="0"/>
        <item x="1"/>
        <item sd="0" x="2"/>
        <item sd="0" x="3"/>
        <item x="4"/>
        <item sd="0" x="5"/>
        <item t="default"/>
      </items>
    </pivotField>
    <pivotField axis="axisRow" showAll="0">
      <items count="5">
        <item sd="0" x="0"/>
        <item sd="0" x="1"/>
        <item sd="0" x="2"/>
        <item sd="0" x="3"/>
        <item t="default"/>
      </items>
    </pivotField>
  </pivotFields>
  <rowFields count="4">
    <field x="21"/>
    <field x="20"/>
    <field x="19"/>
    <field x="0"/>
  </rowFields>
  <rowItems count="3">
    <i>
      <x v="1"/>
    </i>
    <i>
      <x v="2"/>
    </i>
    <i t="grand">
      <x/>
    </i>
  </rowItems>
  <colItems count="1">
    <i/>
  </colItems>
  <dataFields count="1">
    <dataField name="Sum of Total Price (₦)" fld="11" baseField="0" baseItem="0"/>
  </dataFields>
  <formats count="1">
    <format dxfId="4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0D8BC6-F223-48B2-B03E-E1C5569750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16" firstHeaderRow="0"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axis="axisRow" showAll="0">
      <items count="13">
        <item x="9"/>
        <item x="3"/>
        <item x="4"/>
        <item x="2"/>
        <item x="10"/>
        <item x="8"/>
        <item x="6"/>
        <item x="7"/>
        <item x="11"/>
        <item x="1"/>
        <item x="5"/>
        <item x="0"/>
        <item t="default"/>
      </items>
    </pivotField>
    <pivotField showAll="0"/>
    <pivotField showAll="0"/>
    <pivotField dataField="1" showAll="0"/>
    <pivotField showAll="0"/>
    <pivotField dataField="1" numFmtI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Average of Discount %" fld="9" subtotal="average" baseField="4" baseItem="0" numFmtId="1"/>
    <dataField name="Sum of Quantity" fld="7" baseField="4" baseItem="0"/>
  </dataFields>
  <formats count="1">
    <format dxfId="459">
      <pivotArea collapsedLevelsAreSubtotals="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A4D142-75B3-47F1-A90B-CBE81BA8B42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0:AD29" firstHeaderRow="1" firstDataRow="2"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dataField="1" showAll="0"/>
    <pivotField showAll="0"/>
    <pivotField showAll="0"/>
    <pivotField showAll="0"/>
    <pivotField showAll="0"/>
    <pivotField numFmtId="1" showAll="0"/>
    <pivotField showAll="0"/>
    <pivotField showAll="0"/>
    <pivotField showAll="0"/>
    <pivotField showAll="0"/>
    <pivotField axis="axisCol" multipleItemSelectionAllowed="1" showAll="0">
      <items count="4">
        <item h="1" x="2"/>
        <item x="1"/>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x="12"/>
        <item sd="0" x="13"/>
        <item t="default"/>
      </items>
    </pivotField>
    <pivotField showAll="0">
      <items count="7">
        <item sd="0" x="0"/>
        <item sd="0" x="1"/>
        <item sd="0" x="2"/>
        <item sd="0" x="3"/>
        <item x="4"/>
        <item sd="0" x="5"/>
        <item t="default"/>
      </items>
    </pivotField>
    <pivotField showAll="0">
      <items count="5">
        <item sd="0" x="0"/>
        <item sd="0" x="1"/>
        <item sd="0" x="2"/>
        <item sd="0" x="3"/>
        <item t="default"/>
      </items>
    </pivotField>
  </pivotFields>
  <rowFields count="1">
    <field x="19"/>
  </rowFields>
  <rowItems count="8">
    <i>
      <x v="1"/>
    </i>
    <i>
      <x v="2"/>
    </i>
    <i>
      <x v="3"/>
    </i>
    <i>
      <x v="4"/>
    </i>
    <i>
      <x v="5"/>
    </i>
    <i>
      <x v="6"/>
    </i>
    <i>
      <x v="12"/>
    </i>
    <i t="grand">
      <x/>
    </i>
  </rowItems>
  <colFields count="1">
    <field x="14"/>
  </colFields>
  <colItems count="3">
    <i>
      <x v="1"/>
    </i>
    <i>
      <x v="2"/>
    </i>
    <i t="grand">
      <x/>
    </i>
  </colItems>
  <dataFields count="1">
    <dataField name="Count of Product Name" fld="4" subtotal="count" baseField="0" baseItem="0"/>
  </dataFields>
  <formats count="1">
    <format dxfId="4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4F8F4C-AD83-4292-B68B-1DE407F6C41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11" firstHeaderRow="1" firstDataRow="1" firstDataCol="1"/>
  <pivotFields count="22">
    <pivotField numFmtId="14" showAll="0">
      <items count="184">
        <item x="152"/>
        <item x="151"/>
        <item x="56"/>
        <item x="63"/>
        <item x="96"/>
        <item x="156"/>
        <item x="178"/>
        <item x="164"/>
        <item x="7"/>
        <item x="35"/>
        <item x="181"/>
        <item x="114"/>
        <item x="122"/>
        <item x="158"/>
        <item x="159"/>
        <item x="105"/>
        <item x="38"/>
        <item x="124"/>
        <item x="88"/>
        <item x="119"/>
        <item x="98"/>
        <item x="21"/>
        <item x="157"/>
        <item x="120"/>
        <item x="167"/>
        <item x="16"/>
        <item x="99"/>
        <item x="60"/>
        <item x="125"/>
        <item x="92"/>
        <item x="45"/>
        <item x="149"/>
        <item x="143"/>
        <item x="75"/>
        <item x="11"/>
        <item x="29"/>
        <item x="67"/>
        <item x="112"/>
        <item x="101"/>
        <item x="10"/>
        <item x="165"/>
        <item x="37"/>
        <item x="177"/>
        <item x="31"/>
        <item x="39"/>
        <item x="5"/>
        <item x="15"/>
        <item x="13"/>
        <item x="73"/>
        <item x="141"/>
        <item x="113"/>
        <item x="97"/>
        <item x="47"/>
        <item x="102"/>
        <item x="81"/>
        <item x="53"/>
        <item x="127"/>
        <item x="49"/>
        <item x="71"/>
        <item x="153"/>
        <item x="44"/>
        <item x="46"/>
        <item x="43"/>
        <item x="20"/>
        <item x="117"/>
        <item x="33"/>
        <item x="4"/>
        <item x="59"/>
        <item x="41"/>
        <item x="57"/>
        <item x="42"/>
        <item x="28"/>
        <item x="109"/>
        <item x="2"/>
        <item x="79"/>
        <item x="61"/>
        <item x="14"/>
        <item x="172"/>
        <item x="87"/>
        <item x="160"/>
        <item x="107"/>
        <item x="76"/>
        <item x="12"/>
        <item x="137"/>
        <item x="173"/>
        <item x="19"/>
        <item x="74"/>
        <item x="144"/>
        <item x="8"/>
        <item x="0"/>
        <item x="140"/>
        <item x="65"/>
        <item x="32"/>
        <item x="123"/>
        <item x="166"/>
        <item x="110"/>
        <item x="115"/>
        <item x="111"/>
        <item x="139"/>
        <item x="174"/>
        <item x="163"/>
        <item x="169"/>
        <item x="86"/>
        <item x="78"/>
        <item x="72"/>
        <item x="121"/>
        <item x="90"/>
        <item x="6"/>
        <item x="128"/>
        <item x="36"/>
        <item x="155"/>
        <item x="70"/>
        <item x="80"/>
        <item x="142"/>
        <item x="116"/>
        <item x="64"/>
        <item x="171"/>
        <item x="179"/>
        <item x="136"/>
        <item x="58"/>
        <item x="148"/>
        <item x="89"/>
        <item x="55"/>
        <item x="26"/>
        <item x="130"/>
        <item x="182"/>
        <item x="106"/>
        <item x="145"/>
        <item x="103"/>
        <item x="1"/>
        <item x="18"/>
        <item x="3"/>
        <item x="85"/>
        <item x="138"/>
        <item x="104"/>
        <item x="9"/>
        <item x="84"/>
        <item x="161"/>
        <item x="51"/>
        <item x="48"/>
        <item x="129"/>
        <item x="154"/>
        <item x="23"/>
        <item x="95"/>
        <item x="25"/>
        <item x="108"/>
        <item x="82"/>
        <item x="54"/>
        <item x="170"/>
        <item x="176"/>
        <item x="146"/>
        <item x="168"/>
        <item x="135"/>
        <item x="94"/>
        <item x="34"/>
        <item x="17"/>
        <item x="68"/>
        <item x="100"/>
        <item x="93"/>
        <item x="77"/>
        <item x="147"/>
        <item x="91"/>
        <item x="66"/>
        <item x="62"/>
        <item x="126"/>
        <item x="133"/>
        <item x="134"/>
        <item x="175"/>
        <item x="27"/>
        <item x="83"/>
        <item x="40"/>
        <item x="180"/>
        <item x="131"/>
        <item x="162"/>
        <item x="52"/>
        <item x="22"/>
        <item x="69"/>
        <item x="118"/>
        <item x="24"/>
        <item x="50"/>
        <item x="30"/>
        <item x="132"/>
        <item x="15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x="12"/>
        <item sd="0" x="13"/>
        <item t="default"/>
      </items>
    </pivotField>
    <pivotField showAll="0">
      <items count="7">
        <item sd="0" x="0"/>
        <item sd="0" x="1"/>
        <item sd="0" x="2"/>
        <item sd="0" x="3"/>
        <item x="4"/>
        <item sd="0" x="5"/>
        <item t="default"/>
      </items>
    </pivotField>
    <pivotField showAll="0">
      <items count="5">
        <item sd="0" x="0"/>
        <item sd="0" x="1"/>
        <item sd="0" x="2"/>
        <item sd="0" x="3"/>
        <item t="default"/>
      </items>
    </pivotField>
  </pivotFields>
  <rowFields count="1">
    <field x="19"/>
  </rowFields>
  <rowItems count="8">
    <i>
      <x v="1"/>
    </i>
    <i>
      <x v="2"/>
    </i>
    <i>
      <x v="3"/>
    </i>
    <i>
      <x v="4"/>
    </i>
    <i>
      <x v="5"/>
    </i>
    <i>
      <x v="6"/>
    </i>
    <i>
      <x v="12"/>
    </i>
    <i t="grand">
      <x/>
    </i>
  </rowItems>
  <colItems count="1">
    <i/>
  </colItems>
  <dataFields count="1">
    <dataField name="Average of Delivery time" fld="18" subtotal="average" baseField="19" baseItem="1"/>
  </dataFields>
  <formats count="1">
    <format dxfId="4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6BD2E3-F0D7-4A7E-A66E-43E5BBB38E41}" sourceName="Product Category">
  <pivotTables>
    <pivotTable tabId="6" name="PivotTable3"/>
  </pivotTables>
  <data>
    <tabular pivotCacheId="82667444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78C0F35-B3F0-4494-92B4-83DE1636498F}" sourceName="Sub Category">
  <pivotTables>
    <pivotTable tabId="6" name="PivotTable3"/>
  </pivotTables>
  <data>
    <tabular pivotCacheId="826674448">
      <items count="6">
        <i x="0" s="1"/>
        <i x="4" s="1"/>
        <i x="3" s="1"/>
        <i x="1"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DC3975-EE00-4ED1-93ED-499FAED3AF06}" sourceName="Years (Order Date)">
  <pivotTables>
    <pivotTable tabId="6" name="PivotTable3"/>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9"/>
    <pivotTable tabId="6" name="PivotTable4"/>
    <pivotTable tabId="6" name="PivotTable5"/>
    <pivotTable tabId="6" name="PivotTable6"/>
    <pivotTable tabId="6" name="PivotTable7"/>
    <pivotTable tabId="6" name="PivotTable8"/>
    <pivotTable tabId="6" name="PivotTable9"/>
  </pivotTables>
  <data>
    <tabular pivotCacheId="826674448">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BF93BBD-ACB9-4231-BD21-19C0FFB4C147}" sourceName="State">
  <pivotTables>
    <pivotTable tabId="6" name="PivotTable8"/>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9"/>
    <pivotTable tabId="6" name="PivotTable3"/>
    <pivotTable tabId="6" name="PivotTable4"/>
    <pivotTable tabId="6" name="PivotTable5"/>
    <pivotTable tabId="6" name="PivotTable6"/>
    <pivotTable tabId="6" name="PivotTable7"/>
    <pivotTable tabId="6" name="PivotTable9"/>
  </pivotTables>
  <data>
    <tabular pivotCacheId="82667444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00EC790-9C36-45D8-AA29-555F2B8BC249}" cache="Slicer_Product_Category" caption="Product Category" rowHeight="241300"/>
  <slicer name="Sub Category" xr10:uid="{9C6739B4-B0C6-47E9-B57B-ED75E5806BF1}" cache="Slicer_Sub_Category" caption="Sub Category" rowHeight="241300"/>
  <slicer name="Years (Order Date)" xr10:uid="{D5211530-60E6-461E-B3EE-58AE4358E8F6}" cache="Slicer_Years__Order_Date" caption="Years (Order Date)" rowHeight="241300"/>
  <slicer name="State" xr10:uid="{FDD4D7D7-B8D3-4061-A73B-8EFDED7131A2}" cache="Slicer_State1"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F31599B-6E2E-425A-B300-33DA3119EA90}" cache="Slicer_Years__Order_Date" caption="Years (Order Date)" style="SlicerStyleLight3" rowHeight="241300"/>
  <slicer name="State 1" xr10:uid="{8E23E097-6883-4049-B3B0-4BAC77FBF89F}" cache="Slicer_State1" caption="Stat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26"/>
  <sheetViews>
    <sheetView topLeftCell="B1" zoomScale="80" workbookViewId="0">
      <selection activeCell="B32" sqref="B32"/>
    </sheetView>
  </sheetViews>
  <sheetFormatPr defaultRowHeight="14.4" x14ac:dyDescent="0.3"/>
  <cols>
    <col min="1" max="1" width="10.21875" bestFit="1" customWidth="1"/>
    <col min="2" max="2" width="21.21875" bestFit="1" customWidth="1"/>
    <col min="3" max="3" width="12.109375" bestFit="1" customWidth="1"/>
    <col min="4" max="4" width="5.77734375" bestFit="1" customWidth="1"/>
    <col min="5" max="5" width="16.21875" bestFit="1" customWidth="1"/>
    <col min="6" max="6" width="13.109375" bestFit="1" customWidth="1"/>
    <col min="7" max="7" width="11.77734375" bestFit="1" customWidth="1"/>
    <col min="8" max="8" width="8.21875" bestFit="1" customWidth="1"/>
    <col min="9" max="9" width="12" bestFit="1" customWidth="1"/>
    <col min="10" max="10" width="10.109375" bestFit="1" customWidth="1"/>
    <col min="11" max="11" width="22.21875" bestFit="1" customWidth="1"/>
    <col min="12" max="12" width="12.77734375" bestFit="1" customWidth="1"/>
    <col min="13" max="13" width="14.44140625" bestFit="1" customWidth="1"/>
    <col min="14" max="14" width="15.5546875" bestFit="1" customWidth="1"/>
    <col min="15" max="15" width="13.33203125" bestFit="1" customWidth="1"/>
    <col min="16" max="16" width="12" bestFit="1" customWidth="1"/>
    <col min="17" max="17" width="13.21875" bestFit="1" customWidth="1"/>
    <col min="18" max="18" width="22.554687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v>45745</v>
      </c>
      <c r="B2" t="s">
        <v>18</v>
      </c>
      <c r="C2" t="s">
        <v>1117</v>
      </c>
      <c r="D2" t="s">
        <v>1133</v>
      </c>
      <c r="E2" t="s">
        <v>1137</v>
      </c>
      <c r="F2" t="s">
        <v>1149</v>
      </c>
      <c r="G2" t="s">
        <v>1152</v>
      </c>
      <c r="H2">
        <v>3</v>
      </c>
      <c r="I2">
        <v>33320</v>
      </c>
      <c r="J2">
        <v>5</v>
      </c>
      <c r="K2">
        <v>31654</v>
      </c>
      <c r="L2">
        <v>94962</v>
      </c>
      <c r="M2">
        <v>1500</v>
      </c>
      <c r="N2" t="s">
        <v>1159</v>
      </c>
      <c r="O2" t="s">
        <v>1162</v>
      </c>
      <c r="Q2">
        <v>2</v>
      </c>
      <c r="R2" t="s">
        <v>1166</v>
      </c>
    </row>
    <row r="3" spans="1:18" x14ac:dyDescent="0.3">
      <c r="A3" s="2">
        <v>45785</v>
      </c>
      <c r="B3" t="s">
        <v>19</v>
      </c>
      <c r="C3" t="s">
        <v>1118</v>
      </c>
      <c r="D3" t="s">
        <v>1134</v>
      </c>
      <c r="E3" t="s">
        <v>1138</v>
      </c>
      <c r="F3" t="s">
        <v>1149</v>
      </c>
      <c r="G3" t="s">
        <v>1153</v>
      </c>
      <c r="H3">
        <v>3</v>
      </c>
      <c r="I3">
        <v>39875</v>
      </c>
      <c r="J3">
        <v>0</v>
      </c>
      <c r="K3">
        <v>39875</v>
      </c>
      <c r="L3">
        <v>119625</v>
      </c>
      <c r="M3">
        <v>2000</v>
      </c>
      <c r="N3" t="s">
        <v>1160</v>
      </c>
      <c r="O3" t="s">
        <v>1163</v>
      </c>
      <c r="Q3">
        <v>2</v>
      </c>
    </row>
    <row r="4" spans="1:18" x14ac:dyDescent="0.3">
      <c r="A4" s="2">
        <v>45729</v>
      </c>
      <c r="B4" t="s">
        <v>20</v>
      </c>
      <c r="C4" t="s">
        <v>1119</v>
      </c>
      <c r="D4" t="s">
        <v>1134</v>
      </c>
      <c r="E4" t="s">
        <v>1139</v>
      </c>
      <c r="F4" t="s">
        <v>1150</v>
      </c>
      <c r="G4" t="s">
        <v>1154</v>
      </c>
      <c r="H4">
        <v>2</v>
      </c>
      <c r="I4">
        <v>47070</v>
      </c>
      <c r="J4">
        <v>10</v>
      </c>
      <c r="K4">
        <v>42363</v>
      </c>
      <c r="L4">
        <v>84726</v>
      </c>
      <c r="M4">
        <v>1500</v>
      </c>
      <c r="N4" t="s">
        <v>1159</v>
      </c>
      <c r="O4" t="s">
        <v>1163</v>
      </c>
      <c r="Q4">
        <v>4</v>
      </c>
      <c r="R4" t="s">
        <v>1167</v>
      </c>
    </row>
    <row r="5" spans="1:18" x14ac:dyDescent="0.3">
      <c r="A5" s="2">
        <v>45787</v>
      </c>
      <c r="B5" t="s">
        <v>21</v>
      </c>
      <c r="C5" t="s">
        <v>1120</v>
      </c>
      <c r="D5" t="s">
        <v>1135</v>
      </c>
      <c r="E5" t="s">
        <v>1139</v>
      </c>
      <c r="F5" t="s">
        <v>1150</v>
      </c>
      <c r="G5" t="s">
        <v>1154</v>
      </c>
      <c r="H5">
        <v>5</v>
      </c>
      <c r="I5">
        <v>54880</v>
      </c>
      <c r="J5">
        <v>5</v>
      </c>
      <c r="K5">
        <v>52136</v>
      </c>
      <c r="L5">
        <v>260680</v>
      </c>
      <c r="M5">
        <v>2000</v>
      </c>
      <c r="N5" t="s">
        <v>1161</v>
      </c>
      <c r="O5" t="s">
        <v>1162</v>
      </c>
      <c r="R5" t="s">
        <v>1166</v>
      </c>
    </row>
    <row r="6" spans="1:18" x14ac:dyDescent="0.3">
      <c r="A6" s="2">
        <v>45722</v>
      </c>
      <c r="B6" t="s">
        <v>22</v>
      </c>
      <c r="C6" t="s">
        <v>1120</v>
      </c>
      <c r="D6" t="s">
        <v>1135</v>
      </c>
      <c r="E6" t="s">
        <v>1140</v>
      </c>
      <c r="F6" t="s">
        <v>1150</v>
      </c>
      <c r="G6" t="s">
        <v>1154</v>
      </c>
      <c r="H6">
        <v>2</v>
      </c>
      <c r="I6">
        <v>52797</v>
      </c>
      <c r="J6">
        <v>15</v>
      </c>
      <c r="K6">
        <v>44877.45</v>
      </c>
      <c r="L6">
        <v>89754.9</v>
      </c>
      <c r="M6">
        <v>2000</v>
      </c>
      <c r="N6" t="s">
        <v>1160</v>
      </c>
      <c r="O6" t="s">
        <v>1164</v>
      </c>
      <c r="P6" s="2">
        <v>45726</v>
      </c>
      <c r="Q6">
        <v>4</v>
      </c>
      <c r="R6" t="s">
        <v>1167</v>
      </c>
    </row>
    <row r="7" spans="1:18" x14ac:dyDescent="0.3">
      <c r="A7" s="2">
        <v>45701</v>
      </c>
      <c r="B7" t="s">
        <v>23</v>
      </c>
      <c r="C7" t="s">
        <v>1121</v>
      </c>
      <c r="D7" t="s">
        <v>1136</v>
      </c>
      <c r="E7" t="s">
        <v>1141</v>
      </c>
      <c r="F7" t="s">
        <v>1151</v>
      </c>
      <c r="G7" t="s">
        <v>1155</v>
      </c>
      <c r="H7">
        <v>1</v>
      </c>
      <c r="I7">
        <v>6189</v>
      </c>
      <c r="J7">
        <v>5</v>
      </c>
      <c r="K7">
        <v>5879.55</v>
      </c>
      <c r="L7">
        <v>5879.55</v>
      </c>
      <c r="M7">
        <v>2000</v>
      </c>
      <c r="N7" t="s">
        <v>1160</v>
      </c>
      <c r="O7" t="s">
        <v>1163</v>
      </c>
      <c r="Q7">
        <v>5</v>
      </c>
      <c r="R7" t="s">
        <v>1168</v>
      </c>
    </row>
    <row r="8" spans="1:18" x14ac:dyDescent="0.3">
      <c r="A8" s="2">
        <v>45763</v>
      </c>
      <c r="B8" t="s">
        <v>24</v>
      </c>
      <c r="C8" t="s">
        <v>1119</v>
      </c>
      <c r="D8" t="s">
        <v>1134</v>
      </c>
      <c r="E8" t="s">
        <v>1142</v>
      </c>
      <c r="F8" t="s">
        <v>1150</v>
      </c>
      <c r="G8" t="s">
        <v>1156</v>
      </c>
      <c r="H8">
        <v>2</v>
      </c>
      <c r="I8">
        <v>67765</v>
      </c>
      <c r="J8">
        <v>20</v>
      </c>
      <c r="K8">
        <v>54212</v>
      </c>
      <c r="L8">
        <v>108424</v>
      </c>
      <c r="M8">
        <v>1500</v>
      </c>
      <c r="N8" t="s">
        <v>1160</v>
      </c>
      <c r="O8" t="s">
        <v>1164</v>
      </c>
      <c r="P8" s="2">
        <v>45774</v>
      </c>
      <c r="Q8">
        <v>5</v>
      </c>
      <c r="R8" t="s">
        <v>1167</v>
      </c>
    </row>
    <row r="9" spans="1:18" x14ac:dyDescent="0.3">
      <c r="A9" s="2">
        <v>45664</v>
      </c>
      <c r="B9" t="s">
        <v>25</v>
      </c>
      <c r="C9" t="s">
        <v>1122</v>
      </c>
      <c r="D9" t="s">
        <v>1136</v>
      </c>
      <c r="E9" t="s">
        <v>1140</v>
      </c>
      <c r="F9" t="s">
        <v>1150</v>
      </c>
      <c r="G9" t="s">
        <v>1154</v>
      </c>
      <c r="H9">
        <v>1</v>
      </c>
      <c r="I9">
        <v>26589</v>
      </c>
      <c r="J9">
        <v>10</v>
      </c>
      <c r="K9">
        <v>23930.1</v>
      </c>
      <c r="L9">
        <v>23930.1</v>
      </c>
      <c r="M9">
        <v>1000</v>
      </c>
      <c r="N9" t="s">
        <v>1160</v>
      </c>
      <c r="O9" t="s">
        <v>1164</v>
      </c>
      <c r="P9" s="2">
        <v>45666</v>
      </c>
      <c r="Q9">
        <v>1</v>
      </c>
      <c r="R9" t="s">
        <v>1169</v>
      </c>
    </row>
    <row r="10" spans="1:18" x14ac:dyDescent="0.3">
      <c r="A10" s="2">
        <v>45744</v>
      </c>
      <c r="B10" t="s">
        <v>26</v>
      </c>
      <c r="C10" t="s">
        <v>1123</v>
      </c>
      <c r="D10" t="s">
        <v>1135</v>
      </c>
      <c r="E10" t="s">
        <v>1143</v>
      </c>
      <c r="F10" t="s">
        <v>1151</v>
      </c>
      <c r="G10" t="s">
        <v>1157</v>
      </c>
      <c r="H10">
        <v>4</v>
      </c>
      <c r="I10">
        <v>65890</v>
      </c>
      <c r="J10">
        <v>0</v>
      </c>
      <c r="K10">
        <v>65890</v>
      </c>
      <c r="L10">
        <v>263560</v>
      </c>
      <c r="M10">
        <v>1500</v>
      </c>
      <c r="N10" t="s">
        <v>1160</v>
      </c>
      <c r="O10" t="s">
        <v>1162</v>
      </c>
      <c r="Q10">
        <v>4</v>
      </c>
      <c r="R10" t="s">
        <v>1170</v>
      </c>
    </row>
    <row r="11" spans="1:18" x14ac:dyDescent="0.3">
      <c r="A11" s="2">
        <v>45791</v>
      </c>
      <c r="B11" t="s">
        <v>27</v>
      </c>
      <c r="C11" t="s">
        <v>1124</v>
      </c>
      <c r="D11" t="s">
        <v>1135</v>
      </c>
      <c r="E11" t="s">
        <v>1144</v>
      </c>
      <c r="F11" t="s">
        <v>1151</v>
      </c>
      <c r="G11" t="s">
        <v>1157</v>
      </c>
      <c r="H11">
        <v>4</v>
      </c>
      <c r="I11">
        <v>11925</v>
      </c>
      <c r="J11">
        <v>10</v>
      </c>
      <c r="K11">
        <v>10732.5</v>
      </c>
      <c r="L11">
        <v>42930</v>
      </c>
      <c r="M11">
        <v>1000</v>
      </c>
      <c r="N11" t="s">
        <v>1159</v>
      </c>
      <c r="O11" t="s">
        <v>1163</v>
      </c>
      <c r="R11" t="s">
        <v>1166</v>
      </c>
    </row>
    <row r="12" spans="1:18" x14ac:dyDescent="0.3">
      <c r="A12" s="2">
        <v>45695</v>
      </c>
      <c r="B12" t="s">
        <v>28</v>
      </c>
      <c r="C12" t="s">
        <v>1122</v>
      </c>
      <c r="D12" t="s">
        <v>1136</v>
      </c>
      <c r="E12" t="s">
        <v>1145</v>
      </c>
      <c r="F12" t="s">
        <v>1149</v>
      </c>
      <c r="G12" t="s">
        <v>1153</v>
      </c>
      <c r="H12">
        <v>4</v>
      </c>
      <c r="I12">
        <v>22224</v>
      </c>
      <c r="J12">
        <v>10</v>
      </c>
      <c r="K12">
        <v>20001.599999999999</v>
      </c>
      <c r="L12">
        <v>80006.399999999994</v>
      </c>
      <c r="M12">
        <v>1000</v>
      </c>
      <c r="N12" t="s">
        <v>1160</v>
      </c>
      <c r="O12" t="s">
        <v>1162</v>
      </c>
      <c r="Q12">
        <v>3</v>
      </c>
      <c r="R12" t="s">
        <v>1170</v>
      </c>
    </row>
    <row r="13" spans="1:18" x14ac:dyDescent="0.3">
      <c r="A13" s="2">
        <v>45690</v>
      </c>
      <c r="B13" t="s">
        <v>29</v>
      </c>
      <c r="C13" t="s">
        <v>1125</v>
      </c>
      <c r="D13" t="s">
        <v>1133</v>
      </c>
      <c r="E13" t="s">
        <v>1146</v>
      </c>
      <c r="F13" t="s">
        <v>1151</v>
      </c>
      <c r="G13" t="s">
        <v>1155</v>
      </c>
      <c r="H13">
        <v>1</v>
      </c>
      <c r="I13">
        <v>18244</v>
      </c>
      <c r="J13">
        <v>5</v>
      </c>
      <c r="K13">
        <v>17331.8</v>
      </c>
      <c r="L13">
        <v>17331.8</v>
      </c>
      <c r="M13">
        <v>1000</v>
      </c>
      <c r="N13" t="s">
        <v>1159</v>
      </c>
      <c r="O13" t="s">
        <v>1162</v>
      </c>
      <c r="Q13">
        <v>4</v>
      </c>
      <c r="R13" t="s">
        <v>1168</v>
      </c>
    </row>
    <row r="14" spans="1:18" x14ac:dyDescent="0.3">
      <c r="A14" s="2">
        <v>45738</v>
      </c>
      <c r="B14" t="s">
        <v>30</v>
      </c>
      <c r="C14" t="s">
        <v>1121</v>
      </c>
      <c r="D14" t="s">
        <v>1136</v>
      </c>
      <c r="E14" t="s">
        <v>1145</v>
      </c>
      <c r="F14" t="s">
        <v>1149</v>
      </c>
      <c r="G14" t="s">
        <v>1153</v>
      </c>
      <c r="H14">
        <v>4</v>
      </c>
      <c r="I14">
        <v>57645</v>
      </c>
      <c r="J14">
        <v>5</v>
      </c>
      <c r="K14">
        <v>54762.75</v>
      </c>
      <c r="L14">
        <v>219051</v>
      </c>
      <c r="M14">
        <v>2000</v>
      </c>
      <c r="N14" t="s">
        <v>1161</v>
      </c>
      <c r="O14" t="s">
        <v>1164</v>
      </c>
      <c r="P14" s="2">
        <v>45752</v>
      </c>
      <c r="Q14">
        <v>4</v>
      </c>
      <c r="R14" t="s">
        <v>1167</v>
      </c>
    </row>
    <row r="15" spans="1:18" x14ac:dyDescent="0.3">
      <c r="A15" s="2">
        <v>45703</v>
      </c>
      <c r="B15" t="s">
        <v>31</v>
      </c>
      <c r="C15" t="s">
        <v>1124</v>
      </c>
      <c r="D15" t="s">
        <v>1135</v>
      </c>
      <c r="E15" t="s">
        <v>1146</v>
      </c>
      <c r="F15" t="s">
        <v>1151</v>
      </c>
      <c r="G15" t="s">
        <v>1155</v>
      </c>
      <c r="H15">
        <v>3</v>
      </c>
      <c r="I15">
        <v>45286</v>
      </c>
      <c r="J15">
        <v>20</v>
      </c>
      <c r="K15">
        <v>36228.800000000003</v>
      </c>
      <c r="L15">
        <v>108686.39999999999</v>
      </c>
      <c r="M15">
        <v>1000</v>
      </c>
      <c r="N15" t="s">
        <v>1161</v>
      </c>
      <c r="O15" t="s">
        <v>1164</v>
      </c>
      <c r="P15" s="2">
        <v>45712</v>
      </c>
    </row>
    <row r="16" spans="1:18" x14ac:dyDescent="0.3">
      <c r="A16" s="2">
        <v>45732</v>
      </c>
      <c r="B16" t="s">
        <v>32</v>
      </c>
      <c r="C16" t="s">
        <v>1126</v>
      </c>
      <c r="D16" t="s">
        <v>1133</v>
      </c>
      <c r="E16" t="s">
        <v>1142</v>
      </c>
      <c r="F16" t="s">
        <v>1150</v>
      </c>
      <c r="G16" t="s">
        <v>1156</v>
      </c>
      <c r="H16">
        <v>1</v>
      </c>
      <c r="I16">
        <v>23864</v>
      </c>
      <c r="J16">
        <v>0</v>
      </c>
      <c r="K16">
        <v>23864</v>
      </c>
      <c r="L16">
        <v>23864</v>
      </c>
      <c r="M16">
        <v>1500</v>
      </c>
      <c r="N16" t="s">
        <v>1161</v>
      </c>
      <c r="O16" t="s">
        <v>1164</v>
      </c>
      <c r="P16" s="2">
        <v>45736</v>
      </c>
      <c r="Q16">
        <v>2</v>
      </c>
      <c r="R16" t="s">
        <v>1170</v>
      </c>
    </row>
    <row r="17" spans="1:18" x14ac:dyDescent="0.3">
      <c r="A17" s="2">
        <v>45690</v>
      </c>
      <c r="B17" t="s">
        <v>33</v>
      </c>
      <c r="C17" t="s">
        <v>1126</v>
      </c>
      <c r="D17" t="s">
        <v>1133</v>
      </c>
      <c r="E17" t="s">
        <v>1144</v>
      </c>
      <c r="F17" t="s">
        <v>1151</v>
      </c>
      <c r="G17" t="s">
        <v>1157</v>
      </c>
      <c r="H17">
        <v>5</v>
      </c>
      <c r="I17">
        <v>67834</v>
      </c>
      <c r="J17">
        <v>15</v>
      </c>
      <c r="K17">
        <v>57658.9</v>
      </c>
      <c r="L17">
        <v>288294.5</v>
      </c>
      <c r="M17">
        <v>1500</v>
      </c>
      <c r="N17" t="s">
        <v>1161</v>
      </c>
      <c r="O17" t="s">
        <v>1163</v>
      </c>
      <c r="Q17">
        <v>5</v>
      </c>
    </row>
    <row r="18" spans="1:18" x14ac:dyDescent="0.3">
      <c r="A18" s="2">
        <v>45702</v>
      </c>
      <c r="B18" t="s">
        <v>34</v>
      </c>
      <c r="C18" t="s">
        <v>1117</v>
      </c>
      <c r="D18" t="s">
        <v>1133</v>
      </c>
      <c r="E18" t="s">
        <v>1146</v>
      </c>
      <c r="F18" t="s">
        <v>1151</v>
      </c>
      <c r="G18" t="s">
        <v>1155</v>
      </c>
      <c r="H18">
        <v>3</v>
      </c>
      <c r="I18">
        <v>36610</v>
      </c>
      <c r="J18">
        <v>10</v>
      </c>
      <c r="K18">
        <v>32949</v>
      </c>
      <c r="L18">
        <v>98847</v>
      </c>
      <c r="M18">
        <v>2000</v>
      </c>
      <c r="N18" t="s">
        <v>1160</v>
      </c>
      <c r="O18" t="s">
        <v>1162</v>
      </c>
      <c r="Q18">
        <v>1</v>
      </c>
      <c r="R18" t="s">
        <v>1169</v>
      </c>
    </row>
    <row r="19" spans="1:18" x14ac:dyDescent="0.3">
      <c r="A19" s="2">
        <v>45681</v>
      </c>
      <c r="B19" t="s">
        <v>35</v>
      </c>
      <c r="C19" t="s">
        <v>1127</v>
      </c>
      <c r="D19" t="s">
        <v>1134</v>
      </c>
      <c r="E19" t="s">
        <v>1143</v>
      </c>
      <c r="F19" t="s">
        <v>1151</v>
      </c>
      <c r="G19" t="s">
        <v>1157</v>
      </c>
      <c r="H19">
        <v>4</v>
      </c>
      <c r="I19">
        <v>54312</v>
      </c>
      <c r="J19">
        <v>15</v>
      </c>
      <c r="K19">
        <v>46165.2</v>
      </c>
      <c r="L19">
        <v>184660.8</v>
      </c>
      <c r="M19">
        <v>1500</v>
      </c>
      <c r="N19" t="s">
        <v>1161</v>
      </c>
      <c r="O19" t="s">
        <v>1163</v>
      </c>
      <c r="Q19">
        <v>5</v>
      </c>
      <c r="R19" t="s">
        <v>1166</v>
      </c>
    </row>
    <row r="20" spans="1:18" x14ac:dyDescent="0.3">
      <c r="A20" s="2">
        <v>45811</v>
      </c>
      <c r="B20" t="s">
        <v>36</v>
      </c>
      <c r="C20" t="s">
        <v>1122</v>
      </c>
      <c r="D20" t="s">
        <v>1136</v>
      </c>
      <c r="E20" t="s">
        <v>1147</v>
      </c>
      <c r="F20" t="s">
        <v>1150</v>
      </c>
      <c r="G20" t="s">
        <v>1156</v>
      </c>
      <c r="H20">
        <v>1</v>
      </c>
      <c r="I20">
        <v>20293</v>
      </c>
      <c r="J20">
        <v>5</v>
      </c>
      <c r="K20">
        <v>19278.349999999999</v>
      </c>
      <c r="L20">
        <v>19278.349999999999</v>
      </c>
      <c r="M20">
        <v>2000</v>
      </c>
      <c r="N20" t="s">
        <v>1161</v>
      </c>
      <c r="O20" t="s">
        <v>1162</v>
      </c>
      <c r="Q20">
        <v>3</v>
      </c>
      <c r="R20" t="s">
        <v>1168</v>
      </c>
    </row>
    <row r="21" spans="1:18" x14ac:dyDescent="0.3">
      <c r="A21" s="2">
        <v>45763</v>
      </c>
      <c r="B21" t="s">
        <v>37</v>
      </c>
      <c r="C21" t="s">
        <v>1118</v>
      </c>
      <c r="D21" t="s">
        <v>1134</v>
      </c>
      <c r="E21" t="s">
        <v>1148</v>
      </c>
      <c r="F21" t="s">
        <v>1149</v>
      </c>
      <c r="G21" t="s">
        <v>1152</v>
      </c>
      <c r="H21">
        <v>4</v>
      </c>
      <c r="I21">
        <v>34049</v>
      </c>
      <c r="J21">
        <v>15</v>
      </c>
      <c r="K21">
        <v>28941.65</v>
      </c>
      <c r="L21">
        <v>115766.6</v>
      </c>
      <c r="M21">
        <v>1000</v>
      </c>
      <c r="N21" t="s">
        <v>1159</v>
      </c>
      <c r="O21" t="s">
        <v>1162</v>
      </c>
      <c r="Q21">
        <v>4</v>
      </c>
      <c r="R21" t="s">
        <v>1167</v>
      </c>
    </row>
    <row r="22" spans="1:18" x14ac:dyDescent="0.3">
      <c r="A22" s="2">
        <v>45786</v>
      </c>
      <c r="B22" t="s">
        <v>38</v>
      </c>
      <c r="C22" t="s">
        <v>1126</v>
      </c>
      <c r="D22" t="s">
        <v>1133</v>
      </c>
      <c r="E22" t="s">
        <v>1141</v>
      </c>
      <c r="F22" t="s">
        <v>1151</v>
      </c>
      <c r="G22" t="s">
        <v>1155</v>
      </c>
      <c r="H22">
        <v>1</v>
      </c>
      <c r="I22">
        <v>32887</v>
      </c>
      <c r="J22">
        <v>15</v>
      </c>
      <c r="K22">
        <v>27953.95</v>
      </c>
      <c r="L22">
        <v>27953.95</v>
      </c>
      <c r="M22">
        <v>1500</v>
      </c>
      <c r="N22" t="s">
        <v>1159</v>
      </c>
      <c r="O22" t="s">
        <v>1164</v>
      </c>
      <c r="P22" s="2">
        <v>45799</v>
      </c>
      <c r="Q22">
        <v>1</v>
      </c>
      <c r="R22" t="s">
        <v>1168</v>
      </c>
    </row>
    <row r="23" spans="1:18" x14ac:dyDescent="0.3">
      <c r="A23" s="2">
        <v>45741</v>
      </c>
      <c r="B23" t="s">
        <v>39</v>
      </c>
      <c r="C23" t="s">
        <v>1119</v>
      </c>
      <c r="D23" t="s">
        <v>1134</v>
      </c>
      <c r="E23" t="s">
        <v>1138</v>
      </c>
      <c r="F23" t="s">
        <v>1149</v>
      </c>
      <c r="G23" t="s">
        <v>1153</v>
      </c>
      <c r="H23">
        <v>5</v>
      </c>
      <c r="I23">
        <v>35966</v>
      </c>
      <c r="J23">
        <v>10</v>
      </c>
      <c r="K23">
        <v>32369.4</v>
      </c>
      <c r="L23">
        <v>161847</v>
      </c>
      <c r="M23">
        <v>1000</v>
      </c>
      <c r="N23" t="s">
        <v>1159</v>
      </c>
      <c r="O23" t="s">
        <v>1162</v>
      </c>
      <c r="Q23">
        <v>5</v>
      </c>
      <c r="R23" t="s">
        <v>1169</v>
      </c>
    </row>
    <row r="24" spans="1:18" x14ac:dyDescent="0.3">
      <c r="A24" s="2">
        <v>45719</v>
      </c>
      <c r="B24" t="s">
        <v>40</v>
      </c>
      <c r="C24" t="s">
        <v>1127</v>
      </c>
      <c r="D24" t="s">
        <v>1134</v>
      </c>
      <c r="E24" t="s">
        <v>1147</v>
      </c>
      <c r="F24" t="s">
        <v>1150</v>
      </c>
      <c r="G24" t="s">
        <v>1156</v>
      </c>
      <c r="H24">
        <v>5</v>
      </c>
      <c r="I24">
        <v>57029</v>
      </c>
      <c r="J24">
        <v>10</v>
      </c>
      <c r="K24">
        <v>51326.1</v>
      </c>
      <c r="L24">
        <v>256630.5</v>
      </c>
      <c r="M24">
        <v>1000</v>
      </c>
      <c r="N24" t="s">
        <v>1160</v>
      </c>
      <c r="O24" t="s">
        <v>1162</v>
      </c>
      <c r="Q24">
        <v>1</v>
      </c>
    </row>
    <row r="25" spans="1:18" x14ac:dyDescent="0.3">
      <c r="A25" s="2">
        <v>45677</v>
      </c>
      <c r="B25" t="s">
        <v>41</v>
      </c>
      <c r="C25" t="s">
        <v>1118</v>
      </c>
      <c r="D25" t="s">
        <v>1134</v>
      </c>
      <c r="E25" t="s">
        <v>1147</v>
      </c>
      <c r="F25" t="s">
        <v>1150</v>
      </c>
      <c r="G25" t="s">
        <v>1156</v>
      </c>
      <c r="H25">
        <v>3</v>
      </c>
      <c r="I25">
        <v>46639</v>
      </c>
      <c r="J25">
        <v>5</v>
      </c>
      <c r="K25">
        <v>44307.05</v>
      </c>
      <c r="L25">
        <v>132921.15</v>
      </c>
      <c r="M25">
        <v>2000</v>
      </c>
      <c r="N25" t="s">
        <v>1159</v>
      </c>
      <c r="O25" t="s">
        <v>1162</v>
      </c>
      <c r="Q25">
        <v>2</v>
      </c>
      <c r="R25" t="s">
        <v>1170</v>
      </c>
    </row>
    <row r="26" spans="1:18" x14ac:dyDescent="0.3">
      <c r="A26" s="2">
        <v>45831</v>
      </c>
      <c r="B26" t="s">
        <v>42</v>
      </c>
      <c r="C26" t="s">
        <v>1118</v>
      </c>
      <c r="D26" t="s">
        <v>1134</v>
      </c>
      <c r="E26" t="s">
        <v>1139</v>
      </c>
      <c r="F26" t="s">
        <v>1150</v>
      </c>
      <c r="G26" t="s">
        <v>1154</v>
      </c>
      <c r="H26">
        <v>2</v>
      </c>
      <c r="I26">
        <v>51438</v>
      </c>
      <c r="J26">
        <v>20</v>
      </c>
      <c r="K26">
        <v>41150.400000000001</v>
      </c>
      <c r="L26">
        <v>82300.800000000003</v>
      </c>
      <c r="M26">
        <v>2000</v>
      </c>
      <c r="N26" t="s">
        <v>1161</v>
      </c>
      <c r="O26" t="s">
        <v>1163</v>
      </c>
      <c r="Q26">
        <v>5</v>
      </c>
      <c r="R26" t="s">
        <v>1170</v>
      </c>
    </row>
    <row r="27" spans="1:18" x14ac:dyDescent="0.3">
      <c r="A27" s="2">
        <v>45798</v>
      </c>
      <c r="B27" t="s">
        <v>43</v>
      </c>
      <c r="C27" t="s">
        <v>1127</v>
      </c>
      <c r="D27" t="s">
        <v>1134</v>
      </c>
      <c r="E27" t="s">
        <v>1145</v>
      </c>
      <c r="F27" t="s">
        <v>1149</v>
      </c>
      <c r="G27" t="s">
        <v>1153</v>
      </c>
      <c r="H27">
        <v>5</v>
      </c>
      <c r="I27">
        <v>14101</v>
      </c>
      <c r="J27">
        <v>15</v>
      </c>
      <c r="K27">
        <v>11985.85</v>
      </c>
      <c r="L27">
        <v>59929.25</v>
      </c>
      <c r="M27">
        <v>2000</v>
      </c>
      <c r="N27" t="s">
        <v>1160</v>
      </c>
      <c r="O27" t="s">
        <v>1164</v>
      </c>
      <c r="P27" s="2">
        <v>45803</v>
      </c>
      <c r="Q27">
        <v>3</v>
      </c>
      <c r="R27" t="s">
        <v>1169</v>
      </c>
    </row>
    <row r="28" spans="1:18" x14ac:dyDescent="0.3">
      <c r="A28" s="2">
        <v>45834</v>
      </c>
      <c r="B28" t="s">
        <v>44</v>
      </c>
      <c r="C28" t="s">
        <v>1128</v>
      </c>
      <c r="D28" t="s">
        <v>1135</v>
      </c>
      <c r="E28" t="s">
        <v>1141</v>
      </c>
      <c r="F28" t="s">
        <v>1151</v>
      </c>
      <c r="G28" t="s">
        <v>1155</v>
      </c>
      <c r="H28">
        <v>5</v>
      </c>
      <c r="I28">
        <v>9665</v>
      </c>
      <c r="J28">
        <v>0</v>
      </c>
      <c r="K28">
        <v>9665</v>
      </c>
      <c r="L28">
        <v>48325</v>
      </c>
      <c r="M28">
        <v>1500</v>
      </c>
      <c r="N28" t="s">
        <v>1161</v>
      </c>
      <c r="O28" t="s">
        <v>1163</v>
      </c>
      <c r="Q28">
        <v>5</v>
      </c>
      <c r="R28" t="s">
        <v>1170</v>
      </c>
    </row>
    <row r="29" spans="1:18" x14ac:dyDescent="0.3">
      <c r="A29" s="2">
        <v>45800</v>
      </c>
      <c r="B29" t="s">
        <v>45</v>
      </c>
      <c r="C29" t="s">
        <v>1129</v>
      </c>
      <c r="D29" t="s">
        <v>1133</v>
      </c>
      <c r="E29" t="s">
        <v>1138</v>
      </c>
      <c r="F29" t="s">
        <v>1149</v>
      </c>
      <c r="G29" t="s">
        <v>1153</v>
      </c>
      <c r="H29">
        <v>2</v>
      </c>
      <c r="I29">
        <v>31912</v>
      </c>
      <c r="J29">
        <v>15</v>
      </c>
      <c r="K29">
        <v>27125.200000000001</v>
      </c>
      <c r="L29">
        <v>54250.400000000001</v>
      </c>
      <c r="M29">
        <v>1000</v>
      </c>
      <c r="N29" t="s">
        <v>1160</v>
      </c>
      <c r="O29" t="s">
        <v>1162</v>
      </c>
      <c r="R29" t="s">
        <v>1170</v>
      </c>
    </row>
    <row r="30" spans="1:18" x14ac:dyDescent="0.3">
      <c r="A30" s="2">
        <v>45744</v>
      </c>
      <c r="B30" t="s">
        <v>46</v>
      </c>
      <c r="C30" t="s">
        <v>1130</v>
      </c>
      <c r="D30" t="s">
        <v>1136</v>
      </c>
      <c r="E30" t="s">
        <v>1140</v>
      </c>
      <c r="F30" t="s">
        <v>1150</v>
      </c>
      <c r="G30" t="s">
        <v>1154</v>
      </c>
      <c r="H30">
        <v>2</v>
      </c>
      <c r="I30">
        <v>25522</v>
      </c>
      <c r="J30">
        <v>5</v>
      </c>
      <c r="K30">
        <v>24245.9</v>
      </c>
      <c r="L30">
        <v>48491.8</v>
      </c>
      <c r="M30">
        <v>1500</v>
      </c>
      <c r="N30" t="s">
        <v>1159</v>
      </c>
      <c r="O30" t="s">
        <v>1163</v>
      </c>
      <c r="Q30">
        <v>3</v>
      </c>
      <c r="R30" t="s">
        <v>1169</v>
      </c>
    </row>
    <row r="31" spans="1:18" x14ac:dyDescent="0.3">
      <c r="A31" s="2">
        <v>45779</v>
      </c>
      <c r="B31" t="s">
        <v>47</v>
      </c>
      <c r="C31" t="s">
        <v>1121</v>
      </c>
      <c r="D31" t="s">
        <v>1136</v>
      </c>
      <c r="E31" t="s">
        <v>1139</v>
      </c>
      <c r="F31" t="s">
        <v>1150</v>
      </c>
      <c r="G31" t="s">
        <v>1154</v>
      </c>
      <c r="H31">
        <v>1</v>
      </c>
      <c r="I31">
        <v>76929</v>
      </c>
      <c r="J31">
        <v>5</v>
      </c>
      <c r="K31">
        <v>73082.55</v>
      </c>
      <c r="L31">
        <v>73082.55</v>
      </c>
      <c r="M31">
        <v>2000</v>
      </c>
      <c r="N31" t="s">
        <v>1161</v>
      </c>
      <c r="O31" t="s">
        <v>1163</v>
      </c>
      <c r="Q31">
        <v>4</v>
      </c>
      <c r="R31" t="s">
        <v>1170</v>
      </c>
    </row>
    <row r="32" spans="1:18" x14ac:dyDescent="0.3">
      <c r="A32" s="2">
        <v>45824</v>
      </c>
      <c r="B32" t="s">
        <v>48</v>
      </c>
      <c r="C32" t="s">
        <v>1123</v>
      </c>
      <c r="D32" t="s">
        <v>1135</v>
      </c>
      <c r="E32" t="s">
        <v>1141</v>
      </c>
      <c r="F32" t="s">
        <v>1151</v>
      </c>
      <c r="G32" t="s">
        <v>1155</v>
      </c>
      <c r="H32">
        <v>4</v>
      </c>
      <c r="I32">
        <v>77861</v>
      </c>
      <c r="J32">
        <v>0</v>
      </c>
      <c r="K32">
        <v>77861</v>
      </c>
      <c r="L32">
        <v>311444</v>
      </c>
      <c r="M32">
        <v>2000</v>
      </c>
      <c r="N32" t="s">
        <v>1159</v>
      </c>
      <c r="O32" t="s">
        <v>1164</v>
      </c>
      <c r="P32" s="2">
        <v>45827</v>
      </c>
      <c r="Q32">
        <v>4</v>
      </c>
      <c r="R32" t="s">
        <v>1167</v>
      </c>
    </row>
    <row r="33" spans="1:18" x14ac:dyDescent="0.3">
      <c r="A33" s="2">
        <v>45727</v>
      </c>
      <c r="B33" t="s">
        <v>49</v>
      </c>
      <c r="C33" t="s">
        <v>1120</v>
      </c>
      <c r="D33" t="s">
        <v>1135</v>
      </c>
      <c r="E33" t="s">
        <v>1139</v>
      </c>
      <c r="F33" t="s">
        <v>1150</v>
      </c>
      <c r="G33" t="s">
        <v>1154</v>
      </c>
      <c r="H33">
        <v>2</v>
      </c>
      <c r="I33">
        <v>61728</v>
      </c>
      <c r="J33">
        <v>5</v>
      </c>
      <c r="K33">
        <v>58641.599999999999</v>
      </c>
      <c r="L33">
        <v>117283.2</v>
      </c>
      <c r="M33">
        <v>1000</v>
      </c>
      <c r="N33" t="s">
        <v>1159</v>
      </c>
      <c r="O33" t="s">
        <v>1162</v>
      </c>
      <c r="Q33">
        <v>2</v>
      </c>
      <c r="R33" t="s">
        <v>1168</v>
      </c>
    </row>
    <row r="34" spans="1:18" x14ac:dyDescent="0.3">
      <c r="A34" s="2">
        <v>45691</v>
      </c>
      <c r="B34" t="s">
        <v>50</v>
      </c>
      <c r="C34" t="s">
        <v>1131</v>
      </c>
      <c r="D34" t="s">
        <v>1136</v>
      </c>
      <c r="E34" t="s">
        <v>1139</v>
      </c>
      <c r="F34" t="s">
        <v>1150</v>
      </c>
      <c r="G34" t="s">
        <v>1154</v>
      </c>
      <c r="H34">
        <v>3</v>
      </c>
      <c r="I34">
        <v>5557</v>
      </c>
      <c r="J34">
        <v>0</v>
      </c>
      <c r="K34">
        <v>5557</v>
      </c>
      <c r="L34">
        <v>16671</v>
      </c>
      <c r="M34">
        <v>1500</v>
      </c>
      <c r="N34" t="s">
        <v>1159</v>
      </c>
      <c r="O34" t="s">
        <v>1164</v>
      </c>
      <c r="P34" s="2">
        <v>45696</v>
      </c>
      <c r="Q34">
        <v>1</v>
      </c>
      <c r="R34" t="s">
        <v>1167</v>
      </c>
    </row>
    <row r="35" spans="1:18" x14ac:dyDescent="0.3">
      <c r="A35" s="2">
        <v>45836</v>
      </c>
      <c r="B35" t="s">
        <v>51</v>
      </c>
      <c r="C35" t="s">
        <v>1118</v>
      </c>
      <c r="D35" t="s">
        <v>1134</v>
      </c>
      <c r="E35" t="s">
        <v>1148</v>
      </c>
      <c r="F35" t="s">
        <v>1149</v>
      </c>
      <c r="G35" t="s">
        <v>1152</v>
      </c>
      <c r="H35">
        <v>1</v>
      </c>
      <c r="I35">
        <v>72388</v>
      </c>
      <c r="J35">
        <v>5</v>
      </c>
      <c r="K35">
        <v>68768.600000000006</v>
      </c>
      <c r="L35">
        <v>68768.600000000006</v>
      </c>
      <c r="M35">
        <v>2000</v>
      </c>
      <c r="N35" t="s">
        <v>1161</v>
      </c>
      <c r="O35" t="s">
        <v>1162</v>
      </c>
      <c r="Q35">
        <v>3</v>
      </c>
      <c r="R35" t="s">
        <v>1166</v>
      </c>
    </row>
    <row r="36" spans="1:18" x14ac:dyDescent="0.3">
      <c r="A36" s="2">
        <v>45699</v>
      </c>
      <c r="B36" t="s">
        <v>52</v>
      </c>
      <c r="C36" t="s">
        <v>1132</v>
      </c>
      <c r="D36" t="s">
        <v>1134</v>
      </c>
      <c r="E36" t="s">
        <v>1140</v>
      </c>
      <c r="F36" t="s">
        <v>1150</v>
      </c>
      <c r="G36" t="s">
        <v>1154</v>
      </c>
      <c r="H36">
        <v>2</v>
      </c>
      <c r="I36">
        <v>37848</v>
      </c>
      <c r="J36">
        <v>0</v>
      </c>
      <c r="K36">
        <v>37848</v>
      </c>
      <c r="L36">
        <v>75696</v>
      </c>
      <c r="M36">
        <v>1500</v>
      </c>
      <c r="N36" t="s">
        <v>1160</v>
      </c>
      <c r="O36" t="s">
        <v>1162</v>
      </c>
      <c r="Q36">
        <v>2</v>
      </c>
      <c r="R36" t="s">
        <v>1169</v>
      </c>
    </row>
    <row r="37" spans="1:18" x14ac:dyDescent="0.3">
      <c r="A37" s="2">
        <v>45748</v>
      </c>
      <c r="B37" t="s">
        <v>53</v>
      </c>
      <c r="C37" t="s">
        <v>1117</v>
      </c>
      <c r="D37" t="s">
        <v>1133</v>
      </c>
      <c r="E37" t="s">
        <v>1142</v>
      </c>
      <c r="F37" t="s">
        <v>1150</v>
      </c>
      <c r="G37" t="s">
        <v>1156</v>
      </c>
      <c r="H37">
        <v>5</v>
      </c>
      <c r="I37">
        <v>52938</v>
      </c>
      <c r="J37">
        <v>20</v>
      </c>
      <c r="K37">
        <v>42350.400000000001</v>
      </c>
      <c r="L37">
        <v>211752</v>
      </c>
      <c r="M37">
        <v>1500</v>
      </c>
      <c r="N37" t="s">
        <v>1159</v>
      </c>
      <c r="O37" t="s">
        <v>1164</v>
      </c>
      <c r="P37" s="2">
        <v>45762</v>
      </c>
      <c r="Q37">
        <v>1</v>
      </c>
      <c r="R37" t="s">
        <v>1169</v>
      </c>
    </row>
    <row r="38" spans="1:18" x14ac:dyDescent="0.3">
      <c r="A38" s="2">
        <v>45721</v>
      </c>
      <c r="B38" t="s">
        <v>54</v>
      </c>
      <c r="C38" t="s">
        <v>1128</v>
      </c>
      <c r="D38" t="s">
        <v>1135</v>
      </c>
      <c r="E38" t="s">
        <v>1148</v>
      </c>
      <c r="F38" t="s">
        <v>1149</v>
      </c>
      <c r="G38" t="s">
        <v>1152</v>
      </c>
      <c r="H38">
        <v>2</v>
      </c>
      <c r="I38">
        <v>38753</v>
      </c>
      <c r="J38">
        <v>10</v>
      </c>
      <c r="K38">
        <v>34877.699999999997</v>
      </c>
      <c r="L38">
        <v>69755.399999999994</v>
      </c>
      <c r="M38">
        <v>1500</v>
      </c>
      <c r="N38" t="s">
        <v>1159</v>
      </c>
      <c r="O38" t="s">
        <v>1164</v>
      </c>
      <c r="P38" s="2">
        <v>45730</v>
      </c>
      <c r="Q38">
        <v>1</v>
      </c>
    </row>
    <row r="39" spans="1:18" x14ac:dyDescent="0.3">
      <c r="A39" s="2">
        <v>45810</v>
      </c>
      <c r="B39" t="s">
        <v>55</v>
      </c>
      <c r="C39" t="s">
        <v>1117</v>
      </c>
      <c r="D39" t="s">
        <v>1133</v>
      </c>
      <c r="E39" t="s">
        <v>1137</v>
      </c>
      <c r="F39" t="s">
        <v>1149</v>
      </c>
      <c r="G39" t="s">
        <v>1152</v>
      </c>
      <c r="H39">
        <v>5</v>
      </c>
      <c r="I39">
        <v>77011</v>
      </c>
      <c r="J39">
        <v>0</v>
      </c>
      <c r="K39">
        <v>77011</v>
      </c>
      <c r="L39">
        <v>385055</v>
      </c>
      <c r="M39">
        <v>1000</v>
      </c>
      <c r="N39" t="s">
        <v>1161</v>
      </c>
      <c r="O39" t="s">
        <v>1163</v>
      </c>
      <c r="Q39">
        <v>4</v>
      </c>
      <c r="R39" t="s">
        <v>1167</v>
      </c>
    </row>
    <row r="40" spans="1:18" x14ac:dyDescent="0.3">
      <c r="A40" s="2">
        <v>45665</v>
      </c>
      <c r="B40" t="s">
        <v>56</v>
      </c>
      <c r="C40" t="s">
        <v>1119</v>
      </c>
      <c r="D40" t="s">
        <v>1134</v>
      </c>
      <c r="E40" t="s">
        <v>1142</v>
      </c>
      <c r="F40" t="s">
        <v>1150</v>
      </c>
      <c r="G40" t="s">
        <v>1156</v>
      </c>
      <c r="H40">
        <v>2</v>
      </c>
      <c r="I40">
        <v>30642</v>
      </c>
      <c r="J40">
        <v>10</v>
      </c>
      <c r="K40">
        <v>27577.8</v>
      </c>
      <c r="L40">
        <v>55155.6</v>
      </c>
      <c r="M40">
        <v>1500</v>
      </c>
      <c r="N40" t="s">
        <v>1159</v>
      </c>
      <c r="O40" t="s">
        <v>1164</v>
      </c>
      <c r="P40" s="2">
        <v>45672</v>
      </c>
      <c r="Q40">
        <v>4</v>
      </c>
      <c r="R40" t="s">
        <v>1170</v>
      </c>
    </row>
    <row r="41" spans="1:18" x14ac:dyDescent="0.3">
      <c r="A41" s="2">
        <v>45765</v>
      </c>
      <c r="B41" t="s">
        <v>57</v>
      </c>
      <c r="C41" t="s">
        <v>1126</v>
      </c>
      <c r="D41" t="s">
        <v>1133</v>
      </c>
      <c r="E41" t="s">
        <v>1140</v>
      </c>
      <c r="F41" t="s">
        <v>1150</v>
      </c>
      <c r="G41" t="s">
        <v>1154</v>
      </c>
      <c r="H41">
        <v>1</v>
      </c>
      <c r="I41">
        <v>11271</v>
      </c>
      <c r="J41">
        <v>5</v>
      </c>
      <c r="K41">
        <v>10707.45</v>
      </c>
      <c r="L41">
        <v>10707.45</v>
      </c>
      <c r="M41">
        <v>2000</v>
      </c>
      <c r="N41" t="s">
        <v>1160</v>
      </c>
      <c r="O41" t="s">
        <v>1162</v>
      </c>
      <c r="R41" t="s">
        <v>1170</v>
      </c>
    </row>
    <row r="42" spans="1:18" x14ac:dyDescent="0.3">
      <c r="A42" s="2">
        <v>45787</v>
      </c>
      <c r="B42" t="s">
        <v>58</v>
      </c>
      <c r="C42" t="s">
        <v>1125</v>
      </c>
      <c r="D42" t="s">
        <v>1133</v>
      </c>
      <c r="E42" t="s">
        <v>1142</v>
      </c>
      <c r="F42" t="s">
        <v>1150</v>
      </c>
      <c r="G42" t="s">
        <v>1156</v>
      </c>
      <c r="H42">
        <v>1</v>
      </c>
      <c r="I42">
        <v>52781</v>
      </c>
      <c r="J42">
        <v>20</v>
      </c>
      <c r="K42">
        <v>42224.800000000003</v>
      </c>
      <c r="L42">
        <v>42224.800000000003</v>
      </c>
      <c r="M42">
        <v>2000</v>
      </c>
      <c r="N42" t="s">
        <v>1160</v>
      </c>
      <c r="O42" t="s">
        <v>1162</v>
      </c>
      <c r="Q42">
        <v>5</v>
      </c>
      <c r="R42" t="s">
        <v>1170</v>
      </c>
    </row>
    <row r="43" spans="1:18" x14ac:dyDescent="0.3">
      <c r="A43" s="2">
        <v>45732</v>
      </c>
      <c r="B43" t="s">
        <v>59</v>
      </c>
      <c r="C43" t="s">
        <v>1128</v>
      </c>
      <c r="D43" t="s">
        <v>1135</v>
      </c>
      <c r="E43" t="s">
        <v>1147</v>
      </c>
      <c r="F43" t="s">
        <v>1150</v>
      </c>
      <c r="G43" t="s">
        <v>1156</v>
      </c>
      <c r="H43">
        <v>5</v>
      </c>
      <c r="I43">
        <v>42505</v>
      </c>
      <c r="J43">
        <v>5</v>
      </c>
      <c r="K43">
        <v>40379.75</v>
      </c>
      <c r="L43">
        <v>201898.75</v>
      </c>
      <c r="M43">
        <v>1000</v>
      </c>
      <c r="N43" t="s">
        <v>1159</v>
      </c>
      <c r="O43" t="s">
        <v>1164</v>
      </c>
      <c r="P43" s="2">
        <v>45746</v>
      </c>
      <c r="Q43">
        <v>5</v>
      </c>
      <c r="R43" t="s">
        <v>1168</v>
      </c>
    </row>
    <row r="44" spans="1:18" x14ac:dyDescent="0.3">
      <c r="A44" s="2">
        <v>45697</v>
      </c>
      <c r="B44" t="s">
        <v>60</v>
      </c>
      <c r="C44" t="s">
        <v>1120</v>
      </c>
      <c r="D44" t="s">
        <v>1135</v>
      </c>
      <c r="E44" t="s">
        <v>1148</v>
      </c>
      <c r="F44" t="s">
        <v>1149</v>
      </c>
      <c r="G44" t="s">
        <v>1152</v>
      </c>
      <c r="H44">
        <v>3</v>
      </c>
      <c r="I44">
        <v>11864</v>
      </c>
      <c r="J44">
        <v>10</v>
      </c>
      <c r="K44">
        <v>10677.6</v>
      </c>
      <c r="L44">
        <v>32032.799999999999</v>
      </c>
      <c r="M44">
        <v>1000</v>
      </c>
      <c r="N44" t="s">
        <v>1159</v>
      </c>
      <c r="O44" t="s">
        <v>1162</v>
      </c>
      <c r="Q44">
        <v>3</v>
      </c>
    </row>
    <row r="45" spans="1:18" x14ac:dyDescent="0.3">
      <c r="A45" s="2">
        <v>45664</v>
      </c>
      <c r="B45" t="s">
        <v>61</v>
      </c>
      <c r="C45" t="s">
        <v>1118</v>
      </c>
      <c r="D45" t="s">
        <v>1134</v>
      </c>
      <c r="E45" t="s">
        <v>1138</v>
      </c>
      <c r="F45" t="s">
        <v>1149</v>
      </c>
      <c r="G45" t="s">
        <v>1153</v>
      </c>
      <c r="H45">
        <v>1</v>
      </c>
      <c r="I45">
        <v>59318</v>
      </c>
      <c r="J45">
        <v>0</v>
      </c>
      <c r="K45">
        <v>59318</v>
      </c>
      <c r="L45">
        <v>59318</v>
      </c>
      <c r="M45">
        <v>1000</v>
      </c>
      <c r="N45" t="s">
        <v>1159</v>
      </c>
      <c r="O45" t="s">
        <v>1164</v>
      </c>
      <c r="P45" s="2">
        <v>45676</v>
      </c>
      <c r="Q45">
        <v>4</v>
      </c>
      <c r="R45" t="s">
        <v>1167</v>
      </c>
    </row>
    <row r="46" spans="1:18" x14ac:dyDescent="0.3">
      <c r="A46" s="2">
        <v>45672</v>
      </c>
      <c r="B46" t="s">
        <v>62</v>
      </c>
      <c r="C46" t="s">
        <v>1129</v>
      </c>
      <c r="D46" t="s">
        <v>1133</v>
      </c>
      <c r="E46" t="s">
        <v>1145</v>
      </c>
      <c r="F46" t="s">
        <v>1149</v>
      </c>
      <c r="G46" t="s">
        <v>1153</v>
      </c>
      <c r="H46">
        <v>4</v>
      </c>
      <c r="I46">
        <v>9701</v>
      </c>
      <c r="J46">
        <v>20</v>
      </c>
      <c r="K46">
        <v>7760.8</v>
      </c>
      <c r="L46">
        <v>31043.200000000001</v>
      </c>
      <c r="M46">
        <v>1500</v>
      </c>
      <c r="N46" t="s">
        <v>1161</v>
      </c>
      <c r="O46" t="s">
        <v>1163</v>
      </c>
      <c r="Q46">
        <v>5</v>
      </c>
      <c r="R46" t="s">
        <v>1167</v>
      </c>
    </row>
    <row r="47" spans="1:18" x14ac:dyDescent="0.3">
      <c r="A47" s="2">
        <v>45700</v>
      </c>
      <c r="B47" t="s">
        <v>63</v>
      </c>
      <c r="C47" t="s">
        <v>1122</v>
      </c>
      <c r="D47" t="s">
        <v>1136</v>
      </c>
      <c r="E47" t="s">
        <v>1144</v>
      </c>
      <c r="F47" t="s">
        <v>1151</v>
      </c>
      <c r="G47" t="s">
        <v>1157</v>
      </c>
      <c r="H47">
        <v>3</v>
      </c>
      <c r="I47">
        <v>48321</v>
      </c>
      <c r="J47">
        <v>0</v>
      </c>
      <c r="K47">
        <v>48321</v>
      </c>
      <c r="L47">
        <v>144963</v>
      </c>
      <c r="M47">
        <v>2000</v>
      </c>
      <c r="N47" t="s">
        <v>1159</v>
      </c>
      <c r="O47" t="s">
        <v>1162</v>
      </c>
      <c r="Q47">
        <v>4</v>
      </c>
      <c r="R47" t="s">
        <v>1168</v>
      </c>
    </row>
    <row r="48" spans="1:18" x14ac:dyDescent="0.3">
      <c r="A48" s="2">
        <v>45701</v>
      </c>
      <c r="B48" t="s">
        <v>64</v>
      </c>
      <c r="C48" t="s">
        <v>1124</v>
      </c>
      <c r="D48" t="s">
        <v>1135</v>
      </c>
      <c r="E48" t="s">
        <v>1137</v>
      </c>
      <c r="F48" t="s">
        <v>1149</v>
      </c>
      <c r="G48" t="s">
        <v>1152</v>
      </c>
      <c r="H48">
        <v>4</v>
      </c>
      <c r="I48">
        <v>78762</v>
      </c>
      <c r="J48">
        <v>10</v>
      </c>
      <c r="K48">
        <v>70885.8</v>
      </c>
      <c r="L48">
        <v>283543.2</v>
      </c>
      <c r="M48">
        <v>1000</v>
      </c>
      <c r="N48" t="s">
        <v>1160</v>
      </c>
      <c r="O48" t="s">
        <v>1164</v>
      </c>
      <c r="P48" s="2">
        <v>45706</v>
      </c>
      <c r="Q48">
        <v>2</v>
      </c>
      <c r="R48" t="s">
        <v>1169</v>
      </c>
    </row>
    <row r="49" spans="1:18" x14ac:dyDescent="0.3">
      <c r="A49" s="2">
        <v>45826</v>
      </c>
      <c r="B49" t="s">
        <v>65</v>
      </c>
      <c r="C49" t="s">
        <v>1127</v>
      </c>
      <c r="D49" t="s">
        <v>1134</v>
      </c>
      <c r="E49" t="s">
        <v>1144</v>
      </c>
      <c r="F49" t="s">
        <v>1151</v>
      </c>
      <c r="G49" t="s">
        <v>1157</v>
      </c>
      <c r="H49">
        <v>4</v>
      </c>
      <c r="I49">
        <v>59466</v>
      </c>
      <c r="J49">
        <v>10</v>
      </c>
      <c r="K49">
        <v>53519.4</v>
      </c>
      <c r="L49">
        <v>214077.6</v>
      </c>
      <c r="M49">
        <v>1000</v>
      </c>
      <c r="N49" t="s">
        <v>1160</v>
      </c>
      <c r="O49" t="s">
        <v>1163</v>
      </c>
      <c r="Q49">
        <v>2</v>
      </c>
      <c r="R49" t="s">
        <v>1169</v>
      </c>
    </row>
    <row r="50" spans="1:18" x14ac:dyDescent="0.3">
      <c r="A50" s="2">
        <v>45664</v>
      </c>
      <c r="B50" t="s">
        <v>66</v>
      </c>
      <c r="C50" t="s">
        <v>1129</v>
      </c>
      <c r="D50" t="s">
        <v>1133</v>
      </c>
      <c r="E50" t="s">
        <v>1142</v>
      </c>
      <c r="F50" t="s">
        <v>1150</v>
      </c>
      <c r="G50" t="s">
        <v>1156</v>
      </c>
      <c r="H50">
        <v>3</v>
      </c>
      <c r="I50">
        <v>26849</v>
      </c>
      <c r="J50">
        <v>5</v>
      </c>
      <c r="K50">
        <v>25506.55</v>
      </c>
      <c r="L50">
        <v>76519.649999999994</v>
      </c>
      <c r="M50">
        <v>1500</v>
      </c>
      <c r="N50" t="s">
        <v>1160</v>
      </c>
      <c r="O50" t="s">
        <v>1164</v>
      </c>
      <c r="P50" s="2">
        <v>45677</v>
      </c>
      <c r="Q50">
        <v>1</v>
      </c>
      <c r="R50" t="s">
        <v>1169</v>
      </c>
    </row>
    <row r="51" spans="1:18" x14ac:dyDescent="0.3">
      <c r="A51" s="2">
        <v>45724</v>
      </c>
      <c r="B51" t="s">
        <v>67</v>
      </c>
      <c r="C51" t="s">
        <v>1123</v>
      </c>
      <c r="D51" t="s">
        <v>1135</v>
      </c>
      <c r="E51" t="s">
        <v>1148</v>
      </c>
      <c r="F51" t="s">
        <v>1149</v>
      </c>
      <c r="G51" t="s">
        <v>1152</v>
      </c>
      <c r="H51">
        <v>4</v>
      </c>
      <c r="I51">
        <v>13202</v>
      </c>
      <c r="J51">
        <v>15</v>
      </c>
      <c r="K51">
        <v>11221.7</v>
      </c>
      <c r="L51">
        <v>44886.8</v>
      </c>
      <c r="M51">
        <v>2000</v>
      </c>
      <c r="N51" t="s">
        <v>1161</v>
      </c>
      <c r="O51" t="s">
        <v>1163</v>
      </c>
      <c r="Q51">
        <v>5</v>
      </c>
    </row>
    <row r="52" spans="1:18" x14ac:dyDescent="0.3">
      <c r="A52" s="2">
        <v>45726</v>
      </c>
      <c r="B52" t="s">
        <v>68</v>
      </c>
      <c r="C52" t="s">
        <v>1132</v>
      </c>
      <c r="D52" t="s">
        <v>1134</v>
      </c>
      <c r="E52" t="s">
        <v>1144</v>
      </c>
      <c r="F52" t="s">
        <v>1151</v>
      </c>
      <c r="G52" t="s">
        <v>1157</v>
      </c>
      <c r="H52">
        <v>5</v>
      </c>
      <c r="I52">
        <v>24749</v>
      </c>
      <c r="J52">
        <v>10</v>
      </c>
      <c r="K52">
        <v>22274.1</v>
      </c>
      <c r="L52">
        <v>111370.5</v>
      </c>
      <c r="M52">
        <v>1000</v>
      </c>
      <c r="N52" t="s">
        <v>1159</v>
      </c>
      <c r="O52" t="s">
        <v>1163</v>
      </c>
      <c r="Q52">
        <v>2</v>
      </c>
      <c r="R52" t="s">
        <v>1166</v>
      </c>
    </row>
    <row r="53" spans="1:18" x14ac:dyDescent="0.3">
      <c r="A53" s="2">
        <v>45718</v>
      </c>
      <c r="B53" t="s">
        <v>69</v>
      </c>
      <c r="C53" t="s">
        <v>1129</v>
      </c>
      <c r="D53" t="s">
        <v>1133</v>
      </c>
      <c r="E53" t="s">
        <v>1137</v>
      </c>
      <c r="F53" t="s">
        <v>1149</v>
      </c>
      <c r="G53" t="s">
        <v>1152</v>
      </c>
      <c r="H53">
        <v>2</v>
      </c>
      <c r="I53">
        <v>24801</v>
      </c>
      <c r="J53">
        <v>5</v>
      </c>
      <c r="K53">
        <v>23560.95</v>
      </c>
      <c r="L53">
        <v>47121.9</v>
      </c>
      <c r="M53">
        <v>1000</v>
      </c>
      <c r="N53" t="s">
        <v>1160</v>
      </c>
      <c r="O53" t="s">
        <v>1164</v>
      </c>
      <c r="P53" s="2">
        <v>45721</v>
      </c>
      <c r="Q53">
        <v>4</v>
      </c>
      <c r="R53" t="s">
        <v>1166</v>
      </c>
    </row>
    <row r="54" spans="1:18" x14ac:dyDescent="0.3">
      <c r="A54" s="2">
        <v>45716</v>
      </c>
      <c r="B54" t="s">
        <v>70</v>
      </c>
      <c r="C54" t="s">
        <v>1118</v>
      </c>
      <c r="D54" t="s">
        <v>1134</v>
      </c>
      <c r="E54" t="s">
        <v>1139</v>
      </c>
      <c r="F54" t="s">
        <v>1150</v>
      </c>
      <c r="G54" t="s">
        <v>1154</v>
      </c>
      <c r="H54">
        <v>2</v>
      </c>
      <c r="I54">
        <v>10536</v>
      </c>
      <c r="J54">
        <v>5</v>
      </c>
      <c r="K54">
        <v>10009.200000000001</v>
      </c>
      <c r="L54">
        <v>20018.400000000001</v>
      </c>
      <c r="M54">
        <v>1000</v>
      </c>
      <c r="N54" t="s">
        <v>1159</v>
      </c>
      <c r="O54" t="s">
        <v>1164</v>
      </c>
      <c r="P54" s="2">
        <v>45727</v>
      </c>
      <c r="Q54">
        <v>4</v>
      </c>
    </row>
    <row r="55" spans="1:18" x14ac:dyDescent="0.3">
      <c r="A55" s="2">
        <v>45686</v>
      </c>
      <c r="B55" t="s">
        <v>71</v>
      </c>
      <c r="C55" t="s">
        <v>1130</v>
      </c>
      <c r="D55" t="s">
        <v>1136</v>
      </c>
      <c r="E55" t="s">
        <v>1141</v>
      </c>
      <c r="F55" t="s">
        <v>1151</v>
      </c>
      <c r="G55" t="s">
        <v>1155</v>
      </c>
      <c r="H55">
        <v>4</v>
      </c>
      <c r="I55">
        <v>36210</v>
      </c>
      <c r="J55">
        <v>20</v>
      </c>
      <c r="K55">
        <v>28968</v>
      </c>
      <c r="L55">
        <v>115872</v>
      </c>
      <c r="M55">
        <v>1000</v>
      </c>
      <c r="N55" t="s">
        <v>1160</v>
      </c>
      <c r="O55" t="s">
        <v>1162</v>
      </c>
      <c r="Q55">
        <v>5</v>
      </c>
    </row>
    <row r="56" spans="1:18" x14ac:dyDescent="0.3">
      <c r="A56" s="2">
        <v>45700</v>
      </c>
      <c r="B56" t="s">
        <v>72</v>
      </c>
      <c r="C56" t="s">
        <v>1129</v>
      </c>
      <c r="D56" t="s">
        <v>1133</v>
      </c>
      <c r="E56" t="s">
        <v>1140</v>
      </c>
      <c r="F56" t="s">
        <v>1150</v>
      </c>
      <c r="G56" t="s">
        <v>1154</v>
      </c>
      <c r="H56">
        <v>2</v>
      </c>
      <c r="I56">
        <v>63636</v>
      </c>
      <c r="J56">
        <v>0</v>
      </c>
      <c r="K56">
        <v>63636</v>
      </c>
      <c r="L56">
        <v>127272</v>
      </c>
      <c r="M56">
        <v>2000</v>
      </c>
      <c r="N56" t="s">
        <v>1161</v>
      </c>
      <c r="O56" t="s">
        <v>1162</v>
      </c>
      <c r="Q56">
        <v>4</v>
      </c>
      <c r="R56" t="s">
        <v>1167</v>
      </c>
    </row>
    <row r="57" spans="1:18" x14ac:dyDescent="0.3">
      <c r="A57" s="2">
        <v>45717</v>
      </c>
      <c r="B57" t="s">
        <v>73</v>
      </c>
      <c r="C57" t="s">
        <v>1127</v>
      </c>
      <c r="D57" t="s">
        <v>1134</v>
      </c>
      <c r="E57" t="s">
        <v>1143</v>
      </c>
      <c r="F57" t="s">
        <v>1151</v>
      </c>
      <c r="G57" t="s">
        <v>1157</v>
      </c>
      <c r="H57">
        <v>3</v>
      </c>
      <c r="I57">
        <v>42561</v>
      </c>
      <c r="J57">
        <v>10</v>
      </c>
      <c r="K57">
        <v>38304.9</v>
      </c>
      <c r="L57">
        <v>114914.7</v>
      </c>
      <c r="M57">
        <v>1500</v>
      </c>
      <c r="N57" t="s">
        <v>1160</v>
      </c>
      <c r="O57" t="s">
        <v>1162</v>
      </c>
      <c r="Q57">
        <v>5</v>
      </c>
      <c r="R57" t="s">
        <v>1168</v>
      </c>
    </row>
    <row r="58" spans="1:18" x14ac:dyDescent="0.3">
      <c r="A58" s="2">
        <v>45690</v>
      </c>
      <c r="B58" t="s">
        <v>74</v>
      </c>
      <c r="C58" t="s">
        <v>1130</v>
      </c>
      <c r="D58" t="s">
        <v>1136</v>
      </c>
      <c r="E58" t="s">
        <v>1139</v>
      </c>
      <c r="F58" t="s">
        <v>1150</v>
      </c>
      <c r="G58" t="s">
        <v>1154</v>
      </c>
      <c r="H58">
        <v>3</v>
      </c>
      <c r="I58">
        <v>9091</v>
      </c>
      <c r="J58">
        <v>0</v>
      </c>
      <c r="K58">
        <v>9091</v>
      </c>
      <c r="L58">
        <v>27273</v>
      </c>
      <c r="M58">
        <v>1500</v>
      </c>
      <c r="N58" t="s">
        <v>1161</v>
      </c>
      <c r="O58" t="s">
        <v>1164</v>
      </c>
      <c r="P58" s="2">
        <v>45697</v>
      </c>
      <c r="R58" t="s">
        <v>1170</v>
      </c>
    </row>
    <row r="59" spans="1:18" x14ac:dyDescent="0.3">
      <c r="A59" s="2">
        <v>45741</v>
      </c>
      <c r="B59" t="s">
        <v>75</v>
      </c>
      <c r="C59" t="s">
        <v>1125</v>
      </c>
      <c r="D59" t="s">
        <v>1133</v>
      </c>
      <c r="E59" t="s">
        <v>1140</v>
      </c>
      <c r="F59" t="s">
        <v>1150</v>
      </c>
      <c r="G59" t="s">
        <v>1154</v>
      </c>
      <c r="H59">
        <v>1</v>
      </c>
      <c r="I59">
        <v>55615</v>
      </c>
      <c r="J59">
        <v>15</v>
      </c>
      <c r="K59">
        <v>47272.75</v>
      </c>
      <c r="L59">
        <v>47272.75</v>
      </c>
      <c r="M59">
        <v>1000</v>
      </c>
      <c r="N59" t="s">
        <v>1161</v>
      </c>
      <c r="O59" t="s">
        <v>1163</v>
      </c>
      <c r="Q59">
        <v>4</v>
      </c>
      <c r="R59" t="s">
        <v>1168</v>
      </c>
    </row>
    <row r="60" spans="1:18" x14ac:dyDescent="0.3">
      <c r="A60" s="2">
        <v>45708</v>
      </c>
      <c r="B60" t="s">
        <v>76</v>
      </c>
      <c r="C60" t="s">
        <v>1119</v>
      </c>
      <c r="D60" t="s">
        <v>1134</v>
      </c>
      <c r="E60" t="s">
        <v>1147</v>
      </c>
      <c r="F60" t="s">
        <v>1150</v>
      </c>
      <c r="G60" t="s">
        <v>1156</v>
      </c>
      <c r="H60">
        <v>3</v>
      </c>
      <c r="I60">
        <v>34955</v>
      </c>
      <c r="J60">
        <v>15</v>
      </c>
      <c r="K60">
        <v>29711.75</v>
      </c>
      <c r="L60">
        <v>89135.25</v>
      </c>
      <c r="M60">
        <v>2000</v>
      </c>
      <c r="N60" t="s">
        <v>1161</v>
      </c>
      <c r="O60" t="s">
        <v>1162</v>
      </c>
      <c r="Q60">
        <v>1</v>
      </c>
      <c r="R60" t="s">
        <v>1168</v>
      </c>
    </row>
    <row r="61" spans="1:18" x14ac:dyDescent="0.3">
      <c r="A61" s="2">
        <v>45795</v>
      </c>
      <c r="B61" t="s">
        <v>77</v>
      </c>
      <c r="C61" t="s">
        <v>1126</v>
      </c>
      <c r="D61" t="s">
        <v>1133</v>
      </c>
      <c r="E61" t="s">
        <v>1146</v>
      </c>
      <c r="F61" t="s">
        <v>1151</v>
      </c>
      <c r="G61" t="s">
        <v>1155</v>
      </c>
      <c r="H61">
        <v>4</v>
      </c>
      <c r="I61">
        <v>74426</v>
      </c>
      <c r="J61">
        <v>0</v>
      </c>
      <c r="K61">
        <v>74426</v>
      </c>
      <c r="L61">
        <v>297704</v>
      </c>
      <c r="M61">
        <v>2000</v>
      </c>
      <c r="N61" t="s">
        <v>1161</v>
      </c>
      <c r="O61" t="s">
        <v>1163</v>
      </c>
    </row>
    <row r="62" spans="1:18" x14ac:dyDescent="0.3">
      <c r="A62" s="2">
        <v>45713</v>
      </c>
      <c r="B62" t="s">
        <v>78</v>
      </c>
      <c r="C62" t="s">
        <v>1121</v>
      </c>
      <c r="D62" t="s">
        <v>1136</v>
      </c>
      <c r="E62" t="s">
        <v>1138</v>
      </c>
      <c r="F62" t="s">
        <v>1149</v>
      </c>
      <c r="G62" t="s">
        <v>1153</v>
      </c>
      <c r="H62">
        <v>4</v>
      </c>
      <c r="I62">
        <v>50874</v>
      </c>
      <c r="J62">
        <v>20</v>
      </c>
      <c r="K62">
        <v>40699.199999999997</v>
      </c>
      <c r="L62">
        <v>162796.79999999999</v>
      </c>
      <c r="M62">
        <v>1500</v>
      </c>
      <c r="N62" t="s">
        <v>1160</v>
      </c>
      <c r="O62" t="s">
        <v>1164</v>
      </c>
      <c r="P62" s="2">
        <v>45718</v>
      </c>
      <c r="Q62">
        <v>2</v>
      </c>
      <c r="R62" t="s">
        <v>1166</v>
      </c>
    </row>
    <row r="63" spans="1:18" x14ac:dyDescent="0.3">
      <c r="A63" s="2">
        <v>45835</v>
      </c>
      <c r="B63" t="s">
        <v>79</v>
      </c>
      <c r="C63" t="s">
        <v>1130</v>
      </c>
      <c r="D63" t="s">
        <v>1136</v>
      </c>
      <c r="E63" t="s">
        <v>1144</v>
      </c>
      <c r="F63" t="s">
        <v>1151</v>
      </c>
      <c r="G63" t="s">
        <v>1157</v>
      </c>
      <c r="H63">
        <v>5</v>
      </c>
      <c r="I63">
        <v>41340</v>
      </c>
      <c r="J63">
        <v>5</v>
      </c>
      <c r="K63">
        <v>39273</v>
      </c>
      <c r="L63">
        <v>196365</v>
      </c>
      <c r="M63">
        <v>1500</v>
      </c>
      <c r="N63" t="s">
        <v>1159</v>
      </c>
      <c r="O63" t="s">
        <v>1162</v>
      </c>
      <c r="Q63">
        <v>4</v>
      </c>
      <c r="R63" t="s">
        <v>1168</v>
      </c>
    </row>
    <row r="64" spans="1:18" x14ac:dyDescent="0.3">
      <c r="A64" s="2">
        <v>45794</v>
      </c>
      <c r="B64" t="s">
        <v>80</v>
      </c>
      <c r="C64" t="s">
        <v>1127</v>
      </c>
      <c r="D64" t="s">
        <v>1134</v>
      </c>
      <c r="E64" t="s">
        <v>1139</v>
      </c>
      <c r="F64" t="s">
        <v>1150</v>
      </c>
      <c r="G64" t="s">
        <v>1154</v>
      </c>
      <c r="H64">
        <v>4</v>
      </c>
      <c r="I64">
        <v>59410</v>
      </c>
      <c r="J64">
        <v>20</v>
      </c>
      <c r="K64">
        <v>47528</v>
      </c>
      <c r="L64">
        <v>190112</v>
      </c>
      <c r="M64">
        <v>2000</v>
      </c>
      <c r="N64" t="s">
        <v>1159</v>
      </c>
      <c r="O64" t="s">
        <v>1162</v>
      </c>
      <c r="Q64">
        <v>5</v>
      </c>
      <c r="R64" t="s">
        <v>1168</v>
      </c>
    </row>
    <row r="65" spans="1:18" x14ac:dyDescent="0.3">
      <c r="A65" s="2">
        <v>45830</v>
      </c>
      <c r="B65" t="s">
        <v>81</v>
      </c>
      <c r="C65" t="s">
        <v>1124</v>
      </c>
      <c r="D65" t="s">
        <v>1135</v>
      </c>
      <c r="E65" t="s">
        <v>1144</v>
      </c>
      <c r="F65" t="s">
        <v>1151</v>
      </c>
      <c r="G65" t="s">
        <v>1157</v>
      </c>
      <c r="H65">
        <v>3</v>
      </c>
      <c r="I65">
        <v>42696</v>
      </c>
      <c r="J65">
        <v>5</v>
      </c>
      <c r="K65">
        <v>40561.199999999997</v>
      </c>
      <c r="L65">
        <v>121683.6</v>
      </c>
      <c r="M65">
        <v>2000</v>
      </c>
      <c r="N65" t="s">
        <v>1160</v>
      </c>
      <c r="O65" t="s">
        <v>1163</v>
      </c>
      <c r="Q65">
        <v>3</v>
      </c>
      <c r="R65" t="s">
        <v>1166</v>
      </c>
    </row>
    <row r="66" spans="1:18" x14ac:dyDescent="0.3">
      <c r="A66" s="2">
        <v>45711</v>
      </c>
      <c r="B66" t="s">
        <v>82</v>
      </c>
      <c r="C66" t="s">
        <v>1127</v>
      </c>
      <c r="D66" t="s">
        <v>1134</v>
      </c>
      <c r="E66" t="s">
        <v>1145</v>
      </c>
      <c r="F66" t="s">
        <v>1149</v>
      </c>
      <c r="G66" t="s">
        <v>1153</v>
      </c>
      <c r="H66">
        <v>4</v>
      </c>
      <c r="I66">
        <v>30071</v>
      </c>
      <c r="J66">
        <v>10</v>
      </c>
      <c r="K66">
        <v>27063.9</v>
      </c>
      <c r="L66">
        <v>108255.6</v>
      </c>
      <c r="M66">
        <v>1000</v>
      </c>
      <c r="N66" t="s">
        <v>1159</v>
      </c>
      <c r="O66" t="s">
        <v>1163</v>
      </c>
      <c r="Q66">
        <v>1</v>
      </c>
      <c r="R66" t="s">
        <v>1169</v>
      </c>
    </row>
    <row r="67" spans="1:18" x14ac:dyDescent="0.3">
      <c r="A67" s="2">
        <v>45697</v>
      </c>
      <c r="B67" t="s">
        <v>83</v>
      </c>
      <c r="C67" t="s">
        <v>1123</v>
      </c>
      <c r="D67" t="s">
        <v>1135</v>
      </c>
      <c r="E67" t="s">
        <v>1146</v>
      </c>
      <c r="F67" t="s">
        <v>1151</v>
      </c>
      <c r="G67" t="s">
        <v>1155</v>
      </c>
      <c r="H67">
        <v>4</v>
      </c>
      <c r="I67">
        <v>58742</v>
      </c>
      <c r="J67">
        <v>5</v>
      </c>
      <c r="K67">
        <v>55804.9</v>
      </c>
      <c r="L67">
        <v>223219.6</v>
      </c>
      <c r="M67">
        <v>1000</v>
      </c>
      <c r="N67" t="s">
        <v>1160</v>
      </c>
      <c r="O67" t="s">
        <v>1163</v>
      </c>
      <c r="Q67">
        <v>2</v>
      </c>
      <c r="R67" t="s">
        <v>1166</v>
      </c>
    </row>
    <row r="68" spans="1:18" x14ac:dyDescent="0.3">
      <c r="A68" s="2">
        <v>45803</v>
      </c>
      <c r="B68" t="s">
        <v>84</v>
      </c>
      <c r="C68" t="s">
        <v>1125</v>
      </c>
      <c r="D68" t="s">
        <v>1133</v>
      </c>
      <c r="E68" t="s">
        <v>1138</v>
      </c>
      <c r="F68" t="s">
        <v>1149</v>
      </c>
      <c r="G68" t="s">
        <v>1153</v>
      </c>
      <c r="H68">
        <v>3</v>
      </c>
      <c r="I68">
        <v>4142</v>
      </c>
      <c r="J68">
        <v>5</v>
      </c>
      <c r="K68">
        <v>3934.9</v>
      </c>
      <c r="L68">
        <v>11804.7</v>
      </c>
      <c r="M68">
        <v>1000</v>
      </c>
      <c r="N68" t="s">
        <v>1160</v>
      </c>
      <c r="O68" t="s">
        <v>1162</v>
      </c>
      <c r="R68" t="s">
        <v>1166</v>
      </c>
    </row>
    <row r="69" spans="1:18" x14ac:dyDescent="0.3">
      <c r="A69" s="2">
        <v>45810</v>
      </c>
      <c r="B69" t="s">
        <v>85</v>
      </c>
      <c r="C69" t="s">
        <v>1123</v>
      </c>
      <c r="D69" t="s">
        <v>1135</v>
      </c>
      <c r="E69" t="s">
        <v>1141</v>
      </c>
      <c r="F69" t="s">
        <v>1151</v>
      </c>
      <c r="G69" t="s">
        <v>1155</v>
      </c>
      <c r="H69">
        <v>1</v>
      </c>
      <c r="I69">
        <v>73253</v>
      </c>
      <c r="J69">
        <v>15</v>
      </c>
      <c r="K69">
        <v>62265.05</v>
      </c>
      <c r="L69">
        <v>62265.05</v>
      </c>
      <c r="M69">
        <v>1000</v>
      </c>
      <c r="N69" t="s">
        <v>1159</v>
      </c>
      <c r="O69" t="s">
        <v>1162</v>
      </c>
      <c r="Q69">
        <v>2</v>
      </c>
      <c r="R69" t="s">
        <v>1168</v>
      </c>
    </row>
    <row r="70" spans="1:18" x14ac:dyDescent="0.3">
      <c r="A70" s="2">
        <v>45778</v>
      </c>
      <c r="B70" t="s">
        <v>86</v>
      </c>
      <c r="C70" t="s">
        <v>1125</v>
      </c>
      <c r="D70" t="s">
        <v>1133</v>
      </c>
      <c r="E70" t="s">
        <v>1147</v>
      </c>
      <c r="F70" t="s">
        <v>1150</v>
      </c>
      <c r="G70" t="s">
        <v>1156</v>
      </c>
      <c r="H70">
        <v>5</v>
      </c>
      <c r="I70">
        <v>70328</v>
      </c>
      <c r="J70">
        <v>5</v>
      </c>
      <c r="K70">
        <v>66811.600000000006</v>
      </c>
      <c r="L70">
        <v>334058</v>
      </c>
      <c r="M70">
        <v>2000</v>
      </c>
      <c r="N70" t="s">
        <v>1161</v>
      </c>
      <c r="O70" t="s">
        <v>1162</v>
      </c>
      <c r="Q70">
        <v>1</v>
      </c>
      <c r="R70" t="s">
        <v>1168</v>
      </c>
    </row>
    <row r="71" spans="1:18" x14ac:dyDescent="0.3">
      <c r="A71" s="2">
        <v>45830</v>
      </c>
      <c r="B71" t="s">
        <v>87</v>
      </c>
      <c r="C71" t="s">
        <v>1117</v>
      </c>
      <c r="D71" t="s">
        <v>1133</v>
      </c>
      <c r="E71" t="s">
        <v>1147</v>
      </c>
      <c r="F71" t="s">
        <v>1150</v>
      </c>
      <c r="G71" t="s">
        <v>1156</v>
      </c>
      <c r="H71">
        <v>2</v>
      </c>
      <c r="I71">
        <v>8445</v>
      </c>
      <c r="J71">
        <v>20</v>
      </c>
      <c r="K71">
        <v>6756</v>
      </c>
      <c r="L71">
        <v>13512</v>
      </c>
      <c r="M71">
        <v>1500</v>
      </c>
      <c r="N71" t="s">
        <v>1161</v>
      </c>
      <c r="O71" t="s">
        <v>1162</v>
      </c>
      <c r="Q71">
        <v>2</v>
      </c>
      <c r="R71" t="s">
        <v>1166</v>
      </c>
    </row>
    <row r="72" spans="1:18" x14ac:dyDescent="0.3">
      <c r="A72" s="2">
        <v>45658</v>
      </c>
      <c r="B72" t="s">
        <v>88</v>
      </c>
      <c r="C72" t="s">
        <v>1126</v>
      </c>
      <c r="D72" t="s">
        <v>1133</v>
      </c>
      <c r="E72" t="s">
        <v>1137</v>
      </c>
      <c r="F72" t="s">
        <v>1149</v>
      </c>
      <c r="G72" t="s">
        <v>1152</v>
      </c>
      <c r="H72">
        <v>1</v>
      </c>
      <c r="I72">
        <v>63557</v>
      </c>
      <c r="J72">
        <v>5</v>
      </c>
      <c r="K72">
        <v>60379.15</v>
      </c>
      <c r="L72">
        <v>60379.15</v>
      </c>
      <c r="M72">
        <v>2000</v>
      </c>
      <c r="N72" t="s">
        <v>1159</v>
      </c>
      <c r="O72" t="s">
        <v>1162</v>
      </c>
      <c r="Q72">
        <v>1</v>
      </c>
      <c r="R72" t="s">
        <v>1168</v>
      </c>
    </row>
    <row r="73" spans="1:18" x14ac:dyDescent="0.3">
      <c r="A73" s="2">
        <v>45725</v>
      </c>
      <c r="B73" t="s">
        <v>89</v>
      </c>
      <c r="C73" t="s">
        <v>1119</v>
      </c>
      <c r="D73" t="s">
        <v>1134</v>
      </c>
      <c r="E73" t="s">
        <v>1147</v>
      </c>
      <c r="F73" t="s">
        <v>1150</v>
      </c>
      <c r="G73" t="s">
        <v>1156</v>
      </c>
      <c r="H73">
        <v>4</v>
      </c>
      <c r="I73">
        <v>76775</v>
      </c>
      <c r="J73">
        <v>5</v>
      </c>
      <c r="K73">
        <v>72936.25</v>
      </c>
      <c r="L73">
        <v>291745</v>
      </c>
      <c r="M73">
        <v>1000</v>
      </c>
      <c r="N73" t="s">
        <v>1159</v>
      </c>
      <c r="O73" t="s">
        <v>1164</v>
      </c>
      <c r="P73" s="2">
        <v>45727</v>
      </c>
      <c r="Q73">
        <v>5</v>
      </c>
      <c r="R73" t="s">
        <v>1167</v>
      </c>
    </row>
    <row r="74" spans="1:18" x14ac:dyDescent="0.3">
      <c r="A74" s="2">
        <v>45775</v>
      </c>
      <c r="B74" t="s">
        <v>90</v>
      </c>
      <c r="C74" t="s">
        <v>1128</v>
      </c>
      <c r="D74" t="s">
        <v>1135</v>
      </c>
      <c r="E74" t="s">
        <v>1145</v>
      </c>
      <c r="F74" t="s">
        <v>1149</v>
      </c>
      <c r="G74" t="s">
        <v>1153</v>
      </c>
      <c r="H74">
        <v>4</v>
      </c>
      <c r="I74">
        <v>21118</v>
      </c>
      <c r="J74">
        <v>10</v>
      </c>
      <c r="K74">
        <v>19006.2</v>
      </c>
      <c r="L74">
        <v>76024.800000000003</v>
      </c>
      <c r="M74">
        <v>1500</v>
      </c>
      <c r="N74" t="s">
        <v>1159</v>
      </c>
      <c r="O74" t="s">
        <v>1164</v>
      </c>
      <c r="P74" s="2">
        <v>45784</v>
      </c>
      <c r="Q74">
        <v>5</v>
      </c>
      <c r="R74" t="s">
        <v>1168</v>
      </c>
    </row>
    <row r="75" spans="1:18" x14ac:dyDescent="0.3">
      <c r="A75" s="2">
        <v>45723</v>
      </c>
      <c r="B75" t="s">
        <v>91</v>
      </c>
      <c r="C75" t="s">
        <v>1128</v>
      </c>
      <c r="D75" t="s">
        <v>1135</v>
      </c>
      <c r="E75" t="s">
        <v>1137</v>
      </c>
      <c r="F75" t="s">
        <v>1149</v>
      </c>
      <c r="G75" t="s">
        <v>1152</v>
      </c>
      <c r="H75">
        <v>3</v>
      </c>
      <c r="I75">
        <v>61019</v>
      </c>
      <c r="J75">
        <v>20</v>
      </c>
      <c r="K75">
        <v>48815.199999999997</v>
      </c>
      <c r="L75">
        <v>146445.6</v>
      </c>
      <c r="M75">
        <v>1000</v>
      </c>
      <c r="N75" t="s">
        <v>1159</v>
      </c>
      <c r="O75" t="s">
        <v>1162</v>
      </c>
      <c r="Q75">
        <v>4</v>
      </c>
      <c r="R75" t="s">
        <v>1166</v>
      </c>
    </row>
    <row r="76" spans="1:18" x14ac:dyDescent="0.3">
      <c r="A76" s="2">
        <v>45683</v>
      </c>
      <c r="B76" t="s">
        <v>92</v>
      </c>
      <c r="C76" t="s">
        <v>1121</v>
      </c>
      <c r="D76" t="s">
        <v>1136</v>
      </c>
      <c r="E76" t="s">
        <v>1148</v>
      </c>
      <c r="F76" t="s">
        <v>1149</v>
      </c>
      <c r="G76" t="s">
        <v>1152</v>
      </c>
      <c r="H76">
        <v>5</v>
      </c>
      <c r="I76">
        <v>43698</v>
      </c>
      <c r="J76">
        <v>0</v>
      </c>
      <c r="K76">
        <v>43698</v>
      </c>
      <c r="L76">
        <v>218490</v>
      </c>
      <c r="M76">
        <v>2000</v>
      </c>
      <c r="N76" t="s">
        <v>1159</v>
      </c>
      <c r="O76" t="s">
        <v>1163</v>
      </c>
      <c r="Q76">
        <v>4</v>
      </c>
      <c r="R76" t="s">
        <v>1170</v>
      </c>
    </row>
    <row r="77" spans="1:18" x14ac:dyDescent="0.3">
      <c r="A77" s="2">
        <v>45731</v>
      </c>
      <c r="B77" t="s">
        <v>93</v>
      </c>
      <c r="C77" t="s">
        <v>1122</v>
      </c>
      <c r="D77" t="s">
        <v>1136</v>
      </c>
      <c r="E77" t="s">
        <v>1146</v>
      </c>
      <c r="F77" t="s">
        <v>1151</v>
      </c>
      <c r="G77" t="s">
        <v>1155</v>
      </c>
      <c r="H77">
        <v>3</v>
      </c>
      <c r="I77">
        <v>43832</v>
      </c>
      <c r="J77">
        <v>15</v>
      </c>
      <c r="K77">
        <v>37257.199999999997</v>
      </c>
      <c r="L77">
        <v>111771.6</v>
      </c>
      <c r="M77">
        <v>2000</v>
      </c>
      <c r="N77" t="s">
        <v>1160</v>
      </c>
      <c r="O77" t="s">
        <v>1163</v>
      </c>
      <c r="Q77">
        <v>5</v>
      </c>
      <c r="R77" t="s">
        <v>1167</v>
      </c>
    </row>
    <row r="78" spans="1:18" x14ac:dyDescent="0.3">
      <c r="A78" s="2">
        <v>45732</v>
      </c>
      <c r="B78" t="s">
        <v>94</v>
      </c>
      <c r="C78" t="s">
        <v>1123</v>
      </c>
      <c r="D78" t="s">
        <v>1135</v>
      </c>
      <c r="E78" t="s">
        <v>1144</v>
      </c>
      <c r="F78" t="s">
        <v>1151</v>
      </c>
      <c r="G78" t="s">
        <v>1157</v>
      </c>
      <c r="H78">
        <v>2</v>
      </c>
      <c r="I78">
        <v>15517</v>
      </c>
      <c r="J78">
        <v>0</v>
      </c>
      <c r="K78">
        <v>15517</v>
      </c>
      <c r="L78">
        <v>31034</v>
      </c>
      <c r="M78">
        <v>2000</v>
      </c>
      <c r="N78" t="s">
        <v>1161</v>
      </c>
      <c r="O78" t="s">
        <v>1163</v>
      </c>
      <c r="Q78">
        <v>4</v>
      </c>
      <c r="R78" t="s">
        <v>1169</v>
      </c>
    </row>
    <row r="79" spans="1:18" x14ac:dyDescent="0.3">
      <c r="A79" s="2">
        <v>45819</v>
      </c>
      <c r="B79" t="s">
        <v>95</v>
      </c>
      <c r="C79" t="s">
        <v>1123</v>
      </c>
      <c r="D79" t="s">
        <v>1135</v>
      </c>
      <c r="E79" t="s">
        <v>1143</v>
      </c>
      <c r="F79" t="s">
        <v>1151</v>
      </c>
      <c r="G79" t="s">
        <v>1157</v>
      </c>
      <c r="H79">
        <v>1</v>
      </c>
      <c r="I79">
        <v>55607</v>
      </c>
      <c r="J79">
        <v>5</v>
      </c>
      <c r="K79">
        <v>52826.65</v>
      </c>
      <c r="L79">
        <v>52826.65</v>
      </c>
      <c r="M79">
        <v>2000</v>
      </c>
      <c r="N79" t="s">
        <v>1159</v>
      </c>
      <c r="O79" t="s">
        <v>1163</v>
      </c>
      <c r="Q79">
        <v>2</v>
      </c>
      <c r="R79" t="s">
        <v>1169</v>
      </c>
    </row>
    <row r="80" spans="1:18" x14ac:dyDescent="0.3">
      <c r="A80" s="2">
        <v>45659</v>
      </c>
      <c r="B80" t="s">
        <v>96</v>
      </c>
      <c r="C80" t="s">
        <v>1124</v>
      </c>
      <c r="D80" t="s">
        <v>1135</v>
      </c>
      <c r="E80" t="s">
        <v>1148</v>
      </c>
      <c r="F80" t="s">
        <v>1149</v>
      </c>
      <c r="G80" t="s">
        <v>1152</v>
      </c>
      <c r="H80">
        <v>2</v>
      </c>
      <c r="I80">
        <v>37799</v>
      </c>
      <c r="J80">
        <v>15</v>
      </c>
      <c r="K80">
        <v>32129.15</v>
      </c>
      <c r="L80">
        <v>64258.3</v>
      </c>
      <c r="M80">
        <v>1000</v>
      </c>
      <c r="N80" t="s">
        <v>1161</v>
      </c>
      <c r="O80" t="s">
        <v>1164</v>
      </c>
      <c r="P80" s="2">
        <v>45672</v>
      </c>
      <c r="Q80">
        <v>5</v>
      </c>
      <c r="R80" t="s">
        <v>1167</v>
      </c>
    </row>
    <row r="81" spans="1:18" x14ac:dyDescent="0.3">
      <c r="A81" s="2">
        <v>45771</v>
      </c>
      <c r="B81" t="s">
        <v>97</v>
      </c>
      <c r="C81" t="s">
        <v>1119</v>
      </c>
      <c r="D81" t="s">
        <v>1134</v>
      </c>
      <c r="E81" t="s">
        <v>1145</v>
      </c>
      <c r="F81" t="s">
        <v>1149</v>
      </c>
      <c r="G81" t="s">
        <v>1153</v>
      </c>
      <c r="H81">
        <v>5</v>
      </c>
      <c r="I81">
        <v>17368</v>
      </c>
      <c r="J81">
        <v>20</v>
      </c>
      <c r="K81">
        <v>13894.4</v>
      </c>
      <c r="L81">
        <v>69472</v>
      </c>
      <c r="M81">
        <v>2000</v>
      </c>
      <c r="N81" t="s">
        <v>1160</v>
      </c>
      <c r="O81" t="s">
        <v>1164</v>
      </c>
      <c r="P81" s="2">
        <v>45782</v>
      </c>
      <c r="Q81">
        <v>5</v>
      </c>
      <c r="R81" t="s">
        <v>1169</v>
      </c>
    </row>
    <row r="82" spans="1:18" x14ac:dyDescent="0.3">
      <c r="A82" s="2">
        <v>45747</v>
      </c>
      <c r="B82" t="s">
        <v>98</v>
      </c>
      <c r="C82" t="s">
        <v>1122</v>
      </c>
      <c r="D82" t="s">
        <v>1136</v>
      </c>
      <c r="E82" t="s">
        <v>1142</v>
      </c>
      <c r="F82" t="s">
        <v>1150</v>
      </c>
      <c r="G82" t="s">
        <v>1156</v>
      </c>
      <c r="H82">
        <v>1</v>
      </c>
      <c r="I82">
        <v>74610</v>
      </c>
      <c r="J82">
        <v>10</v>
      </c>
      <c r="K82">
        <v>67149</v>
      </c>
      <c r="L82">
        <v>67149</v>
      </c>
      <c r="M82">
        <v>1500</v>
      </c>
      <c r="N82" t="s">
        <v>1161</v>
      </c>
      <c r="O82" t="s">
        <v>1164</v>
      </c>
      <c r="P82" s="2">
        <v>45755</v>
      </c>
    </row>
    <row r="83" spans="1:18" x14ac:dyDescent="0.3">
      <c r="A83" s="2">
        <v>45818</v>
      </c>
      <c r="B83" t="s">
        <v>99</v>
      </c>
      <c r="C83" t="s">
        <v>1127</v>
      </c>
      <c r="D83" t="s">
        <v>1134</v>
      </c>
      <c r="E83" t="s">
        <v>1144</v>
      </c>
      <c r="F83" t="s">
        <v>1151</v>
      </c>
      <c r="G83" t="s">
        <v>1157</v>
      </c>
      <c r="H83">
        <v>5</v>
      </c>
      <c r="I83">
        <v>47655</v>
      </c>
      <c r="J83">
        <v>10</v>
      </c>
      <c r="K83">
        <v>42889.5</v>
      </c>
      <c r="L83">
        <v>214447.5</v>
      </c>
      <c r="M83">
        <v>1500</v>
      </c>
      <c r="N83" t="s">
        <v>1159</v>
      </c>
      <c r="O83" t="s">
        <v>1164</v>
      </c>
      <c r="P83" s="2">
        <v>45825</v>
      </c>
      <c r="Q83">
        <v>5</v>
      </c>
      <c r="R83" t="s">
        <v>1169</v>
      </c>
    </row>
    <row r="84" spans="1:18" x14ac:dyDescent="0.3">
      <c r="A84" s="2">
        <v>45692</v>
      </c>
      <c r="B84" t="s">
        <v>100</v>
      </c>
      <c r="C84" t="s">
        <v>1120</v>
      </c>
      <c r="D84" t="s">
        <v>1135</v>
      </c>
      <c r="E84" t="s">
        <v>1148</v>
      </c>
      <c r="F84" t="s">
        <v>1149</v>
      </c>
      <c r="G84" t="s">
        <v>1152</v>
      </c>
      <c r="H84">
        <v>3</v>
      </c>
      <c r="I84">
        <v>47100</v>
      </c>
      <c r="J84">
        <v>0</v>
      </c>
      <c r="K84">
        <v>47100</v>
      </c>
      <c r="L84">
        <v>141300</v>
      </c>
      <c r="M84">
        <v>1000</v>
      </c>
      <c r="N84" t="s">
        <v>1161</v>
      </c>
      <c r="O84" t="s">
        <v>1164</v>
      </c>
      <c r="P84" s="2">
        <v>45705</v>
      </c>
      <c r="Q84">
        <v>4</v>
      </c>
      <c r="R84" t="s">
        <v>1168</v>
      </c>
    </row>
    <row r="85" spans="1:18" x14ac:dyDescent="0.3">
      <c r="A85" s="2">
        <v>45812</v>
      </c>
      <c r="B85" t="s">
        <v>101</v>
      </c>
      <c r="C85" t="s">
        <v>1121</v>
      </c>
      <c r="D85" t="s">
        <v>1136</v>
      </c>
      <c r="E85" t="s">
        <v>1148</v>
      </c>
      <c r="F85" t="s">
        <v>1149</v>
      </c>
      <c r="G85" t="s">
        <v>1152</v>
      </c>
      <c r="H85">
        <v>4</v>
      </c>
      <c r="I85">
        <v>58202</v>
      </c>
      <c r="J85">
        <v>5</v>
      </c>
      <c r="K85">
        <v>55291.9</v>
      </c>
      <c r="L85">
        <v>221167.6</v>
      </c>
      <c r="M85">
        <v>1000</v>
      </c>
      <c r="N85" t="s">
        <v>1161</v>
      </c>
      <c r="O85" t="s">
        <v>1163</v>
      </c>
      <c r="Q85">
        <v>3</v>
      </c>
    </row>
    <row r="86" spans="1:18" x14ac:dyDescent="0.3">
      <c r="A86" s="2">
        <v>45800</v>
      </c>
      <c r="B86" t="s">
        <v>102</v>
      </c>
      <c r="C86" t="s">
        <v>1120</v>
      </c>
      <c r="D86" t="s">
        <v>1135</v>
      </c>
      <c r="E86" t="s">
        <v>1142</v>
      </c>
      <c r="F86" t="s">
        <v>1150</v>
      </c>
      <c r="G86" t="s">
        <v>1156</v>
      </c>
      <c r="H86">
        <v>1</v>
      </c>
      <c r="I86">
        <v>70506</v>
      </c>
      <c r="J86">
        <v>10</v>
      </c>
      <c r="K86">
        <v>63455.4</v>
      </c>
      <c r="L86">
        <v>63455.4</v>
      </c>
      <c r="M86">
        <v>2000</v>
      </c>
      <c r="N86" t="s">
        <v>1161</v>
      </c>
      <c r="O86" t="s">
        <v>1163</v>
      </c>
      <c r="Q86">
        <v>4</v>
      </c>
      <c r="R86" t="s">
        <v>1170</v>
      </c>
    </row>
    <row r="87" spans="1:18" x14ac:dyDescent="0.3">
      <c r="A87" s="2">
        <v>45832</v>
      </c>
      <c r="B87" t="s">
        <v>103</v>
      </c>
      <c r="C87" t="s">
        <v>1122</v>
      </c>
      <c r="D87" t="s">
        <v>1136</v>
      </c>
      <c r="E87" t="s">
        <v>1147</v>
      </c>
      <c r="F87" t="s">
        <v>1150</v>
      </c>
      <c r="G87" t="s">
        <v>1156</v>
      </c>
      <c r="H87">
        <v>5</v>
      </c>
      <c r="I87">
        <v>3528</v>
      </c>
      <c r="J87">
        <v>10</v>
      </c>
      <c r="K87">
        <v>3175.2</v>
      </c>
      <c r="L87">
        <v>15876</v>
      </c>
      <c r="M87">
        <v>2000</v>
      </c>
      <c r="N87" t="s">
        <v>1159</v>
      </c>
      <c r="O87" t="s">
        <v>1162</v>
      </c>
      <c r="Q87">
        <v>2</v>
      </c>
      <c r="R87" t="s">
        <v>1166</v>
      </c>
    </row>
    <row r="88" spans="1:18" x14ac:dyDescent="0.3">
      <c r="A88" s="2">
        <v>45767</v>
      </c>
      <c r="B88" t="s">
        <v>104</v>
      </c>
      <c r="C88" t="s">
        <v>1120</v>
      </c>
      <c r="D88" t="s">
        <v>1135</v>
      </c>
      <c r="E88" t="s">
        <v>1137</v>
      </c>
      <c r="F88" t="s">
        <v>1149</v>
      </c>
      <c r="G88" t="s">
        <v>1152</v>
      </c>
      <c r="H88">
        <v>1</v>
      </c>
      <c r="I88">
        <v>37968</v>
      </c>
      <c r="J88">
        <v>15</v>
      </c>
      <c r="K88">
        <v>32272.799999999999</v>
      </c>
      <c r="L88">
        <v>32272.799999999999</v>
      </c>
      <c r="M88">
        <v>2000</v>
      </c>
      <c r="N88" t="s">
        <v>1160</v>
      </c>
      <c r="O88" t="s">
        <v>1162</v>
      </c>
      <c r="Q88" t="s">
        <v>1165</v>
      </c>
    </row>
    <row r="89" spans="1:18" x14ac:dyDescent="0.3">
      <c r="A89" s="2">
        <v>45714</v>
      </c>
      <c r="B89" t="s">
        <v>105</v>
      </c>
      <c r="C89" t="s">
        <v>1131</v>
      </c>
      <c r="D89" t="s">
        <v>1136</v>
      </c>
      <c r="E89" t="s">
        <v>1148</v>
      </c>
      <c r="F89" t="s">
        <v>1149</v>
      </c>
      <c r="G89" t="s">
        <v>1152</v>
      </c>
      <c r="H89">
        <v>1</v>
      </c>
      <c r="I89">
        <v>63117</v>
      </c>
      <c r="J89">
        <v>0</v>
      </c>
      <c r="K89">
        <v>63117</v>
      </c>
      <c r="L89">
        <v>63117</v>
      </c>
      <c r="M89">
        <v>2000</v>
      </c>
      <c r="N89" t="s">
        <v>1161</v>
      </c>
      <c r="O89" t="s">
        <v>1164</v>
      </c>
      <c r="P89" s="2">
        <v>45718</v>
      </c>
      <c r="Q89">
        <v>4</v>
      </c>
      <c r="R89" t="s">
        <v>1170</v>
      </c>
    </row>
    <row r="90" spans="1:18" x14ac:dyDescent="0.3">
      <c r="A90" s="2">
        <v>45722</v>
      </c>
      <c r="B90" t="s">
        <v>106</v>
      </c>
      <c r="C90" t="s">
        <v>1117</v>
      </c>
      <c r="D90" t="s">
        <v>1133</v>
      </c>
      <c r="E90" t="s">
        <v>1137</v>
      </c>
      <c r="F90" t="s">
        <v>1149</v>
      </c>
      <c r="G90" t="s">
        <v>1152</v>
      </c>
      <c r="H90">
        <v>2</v>
      </c>
      <c r="I90">
        <v>68377</v>
      </c>
      <c r="J90">
        <v>5</v>
      </c>
      <c r="K90">
        <v>64958.15</v>
      </c>
      <c r="L90">
        <v>129916.3</v>
      </c>
      <c r="M90">
        <v>1500</v>
      </c>
      <c r="N90" t="s">
        <v>1160</v>
      </c>
      <c r="O90" t="s">
        <v>1163</v>
      </c>
      <c r="Q90">
        <v>1</v>
      </c>
      <c r="R90" t="s">
        <v>1169</v>
      </c>
    </row>
    <row r="91" spans="1:18" x14ac:dyDescent="0.3">
      <c r="A91" s="2">
        <v>45760</v>
      </c>
      <c r="B91" t="s">
        <v>107</v>
      </c>
      <c r="C91" t="s">
        <v>1128</v>
      </c>
      <c r="D91" t="s">
        <v>1135</v>
      </c>
      <c r="E91" t="s">
        <v>1141</v>
      </c>
      <c r="F91" t="s">
        <v>1151</v>
      </c>
      <c r="G91" t="s">
        <v>1155</v>
      </c>
      <c r="H91">
        <v>1</v>
      </c>
      <c r="I91">
        <v>40867</v>
      </c>
      <c r="J91">
        <v>15</v>
      </c>
      <c r="K91">
        <v>34736.949999999997</v>
      </c>
      <c r="L91">
        <v>34736.949999999997</v>
      </c>
      <c r="M91">
        <v>1000</v>
      </c>
      <c r="N91" t="s">
        <v>1161</v>
      </c>
      <c r="O91" t="s">
        <v>1162</v>
      </c>
      <c r="Q91">
        <v>3</v>
      </c>
      <c r="R91" t="s">
        <v>1168</v>
      </c>
    </row>
    <row r="92" spans="1:18" x14ac:dyDescent="0.3">
      <c r="A92" s="2">
        <v>45704</v>
      </c>
      <c r="B92" t="s">
        <v>108</v>
      </c>
      <c r="C92" t="s">
        <v>1126</v>
      </c>
      <c r="D92" t="s">
        <v>1133</v>
      </c>
      <c r="E92" t="s">
        <v>1140</v>
      </c>
      <c r="F92" t="s">
        <v>1150</v>
      </c>
      <c r="G92" t="s">
        <v>1154</v>
      </c>
      <c r="H92">
        <v>1</v>
      </c>
      <c r="I92">
        <v>48352</v>
      </c>
      <c r="J92">
        <v>0</v>
      </c>
      <c r="K92">
        <v>48352</v>
      </c>
      <c r="L92">
        <v>48352</v>
      </c>
      <c r="M92">
        <v>1000</v>
      </c>
      <c r="N92" t="s">
        <v>1160</v>
      </c>
      <c r="O92" t="s">
        <v>1164</v>
      </c>
      <c r="P92" s="2">
        <v>45714</v>
      </c>
      <c r="R92" t="s">
        <v>1169</v>
      </c>
    </row>
    <row r="93" spans="1:18" x14ac:dyDescent="0.3">
      <c r="A93" s="2">
        <v>45742</v>
      </c>
      <c r="B93" t="s">
        <v>109</v>
      </c>
      <c r="C93" t="s">
        <v>1121</v>
      </c>
      <c r="D93" t="s">
        <v>1136</v>
      </c>
      <c r="E93" t="s">
        <v>1138</v>
      </c>
      <c r="F93" t="s">
        <v>1149</v>
      </c>
      <c r="G93" t="s">
        <v>1153</v>
      </c>
      <c r="H93">
        <v>4</v>
      </c>
      <c r="I93">
        <v>17077</v>
      </c>
      <c r="J93">
        <v>10</v>
      </c>
      <c r="K93">
        <v>15369.3</v>
      </c>
      <c r="L93">
        <v>61477.2</v>
      </c>
      <c r="M93">
        <v>2000</v>
      </c>
      <c r="N93" t="s">
        <v>1161</v>
      </c>
      <c r="O93" t="s">
        <v>1162</v>
      </c>
      <c r="R93" t="s">
        <v>1168</v>
      </c>
    </row>
    <row r="94" spans="1:18" x14ac:dyDescent="0.3">
      <c r="A94" s="2">
        <v>45689</v>
      </c>
      <c r="B94" t="s">
        <v>110</v>
      </c>
      <c r="C94" t="s">
        <v>1128</v>
      </c>
      <c r="D94" t="s">
        <v>1135</v>
      </c>
      <c r="E94" t="s">
        <v>1138</v>
      </c>
      <c r="F94" t="s">
        <v>1149</v>
      </c>
      <c r="G94" t="s">
        <v>1153</v>
      </c>
      <c r="H94">
        <v>1</v>
      </c>
      <c r="I94">
        <v>50394</v>
      </c>
      <c r="J94">
        <v>20</v>
      </c>
      <c r="K94">
        <v>40315.199999999997</v>
      </c>
      <c r="L94">
        <v>40315.199999999997</v>
      </c>
      <c r="M94">
        <v>1000</v>
      </c>
      <c r="N94" t="s">
        <v>1160</v>
      </c>
      <c r="O94" t="s">
        <v>1162</v>
      </c>
      <c r="R94" t="s">
        <v>1167</v>
      </c>
    </row>
    <row r="95" spans="1:18" x14ac:dyDescent="0.3">
      <c r="A95" s="2">
        <v>45832</v>
      </c>
      <c r="B95" t="s">
        <v>111</v>
      </c>
      <c r="C95" t="s">
        <v>1118</v>
      </c>
      <c r="D95" t="s">
        <v>1134</v>
      </c>
      <c r="E95" t="s">
        <v>1138</v>
      </c>
      <c r="F95" t="s">
        <v>1149</v>
      </c>
      <c r="G95" t="s">
        <v>1153</v>
      </c>
      <c r="H95">
        <v>2</v>
      </c>
      <c r="I95">
        <v>11523</v>
      </c>
      <c r="J95">
        <v>20</v>
      </c>
      <c r="K95">
        <v>9218.4</v>
      </c>
      <c r="L95">
        <v>18436.8</v>
      </c>
      <c r="M95">
        <v>1500</v>
      </c>
      <c r="N95" t="s">
        <v>1159</v>
      </c>
      <c r="O95" t="s">
        <v>1162</v>
      </c>
      <c r="Q95">
        <v>1</v>
      </c>
      <c r="R95" t="s">
        <v>1168</v>
      </c>
    </row>
    <row r="96" spans="1:18" x14ac:dyDescent="0.3">
      <c r="A96" s="2">
        <v>45737</v>
      </c>
      <c r="B96" t="s">
        <v>112</v>
      </c>
      <c r="C96" t="s">
        <v>1128</v>
      </c>
      <c r="D96" t="s">
        <v>1135</v>
      </c>
      <c r="E96" t="s">
        <v>1139</v>
      </c>
      <c r="F96" t="s">
        <v>1150</v>
      </c>
      <c r="G96" t="s">
        <v>1154</v>
      </c>
      <c r="H96">
        <v>3</v>
      </c>
      <c r="I96">
        <v>59317</v>
      </c>
      <c r="J96">
        <v>15</v>
      </c>
      <c r="K96">
        <v>50419.45</v>
      </c>
      <c r="L96">
        <v>151258.35</v>
      </c>
      <c r="M96">
        <v>1000</v>
      </c>
      <c r="N96" t="s">
        <v>1161</v>
      </c>
      <c r="O96" t="s">
        <v>1162</v>
      </c>
      <c r="Q96">
        <v>3</v>
      </c>
      <c r="R96" t="s">
        <v>1166</v>
      </c>
    </row>
    <row r="97" spans="1:18" x14ac:dyDescent="0.3">
      <c r="A97" s="2">
        <v>45763</v>
      </c>
      <c r="B97" t="s">
        <v>113</v>
      </c>
      <c r="C97" t="s">
        <v>1117</v>
      </c>
      <c r="D97" t="s">
        <v>1133</v>
      </c>
      <c r="E97" t="s">
        <v>1147</v>
      </c>
      <c r="F97" t="s">
        <v>1150</v>
      </c>
      <c r="G97" t="s">
        <v>1156</v>
      </c>
      <c r="H97">
        <v>4</v>
      </c>
      <c r="I97">
        <v>55787</v>
      </c>
      <c r="J97">
        <v>10</v>
      </c>
      <c r="K97">
        <v>50208.3</v>
      </c>
      <c r="L97">
        <v>200833.2</v>
      </c>
      <c r="M97">
        <v>2000</v>
      </c>
      <c r="N97" t="s">
        <v>1161</v>
      </c>
      <c r="O97" t="s">
        <v>1162</v>
      </c>
      <c r="Q97">
        <v>4</v>
      </c>
      <c r="R97" t="s">
        <v>1168</v>
      </c>
    </row>
    <row r="98" spans="1:18" x14ac:dyDescent="0.3">
      <c r="A98" s="2">
        <v>45664</v>
      </c>
      <c r="B98" t="s">
        <v>114</v>
      </c>
      <c r="C98" t="s">
        <v>1132</v>
      </c>
      <c r="D98" t="s">
        <v>1134</v>
      </c>
      <c r="E98" t="s">
        <v>1140</v>
      </c>
      <c r="F98" t="s">
        <v>1150</v>
      </c>
      <c r="G98" t="s">
        <v>1154</v>
      </c>
      <c r="H98">
        <v>2</v>
      </c>
      <c r="I98">
        <v>76958</v>
      </c>
      <c r="J98">
        <v>15</v>
      </c>
      <c r="K98">
        <v>65414.3</v>
      </c>
      <c r="L98">
        <v>130828.6</v>
      </c>
      <c r="M98">
        <v>1000</v>
      </c>
      <c r="N98" t="s">
        <v>1159</v>
      </c>
      <c r="O98" t="s">
        <v>1163</v>
      </c>
      <c r="Q98">
        <v>4</v>
      </c>
    </row>
    <row r="99" spans="1:18" x14ac:dyDescent="0.3">
      <c r="A99" s="2">
        <v>45815</v>
      </c>
      <c r="B99" t="s">
        <v>115</v>
      </c>
      <c r="C99" t="s">
        <v>1117</v>
      </c>
      <c r="D99" t="s">
        <v>1133</v>
      </c>
      <c r="E99" t="s">
        <v>1148</v>
      </c>
      <c r="F99" t="s">
        <v>1149</v>
      </c>
      <c r="G99" t="s">
        <v>1152</v>
      </c>
      <c r="H99">
        <v>4</v>
      </c>
      <c r="I99">
        <v>17372</v>
      </c>
      <c r="J99">
        <v>10</v>
      </c>
      <c r="K99">
        <v>15634.8</v>
      </c>
      <c r="L99">
        <v>62539.199999999997</v>
      </c>
      <c r="M99">
        <v>2000</v>
      </c>
      <c r="N99" t="s">
        <v>1159</v>
      </c>
      <c r="O99" t="s">
        <v>1164</v>
      </c>
      <c r="P99" s="2">
        <v>45817</v>
      </c>
      <c r="Q99">
        <v>3</v>
      </c>
      <c r="R99" t="s">
        <v>1169</v>
      </c>
    </row>
    <row r="100" spans="1:18" x14ac:dyDescent="0.3">
      <c r="A100" s="2">
        <v>45803</v>
      </c>
      <c r="B100" t="s">
        <v>116</v>
      </c>
      <c r="C100" t="s">
        <v>1127</v>
      </c>
      <c r="D100" t="s">
        <v>1134</v>
      </c>
      <c r="E100" t="s">
        <v>1138</v>
      </c>
      <c r="F100" t="s">
        <v>1149</v>
      </c>
      <c r="G100" t="s">
        <v>1153</v>
      </c>
      <c r="H100">
        <v>3</v>
      </c>
      <c r="I100">
        <v>69102</v>
      </c>
      <c r="J100">
        <v>10</v>
      </c>
      <c r="K100">
        <v>62191.8</v>
      </c>
      <c r="L100">
        <v>186575.4</v>
      </c>
      <c r="M100">
        <v>1500</v>
      </c>
      <c r="N100" t="s">
        <v>1160</v>
      </c>
      <c r="O100" t="s">
        <v>1163</v>
      </c>
      <c r="Q100">
        <v>3</v>
      </c>
      <c r="R100" t="s">
        <v>1167</v>
      </c>
    </row>
    <row r="101" spans="1:18" x14ac:dyDescent="0.3">
      <c r="A101" s="2">
        <v>45689</v>
      </c>
      <c r="B101" t="s">
        <v>117</v>
      </c>
      <c r="C101" t="s">
        <v>1131</v>
      </c>
      <c r="D101" t="s">
        <v>1136</v>
      </c>
      <c r="E101" t="s">
        <v>1142</v>
      </c>
      <c r="F101" t="s">
        <v>1150</v>
      </c>
      <c r="G101" t="s">
        <v>1156</v>
      </c>
      <c r="H101">
        <v>5</v>
      </c>
      <c r="I101">
        <v>31030</v>
      </c>
      <c r="J101">
        <v>5</v>
      </c>
      <c r="K101">
        <v>29478.5</v>
      </c>
      <c r="L101">
        <v>147392.5</v>
      </c>
      <c r="M101">
        <v>1500</v>
      </c>
      <c r="N101" t="s">
        <v>1161</v>
      </c>
      <c r="O101" t="s">
        <v>1162</v>
      </c>
      <c r="Q101">
        <v>2</v>
      </c>
    </row>
    <row r="102" spans="1:18" x14ac:dyDescent="0.3">
      <c r="A102" s="2">
        <v>45759</v>
      </c>
      <c r="B102" t="s">
        <v>118</v>
      </c>
      <c r="C102" t="s">
        <v>1131</v>
      </c>
      <c r="D102" t="s">
        <v>1136</v>
      </c>
      <c r="E102" t="s">
        <v>1147</v>
      </c>
      <c r="F102" t="s">
        <v>1150</v>
      </c>
      <c r="G102" t="s">
        <v>1156</v>
      </c>
      <c r="H102">
        <v>3</v>
      </c>
      <c r="I102">
        <v>45672</v>
      </c>
      <c r="J102">
        <v>15</v>
      </c>
      <c r="K102">
        <v>38821.199999999997</v>
      </c>
      <c r="L102">
        <v>116463.6</v>
      </c>
      <c r="M102">
        <v>1000</v>
      </c>
      <c r="N102" t="s">
        <v>1159</v>
      </c>
      <c r="O102" t="s">
        <v>1164</v>
      </c>
      <c r="P102" s="2">
        <v>45772</v>
      </c>
      <c r="Q102">
        <v>2</v>
      </c>
      <c r="R102" t="s">
        <v>1167</v>
      </c>
    </row>
    <row r="103" spans="1:18" x14ac:dyDescent="0.3">
      <c r="A103" s="2">
        <v>45703</v>
      </c>
      <c r="B103" t="s">
        <v>119</v>
      </c>
      <c r="C103" t="s">
        <v>1126</v>
      </c>
      <c r="D103" t="s">
        <v>1133</v>
      </c>
      <c r="E103" t="s">
        <v>1141</v>
      </c>
      <c r="F103" t="s">
        <v>1151</v>
      </c>
      <c r="G103" t="s">
        <v>1155</v>
      </c>
      <c r="H103">
        <v>2</v>
      </c>
      <c r="I103">
        <v>60744</v>
      </c>
      <c r="J103">
        <v>15</v>
      </c>
      <c r="K103">
        <v>51632.4</v>
      </c>
      <c r="L103">
        <v>103264.8</v>
      </c>
      <c r="M103">
        <v>1000</v>
      </c>
      <c r="N103" t="s">
        <v>1159</v>
      </c>
      <c r="O103" t="s">
        <v>1164</v>
      </c>
      <c r="P103" s="2">
        <v>45716</v>
      </c>
      <c r="Q103">
        <v>2</v>
      </c>
      <c r="R103" t="s">
        <v>1166</v>
      </c>
    </row>
    <row r="104" spans="1:18" x14ac:dyDescent="0.3">
      <c r="A104" s="2">
        <v>45800</v>
      </c>
      <c r="B104" t="s">
        <v>120</v>
      </c>
      <c r="C104" t="s">
        <v>1124</v>
      </c>
      <c r="D104" t="s">
        <v>1135</v>
      </c>
      <c r="E104" t="s">
        <v>1139</v>
      </c>
      <c r="F104" t="s">
        <v>1150</v>
      </c>
      <c r="G104" t="s">
        <v>1154</v>
      </c>
      <c r="H104">
        <v>3</v>
      </c>
      <c r="I104">
        <v>76241</v>
      </c>
      <c r="J104">
        <v>5</v>
      </c>
      <c r="K104">
        <v>72428.95</v>
      </c>
      <c r="L104">
        <v>217286.85</v>
      </c>
      <c r="M104">
        <v>2000</v>
      </c>
      <c r="N104" t="s">
        <v>1160</v>
      </c>
      <c r="O104" t="s">
        <v>1162</v>
      </c>
      <c r="Q104">
        <v>2</v>
      </c>
      <c r="R104" t="s">
        <v>1169</v>
      </c>
    </row>
    <row r="105" spans="1:18" x14ac:dyDescent="0.3">
      <c r="A105" s="2">
        <v>45730</v>
      </c>
      <c r="B105" t="s">
        <v>121</v>
      </c>
      <c r="C105" t="s">
        <v>1128</v>
      </c>
      <c r="D105" t="s">
        <v>1135</v>
      </c>
      <c r="E105" t="s">
        <v>1142</v>
      </c>
      <c r="F105" t="s">
        <v>1150</v>
      </c>
      <c r="G105" t="s">
        <v>1156</v>
      </c>
      <c r="H105">
        <v>2</v>
      </c>
      <c r="I105">
        <v>24981</v>
      </c>
      <c r="J105">
        <v>10</v>
      </c>
      <c r="K105">
        <v>22482.9</v>
      </c>
      <c r="L105">
        <v>44965.8</v>
      </c>
      <c r="M105">
        <v>1500</v>
      </c>
      <c r="N105" t="s">
        <v>1159</v>
      </c>
      <c r="O105" t="s">
        <v>1164</v>
      </c>
      <c r="P105" s="2">
        <v>45740</v>
      </c>
      <c r="Q105">
        <v>2</v>
      </c>
      <c r="R105" t="s">
        <v>1168</v>
      </c>
    </row>
    <row r="106" spans="1:18" x14ac:dyDescent="0.3">
      <c r="A106" s="2">
        <v>45731</v>
      </c>
      <c r="B106" t="s">
        <v>122</v>
      </c>
      <c r="C106" t="s">
        <v>1123</v>
      </c>
      <c r="D106" t="s">
        <v>1135</v>
      </c>
      <c r="E106" t="s">
        <v>1137</v>
      </c>
      <c r="F106" t="s">
        <v>1149</v>
      </c>
      <c r="G106" t="s">
        <v>1152</v>
      </c>
      <c r="H106">
        <v>3</v>
      </c>
      <c r="I106">
        <v>63174</v>
      </c>
      <c r="J106">
        <v>0</v>
      </c>
      <c r="K106">
        <v>63174</v>
      </c>
      <c r="L106">
        <v>189522</v>
      </c>
      <c r="M106">
        <v>1000</v>
      </c>
      <c r="N106" t="s">
        <v>1159</v>
      </c>
      <c r="O106" t="s">
        <v>1163</v>
      </c>
      <c r="R106" t="s">
        <v>1170</v>
      </c>
    </row>
    <row r="107" spans="1:18" x14ac:dyDescent="0.3">
      <c r="A107" s="2">
        <v>45768</v>
      </c>
      <c r="B107" t="s">
        <v>123</v>
      </c>
      <c r="C107" t="s">
        <v>1124</v>
      </c>
      <c r="D107" t="s">
        <v>1135</v>
      </c>
      <c r="E107" t="s">
        <v>1142</v>
      </c>
      <c r="F107" t="s">
        <v>1150</v>
      </c>
      <c r="G107" t="s">
        <v>1156</v>
      </c>
      <c r="H107">
        <v>5</v>
      </c>
      <c r="I107">
        <v>56919</v>
      </c>
      <c r="J107">
        <v>10</v>
      </c>
      <c r="K107">
        <v>51227.1</v>
      </c>
      <c r="L107">
        <v>256135.5</v>
      </c>
      <c r="M107">
        <v>1000</v>
      </c>
      <c r="N107" t="s">
        <v>1159</v>
      </c>
      <c r="O107" t="s">
        <v>1162</v>
      </c>
      <c r="Q107">
        <v>5</v>
      </c>
    </row>
    <row r="108" spans="1:18" x14ac:dyDescent="0.3">
      <c r="A108" s="2">
        <v>45710</v>
      </c>
      <c r="B108" t="s">
        <v>124</v>
      </c>
      <c r="C108" t="s">
        <v>1123</v>
      </c>
      <c r="D108" t="s">
        <v>1135</v>
      </c>
      <c r="E108" t="s">
        <v>1148</v>
      </c>
      <c r="F108" t="s">
        <v>1149</v>
      </c>
      <c r="G108" t="s">
        <v>1152</v>
      </c>
      <c r="H108">
        <v>5</v>
      </c>
      <c r="I108">
        <v>71167</v>
      </c>
      <c r="J108">
        <v>15</v>
      </c>
      <c r="K108">
        <v>60491.95</v>
      </c>
      <c r="L108">
        <v>302459.75</v>
      </c>
      <c r="M108">
        <v>1000</v>
      </c>
      <c r="N108" t="s">
        <v>1161</v>
      </c>
      <c r="O108" t="s">
        <v>1164</v>
      </c>
      <c r="P108" s="2">
        <v>45721</v>
      </c>
      <c r="Q108">
        <v>2</v>
      </c>
      <c r="R108" t="s">
        <v>1167</v>
      </c>
    </row>
    <row r="109" spans="1:18" x14ac:dyDescent="0.3">
      <c r="A109" s="2">
        <v>45802</v>
      </c>
      <c r="B109" t="s">
        <v>125</v>
      </c>
      <c r="C109" t="s">
        <v>1118</v>
      </c>
      <c r="D109" t="s">
        <v>1134</v>
      </c>
      <c r="E109" t="s">
        <v>1139</v>
      </c>
      <c r="F109" t="s">
        <v>1150</v>
      </c>
      <c r="G109" t="s">
        <v>1154</v>
      </c>
      <c r="H109">
        <v>4</v>
      </c>
      <c r="I109">
        <v>27834</v>
      </c>
      <c r="J109">
        <v>0</v>
      </c>
      <c r="K109">
        <v>27834</v>
      </c>
      <c r="L109">
        <v>111336</v>
      </c>
      <c r="M109">
        <v>1000</v>
      </c>
      <c r="N109" t="s">
        <v>1161</v>
      </c>
      <c r="O109" t="s">
        <v>1164</v>
      </c>
      <c r="P109" s="2">
        <v>45810</v>
      </c>
      <c r="Q109">
        <v>1</v>
      </c>
    </row>
    <row r="110" spans="1:18" x14ac:dyDescent="0.3">
      <c r="A110" s="2">
        <v>45727</v>
      </c>
      <c r="B110" t="s">
        <v>126</v>
      </c>
      <c r="C110" t="s">
        <v>1128</v>
      </c>
      <c r="D110" t="s">
        <v>1135</v>
      </c>
      <c r="E110" t="s">
        <v>1145</v>
      </c>
      <c r="F110" t="s">
        <v>1149</v>
      </c>
      <c r="G110" t="s">
        <v>1153</v>
      </c>
      <c r="H110">
        <v>4</v>
      </c>
      <c r="I110">
        <v>37741</v>
      </c>
      <c r="J110">
        <v>20</v>
      </c>
      <c r="K110">
        <v>30192.799999999999</v>
      </c>
      <c r="L110">
        <v>120771.2</v>
      </c>
      <c r="M110">
        <v>2000</v>
      </c>
      <c r="N110" t="s">
        <v>1159</v>
      </c>
      <c r="O110" t="s">
        <v>1164</v>
      </c>
      <c r="P110" s="2">
        <v>45734</v>
      </c>
      <c r="Q110">
        <v>1</v>
      </c>
      <c r="R110" t="s">
        <v>1168</v>
      </c>
    </row>
    <row r="111" spans="1:18" x14ac:dyDescent="0.3">
      <c r="A111" s="2">
        <v>45718</v>
      </c>
      <c r="B111" t="s">
        <v>127</v>
      </c>
      <c r="C111" t="s">
        <v>1125</v>
      </c>
      <c r="D111" t="s">
        <v>1133</v>
      </c>
      <c r="E111" t="s">
        <v>1148</v>
      </c>
      <c r="F111" t="s">
        <v>1149</v>
      </c>
      <c r="G111" t="s">
        <v>1152</v>
      </c>
      <c r="H111">
        <v>3</v>
      </c>
      <c r="I111">
        <v>60200</v>
      </c>
      <c r="J111">
        <v>15</v>
      </c>
      <c r="K111">
        <v>51170</v>
      </c>
      <c r="L111">
        <v>153510</v>
      </c>
      <c r="M111">
        <v>1500</v>
      </c>
      <c r="N111" t="s">
        <v>1160</v>
      </c>
      <c r="O111" t="s">
        <v>1162</v>
      </c>
      <c r="R111" t="s">
        <v>1170</v>
      </c>
    </row>
    <row r="112" spans="1:18" x14ac:dyDescent="0.3">
      <c r="A112" s="2">
        <v>45825</v>
      </c>
      <c r="B112" t="s">
        <v>128</v>
      </c>
      <c r="C112" t="s">
        <v>1130</v>
      </c>
      <c r="D112" t="s">
        <v>1136</v>
      </c>
      <c r="E112" t="s">
        <v>1143</v>
      </c>
      <c r="F112" t="s">
        <v>1151</v>
      </c>
      <c r="G112" t="s">
        <v>1157</v>
      </c>
      <c r="H112">
        <v>4</v>
      </c>
      <c r="I112">
        <v>36197</v>
      </c>
      <c r="J112">
        <v>15</v>
      </c>
      <c r="K112">
        <v>30767.45</v>
      </c>
      <c r="L112">
        <v>123069.8</v>
      </c>
      <c r="M112">
        <v>1500</v>
      </c>
      <c r="N112" t="s">
        <v>1160</v>
      </c>
      <c r="O112" t="s">
        <v>1164</v>
      </c>
      <c r="P112" s="2">
        <v>45834</v>
      </c>
      <c r="Q112">
        <v>1</v>
      </c>
      <c r="R112" t="s">
        <v>1170</v>
      </c>
    </row>
    <row r="113" spans="1:18" x14ac:dyDescent="0.3">
      <c r="A113" s="2">
        <v>45792</v>
      </c>
      <c r="B113" t="s">
        <v>129</v>
      </c>
      <c r="C113" t="s">
        <v>1131</v>
      </c>
      <c r="D113" t="s">
        <v>1136</v>
      </c>
      <c r="E113" t="s">
        <v>1138</v>
      </c>
      <c r="F113" t="s">
        <v>1149</v>
      </c>
      <c r="G113" t="s">
        <v>1153</v>
      </c>
      <c r="H113">
        <v>3</v>
      </c>
      <c r="I113">
        <v>75778</v>
      </c>
      <c r="J113">
        <v>5</v>
      </c>
      <c r="K113">
        <v>71989.100000000006</v>
      </c>
      <c r="L113">
        <v>215967.3</v>
      </c>
      <c r="M113">
        <v>2000</v>
      </c>
      <c r="N113" t="s">
        <v>1159</v>
      </c>
      <c r="O113" t="s">
        <v>1162</v>
      </c>
      <c r="R113" t="s">
        <v>1169</v>
      </c>
    </row>
    <row r="114" spans="1:18" x14ac:dyDescent="0.3">
      <c r="A114" s="2">
        <v>45788</v>
      </c>
      <c r="B114" t="s">
        <v>130</v>
      </c>
      <c r="C114" t="s">
        <v>1132</v>
      </c>
      <c r="D114" t="s">
        <v>1134</v>
      </c>
      <c r="E114" t="s">
        <v>1137</v>
      </c>
      <c r="F114" t="s">
        <v>1149</v>
      </c>
      <c r="G114" t="s">
        <v>1152</v>
      </c>
      <c r="H114">
        <v>5</v>
      </c>
      <c r="I114">
        <v>31815</v>
      </c>
      <c r="J114">
        <v>20</v>
      </c>
      <c r="K114">
        <v>25452</v>
      </c>
      <c r="L114">
        <v>127260</v>
      </c>
      <c r="M114">
        <v>1000</v>
      </c>
      <c r="N114" t="s">
        <v>1160</v>
      </c>
      <c r="O114" t="s">
        <v>1162</v>
      </c>
      <c r="Q114">
        <v>2</v>
      </c>
      <c r="R114" t="s">
        <v>1167</v>
      </c>
    </row>
    <row r="115" spans="1:18" x14ac:dyDescent="0.3">
      <c r="A115" s="2">
        <v>45758</v>
      </c>
      <c r="B115" t="s">
        <v>131</v>
      </c>
      <c r="C115" t="s">
        <v>1127</v>
      </c>
      <c r="D115" t="s">
        <v>1134</v>
      </c>
      <c r="E115" t="s">
        <v>1141</v>
      </c>
      <c r="F115" t="s">
        <v>1151</v>
      </c>
      <c r="G115" t="s">
        <v>1155</v>
      </c>
      <c r="H115">
        <v>5</v>
      </c>
      <c r="I115">
        <v>36831</v>
      </c>
      <c r="J115">
        <v>10</v>
      </c>
      <c r="K115">
        <v>33147.9</v>
      </c>
      <c r="L115">
        <v>165739.5</v>
      </c>
      <c r="M115">
        <v>1500</v>
      </c>
      <c r="N115" t="s">
        <v>1160</v>
      </c>
      <c r="O115" t="s">
        <v>1162</v>
      </c>
      <c r="Q115">
        <v>5</v>
      </c>
      <c r="R115" t="s">
        <v>1169</v>
      </c>
    </row>
    <row r="116" spans="1:18" x14ac:dyDescent="0.3">
      <c r="A116" s="2">
        <v>45734</v>
      </c>
      <c r="B116" t="s">
        <v>132</v>
      </c>
      <c r="C116" t="s">
        <v>1131</v>
      </c>
      <c r="D116" t="s">
        <v>1136</v>
      </c>
      <c r="E116" t="s">
        <v>1146</v>
      </c>
      <c r="F116" t="s">
        <v>1151</v>
      </c>
      <c r="G116" t="s">
        <v>1155</v>
      </c>
      <c r="H116">
        <v>4</v>
      </c>
      <c r="I116">
        <v>35322</v>
      </c>
      <c r="J116">
        <v>20</v>
      </c>
      <c r="K116">
        <v>28257.599999999999</v>
      </c>
      <c r="L116">
        <v>113030.39999999999</v>
      </c>
      <c r="M116">
        <v>1500</v>
      </c>
      <c r="N116" t="s">
        <v>1161</v>
      </c>
      <c r="O116" t="s">
        <v>1163</v>
      </c>
      <c r="Q116">
        <v>5</v>
      </c>
      <c r="R116" t="s">
        <v>1166</v>
      </c>
    </row>
    <row r="117" spans="1:18" x14ac:dyDescent="0.3">
      <c r="A117" s="2">
        <v>45674</v>
      </c>
      <c r="B117" t="s">
        <v>133</v>
      </c>
      <c r="C117" t="s">
        <v>1129</v>
      </c>
      <c r="D117" t="s">
        <v>1133</v>
      </c>
      <c r="E117" t="s">
        <v>1147</v>
      </c>
      <c r="F117" t="s">
        <v>1150</v>
      </c>
      <c r="G117" t="s">
        <v>1156</v>
      </c>
      <c r="H117">
        <v>4</v>
      </c>
      <c r="I117">
        <v>20624</v>
      </c>
      <c r="J117">
        <v>10</v>
      </c>
      <c r="K117">
        <v>18561.599999999999</v>
      </c>
      <c r="L117">
        <v>74246.399999999994</v>
      </c>
      <c r="M117">
        <v>2000</v>
      </c>
      <c r="N117" t="s">
        <v>1160</v>
      </c>
      <c r="O117" t="s">
        <v>1163</v>
      </c>
      <c r="Q117">
        <v>5</v>
      </c>
    </row>
    <row r="118" spans="1:18" x14ac:dyDescent="0.3">
      <c r="A118" s="2">
        <v>45777</v>
      </c>
      <c r="B118" t="s">
        <v>134</v>
      </c>
      <c r="C118" t="s">
        <v>1132</v>
      </c>
      <c r="D118" t="s">
        <v>1134</v>
      </c>
      <c r="E118" t="s">
        <v>1140</v>
      </c>
      <c r="F118" t="s">
        <v>1150</v>
      </c>
      <c r="G118" t="s">
        <v>1154</v>
      </c>
      <c r="H118">
        <v>3</v>
      </c>
      <c r="I118">
        <v>63437</v>
      </c>
      <c r="J118">
        <v>15</v>
      </c>
      <c r="K118">
        <v>53921.45</v>
      </c>
      <c r="L118">
        <v>161764.35</v>
      </c>
      <c r="M118">
        <v>1000</v>
      </c>
      <c r="N118" t="s">
        <v>1161</v>
      </c>
      <c r="O118" t="s">
        <v>1162</v>
      </c>
      <c r="Q118">
        <v>1</v>
      </c>
      <c r="R118" t="s">
        <v>1170</v>
      </c>
    </row>
    <row r="119" spans="1:18" x14ac:dyDescent="0.3">
      <c r="A119" s="2">
        <v>45798</v>
      </c>
      <c r="B119" t="s">
        <v>135</v>
      </c>
      <c r="C119" t="s">
        <v>1117</v>
      </c>
      <c r="D119" t="s">
        <v>1133</v>
      </c>
      <c r="E119" t="s">
        <v>1145</v>
      </c>
      <c r="F119" t="s">
        <v>1149</v>
      </c>
      <c r="G119" t="s">
        <v>1153</v>
      </c>
      <c r="H119">
        <v>5</v>
      </c>
      <c r="I119">
        <v>23718</v>
      </c>
      <c r="J119">
        <v>15</v>
      </c>
      <c r="K119">
        <v>20160.3</v>
      </c>
      <c r="L119">
        <v>100801.5</v>
      </c>
      <c r="M119">
        <v>1500</v>
      </c>
      <c r="N119" t="s">
        <v>1161</v>
      </c>
      <c r="O119" t="s">
        <v>1162</v>
      </c>
      <c r="Q119">
        <v>1</v>
      </c>
      <c r="R119" t="s">
        <v>1169</v>
      </c>
    </row>
    <row r="120" spans="1:18" x14ac:dyDescent="0.3">
      <c r="A120" s="2">
        <v>45762</v>
      </c>
      <c r="B120" t="s">
        <v>136</v>
      </c>
      <c r="C120" t="s">
        <v>1129</v>
      </c>
      <c r="D120" t="s">
        <v>1133</v>
      </c>
      <c r="E120" t="s">
        <v>1141</v>
      </c>
      <c r="F120" t="s">
        <v>1151</v>
      </c>
      <c r="G120" t="s">
        <v>1155</v>
      </c>
      <c r="H120">
        <v>2</v>
      </c>
      <c r="I120">
        <v>77478</v>
      </c>
      <c r="J120">
        <v>0</v>
      </c>
      <c r="K120">
        <v>77478</v>
      </c>
      <c r="L120">
        <v>154956</v>
      </c>
      <c r="M120">
        <v>1000</v>
      </c>
      <c r="N120" t="s">
        <v>1161</v>
      </c>
      <c r="O120" t="s">
        <v>1163</v>
      </c>
      <c r="Q120">
        <v>4</v>
      </c>
      <c r="R120" t="s">
        <v>1169</v>
      </c>
    </row>
    <row r="121" spans="1:18" x14ac:dyDescent="0.3">
      <c r="A121" s="2">
        <v>45817</v>
      </c>
      <c r="B121" t="s">
        <v>137</v>
      </c>
      <c r="C121" t="s">
        <v>1125</v>
      </c>
      <c r="D121" t="s">
        <v>1133</v>
      </c>
      <c r="E121" t="s">
        <v>1137</v>
      </c>
      <c r="F121" t="s">
        <v>1149</v>
      </c>
      <c r="G121" t="s">
        <v>1152</v>
      </c>
      <c r="H121">
        <v>2</v>
      </c>
      <c r="I121">
        <v>31352</v>
      </c>
      <c r="J121">
        <v>10</v>
      </c>
      <c r="K121">
        <v>28216.799999999999</v>
      </c>
      <c r="L121">
        <v>56433.599999999999</v>
      </c>
      <c r="M121">
        <v>1500</v>
      </c>
      <c r="N121" t="s">
        <v>1159</v>
      </c>
      <c r="O121" t="s">
        <v>1163</v>
      </c>
      <c r="R121" t="s">
        <v>1168</v>
      </c>
    </row>
    <row r="122" spans="1:18" x14ac:dyDescent="0.3">
      <c r="A122" s="2">
        <v>45685</v>
      </c>
      <c r="B122" t="s">
        <v>138</v>
      </c>
      <c r="C122" t="s">
        <v>1128</v>
      </c>
      <c r="D122" t="s">
        <v>1135</v>
      </c>
      <c r="E122" t="s">
        <v>1144</v>
      </c>
      <c r="F122" t="s">
        <v>1151</v>
      </c>
      <c r="G122" t="s">
        <v>1157</v>
      </c>
      <c r="H122">
        <v>1</v>
      </c>
      <c r="I122">
        <v>53647</v>
      </c>
      <c r="J122" t="s">
        <v>1158</v>
      </c>
      <c r="K122">
        <v>45599.95</v>
      </c>
      <c r="L122">
        <v>45599.95</v>
      </c>
      <c r="M122">
        <v>2000</v>
      </c>
      <c r="N122" t="s">
        <v>1161</v>
      </c>
      <c r="O122" t="s">
        <v>1164</v>
      </c>
      <c r="P122" s="2">
        <v>45693</v>
      </c>
      <c r="Q122">
        <v>2</v>
      </c>
      <c r="R122" t="s">
        <v>1166</v>
      </c>
    </row>
    <row r="123" spans="1:18" x14ac:dyDescent="0.3">
      <c r="A123" s="2">
        <v>45814</v>
      </c>
      <c r="B123" t="s">
        <v>139</v>
      </c>
      <c r="C123" t="s">
        <v>1122</v>
      </c>
      <c r="D123" t="s">
        <v>1136</v>
      </c>
      <c r="E123" t="s">
        <v>1138</v>
      </c>
      <c r="F123" t="s">
        <v>1149</v>
      </c>
      <c r="G123" t="s">
        <v>1153</v>
      </c>
      <c r="H123">
        <v>3</v>
      </c>
      <c r="I123">
        <v>15220</v>
      </c>
      <c r="J123">
        <v>15</v>
      </c>
      <c r="K123">
        <v>12937</v>
      </c>
      <c r="L123">
        <v>38811</v>
      </c>
      <c r="M123">
        <v>1500</v>
      </c>
      <c r="N123" t="s">
        <v>1160</v>
      </c>
      <c r="O123" t="s">
        <v>1163</v>
      </c>
      <c r="Q123">
        <v>3</v>
      </c>
      <c r="R123" t="s">
        <v>1166</v>
      </c>
    </row>
    <row r="124" spans="1:18" x14ac:dyDescent="0.3">
      <c r="A124" s="2">
        <v>45809</v>
      </c>
      <c r="B124" t="s">
        <v>140</v>
      </c>
      <c r="C124" t="s">
        <v>1122</v>
      </c>
      <c r="D124" t="s">
        <v>1136</v>
      </c>
      <c r="E124" t="s">
        <v>1141</v>
      </c>
      <c r="F124" t="s">
        <v>1151</v>
      </c>
      <c r="G124" t="s">
        <v>1155</v>
      </c>
      <c r="H124">
        <v>5</v>
      </c>
      <c r="I124">
        <v>24167</v>
      </c>
      <c r="J124">
        <v>20</v>
      </c>
      <c r="K124">
        <v>19333.599999999999</v>
      </c>
      <c r="L124">
        <v>96668</v>
      </c>
      <c r="M124">
        <v>2000</v>
      </c>
      <c r="N124" t="s">
        <v>1159</v>
      </c>
      <c r="O124" t="s">
        <v>1162</v>
      </c>
      <c r="Q124">
        <v>1</v>
      </c>
      <c r="R124" t="s">
        <v>1170</v>
      </c>
    </row>
    <row r="125" spans="1:18" x14ac:dyDescent="0.3">
      <c r="A125" s="2">
        <v>45799</v>
      </c>
      <c r="B125" t="s">
        <v>141</v>
      </c>
      <c r="C125" t="s">
        <v>1126</v>
      </c>
      <c r="D125" t="s">
        <v>1133</v>
      </c>
      <c r="E125" t="s">
        <v>1139</v>
      </c>
      <c r="F125" t="s">
        <v>1150</v>
      </c>
      <c r="G125" t="s">
        <v>1154</v>
      </c>
      <c r="H125">
        <v>1</v>
      </c>
      <c r="I125">
        <v>38882</v>
      </c>
      <c r="J125">
        <v>0</v>
      </c>
      <c r="K125">
        <v>38882</v>
      </c>
      <c r="L125">
        <v>38882</v>
      </c>
      <c r="M125">
        <v>1000</v>
      </c>
      <c r="N125" t="s">
        <v>1160</v>
      </c>
      <c r="O125" t="s">
        <v>1162</v>
      </c>
      <c r="R125" t="s">
        <v>1169</v>
      </c>
    </row>
    <row r="126" spans="1:18" x14ac:dyDescent="0.3">
      <c r="A126" s="2">
        <v>45660</v>
      </c>
      <c r="B126" t="s">
        <v>142</v>
      </c>
      <c r="C126" t="s">
        <v>1131</v>
      </c>
      <c r="D126" t="s">
        <v>1136</v>
      </c>
      <c r="E126" t="s">
        <v>1147</v>
      </c>
      <c r="F126" t="s">
        <v>1150</v>
      </c>
      <c r="G126" t="s">
        <v>1156</v>
      </c>
      <c r="H126">
        <v>2</v>
      </c>
      <c r="I126">
        <v>37530</v>
      </c>
      <c r="J126">
        <v>5</v>
      </c>
      <c r="K126">
        <v>35653.5</v>
      </c>
      <c r="L126">
        <v>71307</v>
      </c>
      <c r="M126">
        <v>1000</v>
      </c>
      <c r="N126" t="s">
        <v>1159</v>
      </c>
      <c r="O126" t="s">
        <v>1164</v>
      </c>
      <c r="P126" s="2">
        <v>45667</v>
      </c>
      <c r="Q126">
        <v>3</v>
      </c>
      <c r="R126" t="s">
        <v>1167</v>
      </c>
    </row>
    <row r="127" spans="1:18" x14ac:dyDescent="0.3">
      <c r="A127" s="2">
        <v>45800</v>
      </c>
      <c r="B127" t="s">
        <v>143</v>
      </c>
      <c r="C127" t="s">
        <v>1123</v>
      </c>
      <c r="D127" t="s">
        <v>1135</v>
      </c>
      <c r="E127" t="s">
        <v>1145</v>
      </c>
      <c r="F127" t="s">
        <v>1149</v>
      </c>
      <c r="G127" t="s">
        <v>1153</v>
      </c>
      <c r="H127">
        <v>1</v>
      </c>
      <c r="I127">
        <v>7037</v>
      </c>
      <c r="J127">
        <v>15</v>
      </c>
      <c r="K127">
        <v>5981.45</v>
      </c>
      <c r="L127">
        <v>5981.45</v>
      </c>
      <c r="M127">
        <v>2000</v>
      </c>
      <c r="N127" t="s">
        <v>1159</v>
      </c>
      <c r="O127" t="s">
        <v>1162</v>
      </c>
      <c r="Q127">
        <v>4</v>
      </c>
      <c r="R127" t="s">
        <v>1168</v>
      </c>
    </row>
    <row r="128" spans="1:18" x14ac:dyDescent="0.3">
      <c r="A128" s="2">
        <v>45775</v>
      </c>
      <c r="B128" t="s">
        <v>144</v>
      </c>
      <c r="C128" t="s">
        <v>1128</v>
      </c>
      <c r="D128" t="s">
        <v>1135</v>
      </c>
      <c r="E128" t="s">
        <v>1138</v>
      </c>
      <c r="F128" t="s">
        <v>1149</v>
      </c>
      <c r="G128" t="s">
        <v>1153</v>
      </c>
      <c r="H128">
        <v>4</v>
      </c>
      <c r="I128">
        <v>24762</v>
      </c>
      <c r="J128">
        <v>20</v>
      </c>
      <c r="K128">
        <v>19809.599999999999</v>
      </c>
      <c r="L128">
        <v>79238.399999999994</v>
      </c>
      <c r="M128">
        <v>1500</v>
      </c>
      <c r="N128" t="s">
        <v>1161</v>
      </c>
      <c r="O128" t="s">
        <v>1164</v>
      </c>
      <c r="P128" s="2">
        <v>45781</v>
      </c>
      <c r="R128" t="s">
        <v>1170</v>
      </c>
    </row>
    <row r="129" spans="1:18" x14ac:dyDescent="0.3">
      <c r="A129" s="2">
        <v>45713</v>
      </c>
      <c r="B129" t="s">
        <v>145</v>
      </c>
      <c r="C129" t="s">
        <v>1120</v>
      </c>
      <c r="D129" t="s">
        <v>1135</v>
      </c>
      <c r="E129" t="s">
        <v>1141</v>
      </c>
      <c r="F129" t="s">
        <v>1151</v>
      </c>
      <c r="G129" t="s">
        <v>1155</v>
      </c>
      <c r="H129">
        <v>1</v>
      </c>
      <c r="I129">
        <v>57360</v>
      </c>
      <c r="J129">
        <v>5</v>
      </c>
      <c r="K129">
        <v>54492</v>
      </c>
      <c r="L129">
        <v>54492</v>
      </c>
      <c r="M129">
        <v>1500</v>
      </c>
      <c r="N129" t="s">
        <v>1160</v>
      </c>
      <c r="O129" t="s">
        <v>1164</v>
      </c>
      <c r="P129" s="2">
        <v>45720</v>
      </c>
      <c r="Q129">
        <v>4</v>
      </c>
      <c r="R129" t="s">
        <v>1169</v>
      </c>
    </row>
    <row r="130" spans="1:18" x14ac:dyDescent="0.3">
      <c r="A130" s="2">
        <v>45748</v>
      </c>
      <c r="B130" t="s">
        <v>146</v>
      </c>
      <c r="C130" t="s">
        <v>1126</v>
      </c>
      <c r="D130" t="s">
        <v>1133</v>
      </c>
      <c r="E130" t="s">
        <v>1144</v>
      </c>
      <c r="F130" t="s">
        <v>1151</v>
      </c>
      <c r="G130" t="s">
        <v>1157</v>
      </c>
      <c r="H130">
        <v>2</v>
      </c>
      <c r="I130">
        <v>13653</v>
      </c>
      <c r="J130">
        <v>15</v>
      </c>
      <c r="K130">
        <v>11605.05</v>
      </c>
      <c r="L130">
        <v>23210.1</v>
      </c>
      <c r="M130">
        <v>2000</v>
      </c>
      <c r="N130" t="s">
        <v>1160</v>
      </c>
      <c r="O130" t="s">
        <v>1164</v>
      </c>
      <c r="P130" s="2">
        <v>45752</v>
      </c>
      <c r="R130" t="s">
        <v>1169</v>
      </c>
    </row>
    <row r="131" spans="1:18" x14ac:dyDescent="0.3">
      <c r="A131" s="2">
        <v>45819</v>
      </c>
      <c r="B131" t="s">
        <v>147</v>
      </c>
      <c r="C131" t="s">
        <v>1132</v>
      </c>
      <c r="D131" t="s">
        <v>1134</v>
      </c>
      <c r="E131" t="s">
        <v>1137</v>
      </c>
      <c r="F131" t="s">
        <v>1149</v>
      </c>
      <c r="G131" t="s">
        <v>1152</v>
      </c>
      <c r="H131">
        <v>2</v>
      </c>
      <c r="I131">
        <v>56812</v>
      </c>
      <c r="J131">
        <v>0</v>
      </c>
      <c r="K131">
        <v>56812</v>
      </c>
      <c r="L131">
        <v>113624</v>
      </c>
      <c r="M131">
        <v>1500</v>
      </c>
      <c r="N131" t="s">
        <v>1161</v>
      </c>
      <c r="O131" t="s">
        <v>1164</v>
      </c>
      <c r="P131" s="2">
        <v>45822</v>
      </c>
      <c r="Q131">
        <v>2</v>
      </c>
      <c r="R131" t="s">
        <v>1169</v>
      </c>
    </row>
    <row r="132" spans="1:18" x14ac:dyDescent="0.3">
      <c r="A132" s="2">
        <v>45798</v>
      </c>
      <c r="B132" t="s">
        <v>148</v>
      </c>
      <c r="C132" t="s">
        <v>1121</v>
      </c>
      <c r="D132" t="s">
        <v>1136</v>
      </c>
      <c r="E132" t="s">
        <v>1145</v>
      </c>
      <c r="F132" t="s">
        <v>1149</v>
      </c>
      <c r="G132" t="s">
        <v>1153</v>
      </c>
      <c r="H132">
        <v>1</v>
      </c>
      <c r="I132">
        <v>60646</v>
      </c>
      <c r="J132">
        <v>20</v>
      </c>
      <c r="K132">
        <v>48516.800000000003</v>
      </c>
      <c r="L132">
        <v>48516.800000000003</v>
      </c>
      <c r="M132">
        <v>1500</v>
      </c>
      <c r="N132" t="s">
        <v>1160</v>
      </c>
      <c r="O132" t="s">
        <v>1163</v>
      </c>
      <c r="Q132">
        <v>3</v>
      </c>
      <c r="R132" t="s">
        <v>1170</v>
      </c>
    </row>
    <row r="133" spans="1:18" x14ac:dyDescent="0.3">
      <c r="A133" s="2">
        <v>45707</v>
      </c>
      <c r="B133" t="s">
        <v>149</v>
      </c>
      <c r="C133" t="s">
        <v>1126</v>
      </c>
      <c r="D133" t="s">
        <v>1133</v>
      </c>
      <c r="E133" t="s">
        <v>1139</v>
      </c>
      <c r="F133" t="s">
        <v>1150</v>
      </c>
      <c r="G133" t="s">
        <v>1154</v>
      </c>
      <c r="H133">
        <v>1</v>
      </c>
      <c r="I133">
        <v>46080</v>
      </c>
      <c r="J133">
        <v>0</v>
      </c>
      <c r="K133">
        <v>46080</v>
      </c>
      <c r="L133">
        <v>46080</v>
      </c>
      <c r="M133">
        <v>1000</v>
      </c>
      <c r="N133" t="s">
        <v>1161</v>
      </c>
      <c r="O133" t="s">
        <v>1162</v>
      </c>
      <c r="Q133" t="s">
        <v>1165</v>
      </c>
      <c r="R133" t="s">
        <v>1167</v>
      </c>
    </row>
    <row r="134" spans="1:18" x14ac:dyDescent="0.3">
      <c r="A134" s="2">
        <v>45658</v>
      </c>
      <c r="B134" t="s">
        <v>150</v>
      </c>
      <c r="C134" t="s">
        <v>1119</v>
      </c>
      <c r="D134" t="s">
        <v>1134</v>
      </c>
      <c r="E134" t="s">
        <v>1147</v>
      </c>
      <c r="F134" t="s">
        <v>1150</v>
      </c>
      <c r="G134" t="s">
        <v>1156</v>
      </c>
      <c r="H134">
        <v>4</v>
      </c>
      <c r="I134">
        <v>24135</v>
      </c>
      <c r="J134">
        <v>5</v>
      </c>
      <c r="K134">
        <v>22928.25</v>
      </c>
      <c r="L134">
        <v>91713</v>
      </c>
      <c r="M134">
        <v>2000</v>
      </c>
      <c r="N134" t="s">
        <v>1159</v>
      </c>
      <c r="O134" t="s">
        <v>1162</v>
      </c>
    </row>
    <row r="135" spans="1:18" x14ac:dyDescent="0.3">
      <c r="A135" s="2">
        <v>45676</v>
      </c>
      <c r="B135" t="s">
        <v>151</v>
      </c>
      <c r="C135" t="s">
        <v>1126</v>
      </c>
      <c r="D135" t="s">
        <v>1133</v>
      </c>
      <c r="E135" t="s">
        <v>1140</v>
      </c>
      <c r="F135" t="s">
        <v>1150</v>
      </c>
      <c r="G135" t="s">
        <v>1154</v>
      </c>
      <c r="H135">
        <v>2</v>
      </c>
      <c r="I135">
        <v>60917</v>
      </c>
      <c r="J135">
        <v>20</v>
      </c>
      <c r="K135">
        <v>48733.599999999999</v>
      </c>
      <c r="L135">
        <v>97467.199999999997</v>
      </c>
      <c r="M135">
        <v>1500</v>
      </c>
      <c r="N135" t="s">
        <v>1160</v>
      </c>
      <c r="O135" t="s">
        <v>1163</v>
      </c>
      <c r="R135" t="s">
        <v>1170</v>
      </c>
    </row>
    <row r="136" spans="1:18" x14ac:dyDescent="0.3">
      <c r="A136" s="2">
        <v>45748</v>
      </c>
      <c r="B136" t="s">
        <v>152</v>
      </c>
      <c r="C136" t="s">
        <v>1118</v>
      </c>
      <c r="D136" t="s">
        <v>1134</v>
      </c>
      <c r="E136" t="s">
        <v>1138</v>
      </c>
      <c r="F136" t="s">
        <v>1149</v>
      </c>
      <c r="G136" t="s">
        <v>1153</v>
      </c>
      <c r="H136">
        <v>2</v>
      </c>
      <c r="I136">
        <v>31522</v>
      </c>
      <c r="J136">
        <v>10</v>
      </c>
      <c r="K136">
        <v>28369.8</v>
      </c>
      <c r="L136">
        <v>56739.6</v>
      </c>
      <c r="M136">
        <v>1000</v>
      </c>
      <c r="N136" t="s">
        <v>1160</v>
      </c>
      <c r="O136" t="s">
        <v>1162</v>
      </c>
      <c r="Q136">
        <v>1</v>
      </c>
      <c r="R136" t="s">
        <v>1168</v>
      </c>
    </row>
    <row r="137" spans="1:18" x14ac:dyDescent="0.3">
      <c r="A137" s="2">
        <v>45682</v>
      </c>
      <c r="B137" t="s">
        <v>153</v>
      </c>
      <c r="C137" t="s">
        <v>1122</v>
      </c>
      <c r="D137" t="s">
        <v>1136</v>
      </c>
      <c r="E137" t="s">
        <v>1144</v>
      </c>
      <c r="F137" t="s">
        <v>1151</v>
      </c>
      <c r="G137" t="s">
        <v>1157</v>
      </c>
      <c r="H137">
        <v>4</v>
      </c>
      <c r="I137">
        <v>25745</v>
      </c>
      <c r="J137">
        <v>5</v>
      </c>
      <c r="K137">
        <v>24457.75</v>
      </c>
      <c r="L137">
        <v>97831</v>
      </c>
      <c r="M137">
        <v>1500</v>
      </c>
      <c r="N137" t="s">
        <v>1161</v>
      </c>
      <c r="O137" t="s">
        <v>1162</v>
      </c>
      <c r="R137" t="s">
        <v>1169</v>
      </c>
    </row>
    <row r="138" spans="1:18" x14ac:dyDescent="0.3">
      <c r="A138" s="2">
        <v>45813</v>
      </c>
      <c r="B138" t="s">
        <v>154</v>
      </c>
      <c r="C138" t="s">
        <v>1125</v>
      </c>
      <c r="D138" t="s">
        <v>1133</v>
      </c>
      <c r="E138" t="s">
        <v>1145</v>
      </c>
      <c r="F138" t="s">
        <v>1149</v>
      </c>
      <c r="G138" t="s">
        <v>1153</v>
      </c>
      <c r="H138">
        <v>5</v>
      </c>
      <c r="I138">
        <v>37214</v>
      </c>
      <c r="J138">
        <v>20</v>
      </c>
      <c r="K138">
        <v>29771.200000000001</v>
      </c>
      <c r="L138">
        <v>148856</v>
      </c>
      <c r="M138">
        <v>1000</v>
      </c>
      <c r="N138" t="s">
        <v>1161</v>
      </c>
      <c r="O138" t="s">
        <v>1162</v>
      </c>
      <c r="Q138">
        <v>5</v>
      </c>
      <c r="R138" t="s">
        <v>1170</v>
      </c>
    </row>
    <row r="139" spans="1:18" x14ac:dyDescent="0.3">
      <c r="A139" s="2">
        <v>45694</v>
      </c>
      <c r="B139" t="s">
        <v>155</v>
      </c>
      <c r="C139" t="s">
        <v>1118</v>
      </c>
      <c r="D139" t="s">
        <v>1134</v>
      </c>
      <c r="E139" t="s">
        <v>1140</v>
      </c>
      <c r="F139" t="s">
        <v>1150</v>
      </c>
      <c r="G139" t="s">
        <v>1154</v>
      </c>
      <c r="H139">
        <v>3</v>
      </c>
      <c r="I139">
        <v>77637</v>
      </c>
      <c r="J139">
        <v>10</v>
      </c>
      <c r="K139">
        <v>69873.3</v>
      </c>
      <c r="L139">
        <v>209619.9</v>
      </c>
      <c r="M139">
        <v>1500</v>
      </c>
      <c r="N139" t="s">
        <v>1159</v>
      </c>
      <c r="O139" t="s">
        <v>1162</v>
      </c>
      <c r="Q139">
        <v>4</v>
      </c>
      <c r="R139" t="s">
        <v>1170</v>
      </c>
    </row>
    <row r="140" spans="1:18" x14ac:dyDescent="0.3">
      <c r="A140" s="2">
        <v>45730</v>
      </c>
      <c r="B140" t="s">
        <v>156</v>
      </c>
      <c r="C140" t="s">
        <v>1128</v>
      </c>
      <c r="D140" t="s">
        <v>1135</v>
      </c>
      <c r="E140" t="s">
        <v>1138</v>
      </c>
      <c r="F140" t="s">
        <v>1149</v>
      </c>
      <c r="G140" t="s">
        <v>1153</v>
      </c>
      <c r="H140">
        <v>5</v>
      </c>
      <c r="I140">
        <v>16693</v>
      </c>
      <c r="J140">
        <v>5</v>
      </c>
      <c r="K140">
        <v>15858.35</v>
      </c>
      <c r="L140">
        <v>79291.75</v>
      </c>
      <c r="M140">
        <v>1000</v>
      </c>
      <c r="N140" t="s">
        <v>1159</v>
      </c>
      <c r="O140" t="s">
        <v>1162</v>
      </c>
    </row>
    <row r="141" spans="1:18" x14ac:dyDescent="0.3">
      <c r="A141" s="2">
        <v>45709</v>
      </c>
      <c r="B141" t="s">
        <v>157</v>
      </c>
      <c r="C141" t="s">
        <v>1120</v>
      </c>
      <c r="D141" t="s">
        <v>1135</v>
      </c>
      <c r="E141" t="s">
        <v>1147</v>
      </c>
      <c r="F141" t="s">
        <v>1150</v>
      </c>
      <c r="G141" t="s">
        <v>1156</v>
      </c>
      <c r="H141">
        <v>3</v>
      </c>
      <c r="I141">
        <v>13847</v>
      </c>
      <c r="J141">
        <v>0</v>
      </c>
      <c r="K141">
        <v>13847</v>
      </c>
      <c r="L141">
        <v>41541</v>
      </c>
      <c r="M141">
        <v>1500</v>
      </c>
      <c r="N141" t="s">
        <v>1160</v>
      </c>
      <c r="O141" t="s">
        <v>1164</v>
      </c>
      <c r="P141" s="2">
        <v>45715</v>
      </c>
      <c r="Q141">
        <v>4</v>
      </c>
    </row>
    <row r="142" spans="1:18" x14ac:dyDescent="0.3">
      <c r="A142" s="2">
        <v>45708</v>
      </c>
      <c r="B142" t="s">
        <v>158</v>
      </c>
      <c r="C142" t="s">
        <v>1129</v>
      </c>
      <c r="D142" t="s">
        <v>1133</v>
      </c>
      <c r="E142" t="s">
        <v>1138</v>
      </c>
      <c r="F142" t="s">
        <v>1149</v>
      </c>
      <c r="G142" t="s">
        <v>1153</v>
      </c>
      <c r="H142">
        <v>4</v>
      </c>
      <c r="I142">
        <v>75961</v>
      </c>
      <c r="J142">
        <v>5</v>
      </c>
      <c r="K142">
        <v>72162.95</v>
      </c>
      <c r="L142">
        <v>288651.8</v>
      </c>
      <c r="M142">
        <v>1000</v>
      </c>
      <c r="N142" t="s">
        <v>1159</v>
      </c>
      <c r="O142" t="s">
        <v>1163</v>
      </c>
      <c r="R142" t="s">
        <v>1169</v>
      </c>
    </row>
    <row r="143" spans="1:18" x14ac:dyDescent="0.3">
      <c r="A143" s="2">
        <v>45768</v>
      </c>
      <c r="B143" t="s">
        <v>159</v>
      </c>
      <c r="C143" t="s">
        <v>1118</v>
      </c>
      <c r="D143" t="s">
        <v>1134</v>
      </c>
      <c r="E143" t="s">
        <v>1140</v>
      </c>
      <c r="F143" t="s">
        <v>1150</v>
      </c>
      <c r="G143" t="s">
        <v>1154</v>
      </c>
      <c r="H143">
        <v>4</v>
      </c>
      <c r="I143">
        <v>48326</v>
      </c>
      <c r="J143">
        <v>15</v>
      </c>
      <c r="K143">
        <v>41077.1</v>
      </c>
      <c r="L143">
        <v>164308.4</v>
      </c>
      <c r="M143">
        <v>1000</v>
      </c>
      <c r="N143" t="s">
        <v>1159</v>
      </c>
      <c r="O143" t="s">
        <v>1162</v>
      </c>
      <c r="Q143">
        <v>3</v>
      </c>
    </row>
    <row r="144" spans="1:18" x14ac:dyDescent="0.3">
      <c r="A144" s="2">
        <v>45817</v>
      </c>
      <c r="B144" t="s">
        <v>160</v>
      </c>
      <c r="C144" t="s">
        <v>1132</v>
      </c>
      <c r="D144" t="s">
        <v>1134</v>
      </c>
      <c r="E144" t="s">
        <v>1144</v>
      </c>
      <c r="F144" t="s">
        <v>1151</v>
      </c>
      <c r="G144" t="s">
        <v>1157</v>
      </c>
      <c r="H144">
        <v>4</v>
      </c>
      <c r="I144">
        <v>71372</v>
      </c>
      <c r="J144">
        <v>5</v>
      </c>
      <c r="K144">
        <v>67803.399999999994</v>
      </c>
      <c r="L144">
        <v>271213.59999999998</v>
      </c>
      <c r="M144">
        <v>1000</v>
      </c>
      <c r="N144" t="s">
        <v>1160</v>
      </c>
      <c r="O144" t="s">
        <v>1164</v>
      </c>
      <c r="P144" s="2">
        <v>45823</v>
      </c>
      <c r="Q144">
        <v>4</v>
      </c>
      <c r="R144" t="s">
        <v>1168</v>
      </c>
    </row>
    <row r="145" spans="1:18" x14ac:dyDescent="0.3">
      <c r="A145" s="2">
        <v>45745</v>
      </c>
      <c r="B145" t="s">
        <v>161</v>
      </c>
      <c r="C145" t="s">
        <v>1124</v>
      </c>
      <c r="D145" t="s">
        <v>1135</v>
      </c>
      <c r="E145" t="s">
        <v>1145</v>
      </c>
      <c r="F145" t="s">
        <v>1149</v>
      </c>
      <c r="G145" t="s">
        <v>1153</v>
      </c>
      <c r="H145">
        <v>5</v>
      </c>
      <c r="I145">
        <v>21881</v>
      </c>
      <c r="J145">
        <v>5</v>
      </c>
      <c r="K145">
        <v>20786.95</v>
      </c>
      <c r="L145">
        <v>103934.75</v>
      </c>
      <c r="M145">
        <v>1000</v>
      </c>
      <c r="N145" t="s">
        <v>1160</v>
      </c>
      <c r="O145" t="s">
        <v>1164</v>
      </c>
      <c r="P145" s="2">
        <v>45754</v>
      </c>
      <c r="Q145">
        <v>4</v>
      </c>
      <c r="R145" t="s">
        <v>1169</v>
      </c>
    </row>
    <row r="146" spans="1:18" x14ac:dyDescent="0.3">
      <c r="A146" s="2">
        <v>45784</v>
      </c>
      <c r="B146" t="s">
        <v>162</v>
      </c>
      <c r="C146" t="s">
        <v>1120</v>
      </c>
      <c r="D146" t="s">
        <v>1135</v>
      </c>
      <c r="E146" t="s">
        <v>1148</v>
      </c>
      <c r="F146" t="s">
        <v>1149</v>
      </c>
      <c r="G146" t="s">
        <v>1152</v>
      </c>
      <c r="H146">
        <v>5</v>
      </c>
      <c r="I146">
        <v>31925</v>
      </c>
      <c r="J146">
        <v>15</v>
      </c>
      <c r="K146">
        <v>27136.25</v>
      </c>
      <c r="L146">
        <v>135681.25</v>
      </c>
      <c r="M146">
        <v>1500</v>
      </c>
      <c r="N146" t="s">
        <v>1160</v>
      </c>
      <c r="O146" t="s">
        <v>1162</v>
      </c>
      <c r="Q146">
        <v>4</v>
      </c>
      <c r="R146" t="s">
        <v>1166</v>
      </c>
    </row>
    <row r="147" spans="1:18" x14ac:dyDescent="0.3">
      <c r="A147" s="2">
        <v>45814</v>
      </c>
      <c r="B147" t="s">
        <v>163</v>
      </c>
      <c r="C147" t="s">
        <v>1120</v>
      </c>
      <c r="D147" t="s">
        <v>1135</v>
      </c>
      <c r="E147" t="s">
        <v>1139</v>
      </c>
      <c r="F147" t="s">
        <v>1150</v>
      </c>
      <c r="G147" t="s">
        <v>1154</v>
      </c>
      <c r="H147">
        <v>3</v>
      </c>
      <c r="I147">
        <v>70291</v>
      </c>
      <c r="J147">
        <v>5</v>
      </c>
      <c r="K147">
        <v>66776.45</v>
      </c>
      <c r="L147">
        <v>200329.35</v>
      </c>
      <c r="M147">
        <v>1000</v>
      </c>
      <c r="N147" t="s">
        <v>1161</v>
      </c>
      <c r="O147" t="s">
        <v>1164</v>
      </c>
      <c r="P147" s="2">
        <v>45820</v>
      </c>
      <c r="R147" t="s">
        <v>1167</v>
      </c>
    </row>
    <row r="148" spans="1:18" x14ac:dyDescent="0.3">
      <c r="A148" s="2">
        <v>45777</v>
      </c>
      <c r="B148" t="s">
        <v>164</v>
      </c>
      <c r="C148" t="s">
        <v>1130</v>
      </c>
      <c r="D148" t="s">
        <v>1136</v>
      </c>
      <c r="E148" t="s">
        <v>1148</v>
      </c>
      <c r="F148" t="s">
        <v>1149</v>
      </c>
      <c r="G148" t="s">
        <v>1152</v>
      </c>
      <c r="H148">
        <v>3</v>
      </c>
      <c r="I148">
        <v>60334</v>
      </c>
      <c r="J148">
        <v>5</v>
      </c>
      <c r="K148">
        <v>57317.3</v>
      </c>
      <c r="L148">
        <v>171951.9</v>
      </c>
      <c r="M148">
        <v>2000</v>
      </c>
      <c r="N148" t="s">
        <v>1161</v>
      </c>
      <c r="O148" t="s">
        <v>1163</v>
      </c>
      <c r="Q148">
        <v>2</v>
      </c>
      <c r="R148" t="s">
        <v>1168</v>
      </c>
    </row>
    <row r="149" spans="1:18" x14ac:dyDescent="0.3">
      <c r="A149" s="2">
        <v>45800</v>
      </c>
      <c r="B149" t="s">
        <v>165</v>
      </c>
      <c r="C149" t="s">
        <v>1132</v>
      </c>
      <c r="D149" t="s">
        <v>1134</v>
      </c>
      <c r="E149" t="s">
        <v>1142</v>
      </c>
      <c r="F149" t="s">
        <v>1150</v>
      </c>
      <c r="G149" t="s">
        <v>1156</v>
      </c>
      <c r="H149">
        <v>4</v>
      </c>
      <c r="I149">
        <v>13154</v>
      </c>
      <c r="J149">
        <v>15</v>
      </c>
      <c r="K149">
        <v>11180.9</v>
      </c>
      <c r="L149">
        <v>44723.6</v>
      </c>
      <c r="M149">
        <v>1000</v>
      </c>
      <c r="N149" t="s">
        <v>1159</v>
      </c>
      <c r="O149" t="s">
        <v>1163</v>
      </c>
      <c r="R149" t="s">
        <v>1167</v>
      </c>
    </row>
    <row r="150" spans="1:18" x14ac:dyDescent="0.3">
      <c r="A150" s="2">
        <v>45790</v>
      </c>
      <c r="B150" t="s">
        <v>166</v>
      </c>
      <c r="C150" t="s">
        <v>1131</v>
      </c>
      <c r="D150" t="s">
        <v>1136</v>
      </c>
      <c r="E150" t="s">
        <v>1143</v>
      </c>
      <c r="F150" t="s">
        <v>1151</v>
      </c>
      <c r="G150" t="s">
        <v>1157</v>
      </c>
      <c r="H150">
        <v>5</v>
      </c>
      <c r="I150">
        <v>74756</v>
      </c>
      <c r="J150">
        <v>10</v>
      </c>
      <c r="K150">
        <v>67280.399999999994</v>
      </c>
      <c r="L150">
        <v>336402</v>
      </c>
      <c r="M150">
        <v>2000</v>
      </c>
      <c r="N150" t="s">
        <v>1161</v>
      </c>
      <c r="O150" t="s">
        <v>1162</v>
      </c>
      <c r="Q150">
        <v>5</v>
      </c>
      <c r="R150" t="s">
        <v>1170</v>
      </c>
    </row>
    <row r="151" spans="1:18" x14ac:dyDescent="0.3">
      <c r="A151" s="2">
        <v>45671</v>
      </c>
      <c r="B151" t="s">
        <v>167</v>
      </c>
      <c r="C151" t="s">
        <v>1126</v>
      </c>
      <c r="D151" t="s">
        <v>1133</v>
      </c>
      <c r="E151" t="s">
        <v>1148</v>
      </c>
      <c r="F151" t="s">
        <v>1149</v>
      </c>
      <c r="G151" t="s">
        <v>1152</v>
      </c>
      <c r="H151">
        <v>4</v>
      </c>
      <c r="I151">
        <v>79103</v>
      </c>
      <c r="J151">
        <v>5</v>
      </c>
      <c r="K151">
        <v>75147.850000000006</v>
      </c>
      <c r="L151">
        <v>300591.40000000002</v>
      </c>
      <c r="M151">
        <v>1000</v>
      </c>
      <c r="N151" t="s">
        <v>1160</v>
      </c>
      <c r="O151" t="s">
        <v>1163</v>
      </c>
      <c r="Q151">
        <v>3</v>
      </c>
      <c r="R151" t="s">
        <v>1167</v>
      </c>
    </row>
    <row r="152" spans="1:18" x14ac:dyDescent="0.3">
      <c r="A152" s="2">
        <v>45697</v>
      </c>
      <c r="B152" t="s">
        <v>168</v>
      </c>
      <c r="C152" t="s">
        <v>1117</v>
      </c>
      <c r="D152" t="s">
        <v>1133</v>
      </c>
      <c r="E152" t="s">
        <v>1141</v>
      </c>
      <c r="F152" t="s">
        <v>1151</v>
      </c>
      <c r="G152" t="s">
        <v>1155</v>
      </c>
      <c r="H152">
        <v>1</v>
      </c>
      <c r="I152">
        <v>26789</v>
      </c>
      <c r="J152">
        <v>15</v>
      </c>
      <c r="K152">
        <v>22770.65</v>
      </c>
      <c r="L152">
        <v>22770.65</v>
      </c>
      <c r="M152">
        <v>1000</v>
      </c>
      <c r="N152" t="s">
        <v>1160</v>
      </c>
      <c r="O152" t="s">
        <v>1164</v>
      </c>
      <c r="P152" s="2">
        <v>45699</v>
      </c>
      <c r="Q152">
        <v>1</v>
      </c>
    </row>
    <row r="153" spans="1:18" x14ac:dyDescent="0.3">
      <c r="A153" s="2">
        <v>45782</v>
      </c>
      <c r="B153" t="s">
        <v>169</v>
      </c>
      <c r="C153" t="s">
        <v>1120</v>
      </c>
      <c r="D153" t="s">
        <v>1135</v>
      </c>
      <c r="E153" t="s">
        <v>1144</v>
      </c>
      <c r="F153" t="s">
        <v>1151</v>
      </c>
      <c r="G153" t="s">
        <v>1157</v>
      </c>
      <c r="H153">
        <v>5</v>
      </c>
      <c r="I153">
        <v>40326</v>
      </c>
      <c r="J153">
        <v>0</v>
      </c>
      <c r="K153">
        <v>40326</v>
      </c>
      <c r="L153">
        <v>201630</v>
      </c>
      <c r="M153">
        <v>1000</v>
      </c>
      <c r="N153" t="s">
        <v>1160</v>
      </c>
      <c r="O153" t="s">
        <v>1163</v>
      </c>
      <c r="Q153">
        <v>1</v>
      </c>
    </row>
    <row r="154" spans="1:18" x14ac:dyDescent="0.3">
      <c r="A154" s="2">
        <v>45736</v>
      </c>
      <c r="B154" t="s">
        <v>170</v>
      </c>
      <c r="C154" t="s">
        <v>1117</v>
      </c>
      <c r="D154" t="s">
        <v>1133</v>
      </c>
      <c r="E154" t="s">
        <v>1143</v>
      </c>
      <c r="F154" t="s">
        <v>1151</v>
      </c>
      <c r="G154" t="s">
        <v>1157</v>
      </c>
      <c r="H154">
        <v>2</v>
      </c>
      <c r="I154">
        <v>70930</v>
      </c>
      <c r="J154">
        <v>5</v>
      </c>
      <c r="K154">
        <v>67383.5</v>
      </c>
      <c r="L154">
        <v>134767</v>
      </c>
      <c r="M154">
        <v>1500</v>
      </c>
      <c r="N154" t="s">
        <v>1161</v>
      </c>
      <c r="O154" t="s">
        <v>1164</v>
      </c>
      <c r="P154" s="2">
        <v>45745</v>
      </c>
      <c r="Q154">
        <v>1</v>
      </c>
      <c r="R154" t="s">
        <v>1169</v>
      </c>
    </row>
    <row r="155" spans="1:18" x14ac:dyDescent="0.3">
      <c r="A155" s="2">
        <v>45699</v>
      </c>
      <c r="B155" t="s">
        <v>171</v>
      </c>
      <c r="C155" t="s">
        <v>1127</v>
      </c>
      <c r="D155" t="s">
        <v>1134</v>
      </c>
      <c r="E155" t="s">
        <v>1142</v>
      </c>
      <c r="F155" t="s">
        <v>1150</v>
      </c>
      <c r="G155" t="s">
        <v>1156</v>
      </c>
      <c r="H155">
        <v>1</v>
      </c>
      <c r="I155">
        <v>75825</v>
      </c>
      <c r="J155">
        <v>5</v>
      </c>
      <c r="K155">
        <v>72033.75</v>
      </c>
      <c r="L155">
        <v>72033.75</v>
      </c>
      <c r="M155">
        <v>1000</v>
      </c>
      <c r="N155" t="s">
        <v>1159</v>
      </c>
      <c r="O155" t="s">
        <v>1164</v>
      </c>
      <c r="P155" s="2">
        <v>45704</v>
      </c>
      <c r="Q155">
        <v>3</v>
      </c>
      <c r="R155" t="s">
        <v>1168</v>
      </c>
    </row>
    <row r="156" spans="1:18" x14ac:dyDescent="0.3">
      <c r="A156" s="2">
        <v>45801</v>
      </c>
      <c r="B156" t="s">
        <v>172</v>
      </c>
      <c r="C156" t="s">
        <v>1132</v>
      </c>
      <c r="D156" t="s">
        <v>1134</v>
      </c>
      <c r="E156" t="s">
        <v>1146</v>
      </c>
      <c r="F156" t="s">
        <v>1151</v>
      </c>
      <c r="G156" t="s">
        <v>1155</v>
      </c>
      <c r="H156">
        <v>5</v>
      </c>
      <c r="I156">
        <v>19087</v>
      </c>
      <c r="J156">
        <v>0</v>
      </c>
      <c r="K156">
        <v>19087</v>
      </c>
      <c r="L156">
        <v>95435</v>
      </c>
      <c r="M156">
        <v>1000</v>
      </c>
      <c r="N156" t="s">
        <v>1159</v>
      </c>
      <c r="O156" t="s">
        <v>1163</v>
      </c>
      <c r="R156" t="s">
        <v>1166</v>
      </c>
    </row>
    <row r="157" spans="1:18" x14ac:dyDescent="0.3">
      <c r="A157" s="2">
        <v>45728</v>
      </c>
      <c r="B157" t="s">
        <v>173</v>
      </c>
      <c r="C157" t="s">
        <v>1128</v>
      </c>
      <c r="D157" t="s">
        <v>1135</v>
      </c>
      <c r="E157" t="s">
        <v>1139</v>
      </c>
      <c r="F157" t="s">
        <v>1150</v>
      </c>
      <c r="G157" t="s">
        <v>1154</v>
      </c>
      <c r="H157">
        <v>3</v>
      </c>
      <c r="I157">
        <v>3918</v>
      </c>
      <c r="J157">
        <v>15</v>
      </c>
      <c r="K157">
        <v>3330.3</v>
      </c>
      <c r="L157">
        <v>9990.9000000000015</v>
      </c>
      <c r="M157">
        <v>2000</v>
      </c>
      <c r="N157" t="s">
        <v>1159</v>
      </c>
      <c r="O157" t="s">
        <v>1164</v>
      </c>
      <c r="P157" s="2">
        <v>45732</v>
      </c>
      <c r="R157" t="s">
        <v>1169</v>
      </c>
    </row>
    <row r="158" spans="1:18" x14ac:dyDescent="0.3">
      <c r="A158" s="2">
        <v>45751</v>
      </c>
      <c r="B158" t="s">
        <v>174</v>
      </c>
      <c r="C158" t="s">
        <v>1126</v>
      </c>
      <c r="D158" t="s">
        <v>1133</v>
      </c>
      <c r="E158" t="s">
        <v>1147</v>
      </c>
      <c r="F158" t="s">
        <v>1150</v>
      </c>
      <c r="G158" t="s">
        <v>1156</v>
      </c>
      <c r="H158">
        <v>4</v>
      </c>
      <c r="I158">
        <v>44036</v>
      </c>
      <c r="J158">
        <v>20</v>
      </c>
      <c r="K158">
        <v>35228.800000000003</v>
      </c>
      <c r="L158">
        <v>140915.20000000001</v>
      </c>
      <c r="M158">
        <v>2000</v>
      </c>
      <c r="N158" t="s">
        <v>1159</v>
      </c>
      <c r="O158" t="s">
        <v>1163</v>
      </c>
      <c r="Q158">
        <v>3</v>
      </c>
      <c r="R158" t="s">
        <v>1167</v>
      </c>
    </row>
    <row r="159" spans="1:18" x14ac:dyDescent="0.3">
      <c r="A159" s="2">
        <v>45753</v>
      </c>
      <c r="B159" t="s">
        <v>175</v>
      </c>
      <c r="C159" t="s">
        <v>1123</v>
      </c>
      <c r="D159" t="s">
        <v>1135</v>
      </c>
      <c r="E159" t="s">
        <v>1137</v>
      </c>
      <c r="F159" t="s">
        <v>1149</v>
      </c>
      <c r="G159" t="s">
        <v>1152</v>
      </c>
      <c r="H159">
        <v>5</v>
      </c>
      <c r="I159">
        <v>58030</v>
      </c>
      <c r="J159">
        <v>20</v>
      </c>
      <c r="K159">
        <v>46424</v>
      </c>
      <c r="L159">
        <v>232120</v>
      </c>
      <c r="M159">
        <v>2000</v>
      </c>
      <c r="N159" t="s">
        <v>1160</v>
      </c>
      <c r="O159" t="s">
        <v>1164</v>
      </c>
      <c r="P159" s="2">
        <v>45755</v>
      </c>
      <c r="Q159">
        <v>1</v>
      </c>
    </row>
    <row r="160" spans="1:18" x14ac:dyDescent="0.3">
      <c r="A160" s="2">
        <v>45810</v>
      </c>
      <c r="B160" t="s">
        <v>176</v>
      </c>
      <c r="C160" t="s">
        <v>1128</v>
      </c>
      <c r="D160" t="s">
        <v>1135</v>
      </c>
      <c r="E160" t="s">
        <v>1140</v>
      </c>
      <c r="F160" t="s">
        <v>1150</v>
      </c>
      <c r="G160" t="s">
        <v>1154</v>
      </c>
      <c r="H160">
        <v>2</v>
      </c>
      <c r="I160">
        <v>77749</v>
      </c>
      <c r="J160">
        <v>5</v>
      </c>
      <c r="K160">
        <v>73861.55</v>
      </c>
      <c r="L160">
        <v>147723.1</v>
      </c>
      <c r="M160">
        <v>2000</v>
      </c>
      <c r="N160" t="s">
        <v>1161</v>
      </c>
      <c r="O160" t="s">
        <v>1163</v>
      </c>
      <c r="Q160">
        <v>3</v>
      </c>
    </row>
    <row r="161" spans="1:18" x14ac:dyDescent="0.3">
      <c r="A161" s="2">
        <v>45732</v>
      </c>
      <c r="B161" t="s">
        <v>177</v>
      </c>
      <c r="C161" t="s">
        <v>1123</v>
      </c>
      <c r="D161" t="s">
        <v>1135</v>
      </c>
      <c r="E161" t="s">
        <v>1138</v>
      </c>
      <c r="F161" t="s">
        <v>1149</v>
      </c>
      <c r="G161" t="s">
        <v>1153</v>
      </c>
      <c r="H161">
        <v>1</v>
      </c>
      <c r="I161">
        <v>27504</v>
      </c>
      <c r="J161">
        <v>20</v>
      </c>
      <c r="K161">
        <v>22003.200000000001</v>
      </c>
      <c r="L161">
        <v>22003.200000000001</v>
      </c>
      <c r="M161">
        <v>2000</v>
      </c>
      <c r="N161" t="s">
        <v>1160</v>
      </c>
      <c r="O161" t="s">
        <v>1162</v>
      </c>
      <c r="Q161">
        <v>5</v>
      </c>
    </row>
    <row r="162" spans="1:18" x14ac:dyDescent="0.3">
      <c r="A162" s="2">
        <v>45714</v>
      </c>
      <c r="B162" t="s">
        <v>178</v>
      </c>
      <c r="C162" t="s">
        <v>1125</v>
      </c>
      <c r="D162" t="s">
        <v>1133</v>
      </c>
      <c r="E162" t="s">
        <v>1143</v>
      </c>
      <c r="F162" t="s">
        <v>1151</v>
      </c>
      <c r="G162" t="s">
        <v>1157</v>
      </c>
      <c r="H162">
        <v>1</v>
      </c>
      <c r="I162">
        <v>16656</v>
      </c>
      <c r="J162">
        <v>20</v>
      </c>
      <c r="K162">
        <v>13324.8</v>
      </c>
      <c r="L162">
        <v>13324.8</v>
      </c>
      <c r="M162">
        <v>1000</v>
      </c>
      <c r="N162" t="s">
        <v>1160</v>
      </c>
      <c r="O162" t="s">
        <v>1162</v>
      </c>
      <c r="R162" t="s">
        <v>1170</v>
      </c>
    </row>
    <row r="163" spans="1:18" x14ac:dyDescent="0.3">
      <c r="A163" s="2">
        <v>45723</v>
      </c>
      <c r="B163" t="s">
        <v>179</v>
      </c>
      <c r="C163" t="s">
        <v>1132</v>
      </c>
      <c r="D163" t="s">
        <v>1134</v>
      </c>
      <c r="E163" t="s">
        <v>1141</v>
      </c>
      <c r="F163" t="s">
        <v>1151</v>
      </c>
      <c r="G163" t="s">
        <v>1155</v>
      </c>
      <c r="H163">
        <v>1</v>
      </c>
      <c r="I163">
        <v>2928</v>
      </c>
      <c r="J163">
        <v>10</v>
      </c>
      <c r="K163">
        <v>2635.2</v>
      </c>
      <c r="L163">
        <v>2635.2</v>
      </c>
      <c r="M163">
        <v>1500</v>
      </c>
      <c r="N163" t="s">
        <v>1161</v>
      </c>
      <c r="O163" t="s">
        <v>1163</v>
      </c>
      <c r="Q163">
        <v>3</v>
      </c>
      <c r="R163" t="s">
        <v>1167</v>
      </c>
    </row>
    <row r="164" spans="1:18" x14ac:dyDescent="0.3">
      <c r="A164" s="2">
        <v>45686</v>
      </c>
      <c r="B164" t="s">
        <v>180</v>
      </c>
      <c r="C164" t="s">
        <v>1117</v>
      </c>
      <c r="D164" t="s">
        <v>1133</v>
      </c>
      <c r="E164" t="s">
        <v>1139</v>
      </c>
      <c r="F164" t="s">
        <v>1150</v>
      </c>
      <c r="G164" t="s">
        <v>1154</v>
      </c>
      <c r="H164">
        <v>2</v>
      </c>
      <c r="I164">
        <v>69402</v>
      </c>
      <c r="J164">
        <v>20</v>
      </c>
      <c r="K164">
        <v>55521.599999999999</v>
      </c>
      <c r="L164">
        <v>111043.2</v>
      </c>
      <c r="M164">
        <v>1000</v>
      </c>
      <c r="N164" t="s">
        <v>1160</v>
      </c>
      <c r="O164" t="s">
        <v>1163</v>
      </c>
      <c r="Q164">
        <v>3</v>
      </c>
      <c r="R164" t="s">
        <v>1169</v>
      </c>
    </row>
    <row r="165" spans="1:18" x14ac:dyDescent="0.3">
      <c r="A165" s="2">
        <v>45693</v>
      </c>
      <c r="B165" t="s">
        <v>181</v>
      </c>
      <c r="C165" t="s">
        <v>1122</v>
      </c>
      <c r="D165" t="s">
        <v>1136</v>
      </c>
      <c r="E165" t="s">
        <v>1147</v>
      </c>
      <c r="F165" t="s">
        <v>1150</v>
      </c>
      <c r="G165" t="s">
        <v>1156</v>
      </c>
      <c r="H165">
        <v>5</v>
      </c>
      <c r="I165">
        <v>12156</v>
      </c>
      <c r="J165">
        <v>15</v>
      </c>
      <c r="K165">
        <v>10332.6</v>
      </c>
      <c r="L165">
        <v>51663</v>
      </c>
      <c r="M165">
        <v>2000</v>
      </c>
      <c r="N165" t="s">
        <v>1160</v>
      </c>
      <c r="O165" t="s">
        <v>1164</v>
      </c>
      <c r="P165" s="2">
        <v>45703</v>
      </c>
      <c r="Q165">
        <v>5</v>
      </c>
      <c r="R165" t="s">
        <v>1170</v>
      </c>
    </row>
    <row r="166" spans="1:18" x14ac:dyDescent="0.3">
      <c r="A166" s="2">
        <v>45729</v>
      </c>
      <c r="B166" t="s">
        <v>182</v>
      </c>
      <c r="C166" t="s">
        <v>1123</v>
      </c>
      <c r="D166" t="s">
        <v>1135</v>
      </c>
      <c r="E166" t="s">
        <v>1141</v>
      </c>
      <c r="F166" t="s">
        <v>1151</v>
      </c>
      <c r="G166" t="s">
        <v>1155</v>
      </c>
      <c r="H166">
        <v>4</v>
      </c>
      <c r="I166">
        <v>70482</v>
      </c>
      <c r="J166">
        <v>15</v>
      </c>
      <c r="K166">
        <v>59909.7</v>
      </c>
      <c r="L166">
        <v>239638.8</v>
      </c>
      <c r="M166">
        <v>1000</v>
      </c>
      <c r="N166" t="s">
        <v>1161</v>
      </c>
      <c r="O166" t="s">
        <v>1164</v>
      </c>
      <c r="P166" s="2">
        <v>45734</v>
      </c>
      <c r="Q166">
        <v>3</v>
      </c>
      <c r="R166" t="s">
        <v>1167</v>
      </c>
    </row>
    <row r="167" spans="1:18" x14ac:dyDescent="0.3">
      <c r="A167" s="2">
        <v>45722</v>
      </c>
      <c r="B167" t="s">
        <v>183</v>
      </c>
      <c r="C167" t="s">
        <v>1124</v>
      </c>
      <c r="D167" t="s">
        <v>1135</v>
      </c>
      <c r="E167" t="s">
        <v>1145</v>
      </c>
      <c r="F167" t="s">
        <v>1149</v>
      </c>
      <c r="G167" t="s">
        <v>1153</v>
      </c>
      <c r="H167">
        <v>1</v>
      </c>
      <c r="I167">
        <v>54425</v>
      </c>
      <c r="J167">
        <v>5</v>
      </c>
      <c r="K167">
        <v>51703.75</v>
      </c>
      <c r="L167">
        <v>51703.75</v>
      </c>
      <c r="M167">
        <v>2000</v>
      </c>
      <c r="N167" t="s">
        <v>1159</v>
      </c>
      <c r="O167" t="s">
        <v>1162</v>
      </c>
      <c r="Q167">
        <v>5</v>
      </c>
      <c r="R167" t="s">
        <v>1166</v>
      </c>
    </row>
    <row r="168" spans="1:18" x14ac:dyDescent="0.3">
      <c r="A168" s="2">
        <v>45676</v>
      </c>
      <c r="B168" t="s">
        <v>184</v>
      </c>
      <c r="C168" t="s">
        <v>1119</v>
      </c>
      <c r="D168" t="s">
        <v>1134</v>
      </c>
      <c r="E168" t="s">
        <v>1143</v>
      </c>
      <c r="F168" t="s">
        <v>1151</v>
      </c>
      <c r="G168" t="s">
        <v>1157</v>
      </c>
      <c r="H168">
        <v>1</v>
      </c>
      <c r="I168">
        <v>41729</v>
      </c>
      <c r="J168">
        <v>5</v>
      </c>
      <c r="K168">
        <v>39642.550000000003</v>
      </c>
      <c r="L168">
        <v>39642.550000000003</v>
      </c>
      <c r="M168">
        <v>2000</v>
      </c>
      <c r="N168" t="s">
        <v>1160</v>
      </c>
      <c r="O168" t="s">
        <v>1164</v>
      </c>
      <c r="P168" s="2">
        <v>45684</v>
      </c>
      <c r="Q168">
        <v>1</v>
      </c>
      <c r="R168" t="s">
        <v>1166</v>
      </c>
    </row>
    <row r="169" spans="1:18" x14ac:dyDescent="0.3">
      <c r="A169" s="2">
        <v>45703</v>
      </c>
      <c r="B169" t="s">
        <v>185</v>
      </c>
      <c r="C169" t="s">
        <v>1119</v>
      </c>
      <c r="D169" t="s">
        <v>1134</v>
      </c>
      <c r="E169" t="s">
        <v>1143</v>
      </c>
      <c r="F169" t="s">
        <v>1151</v>
      </c>
      <c r="G169" t="s">
        <v>1157</v>
      </c>
      <c r="H169">
        <v>2</v>
      </c>
      <c r="I169">
        <v>43711</v>
      </c>
      <c r="J169">
        <v>20</v>
      </c>
      <c r="K169">
        <v>34968.800000000003</v>
      </c>
      <c r="L169">
        <v>69937.600000000006</v>
      </c>
      <c r="M169">
        <v>2000</v>
      </c>
      <c r="N169" t="s">
        <v>1161</v>
      </c>
      <c r="O169" t="s">
        <v>1163</v>
      </c>
      <c r="R169" t="s">
        <v>1169</v>
      </c>
    </row>
    <row r="170" spans="1:18" x14ac:dyDescent="0.3">
      <c r="A170" s="2">
        <v>45825</v>
      </c>
      <c r="B170" t="s">
        <v>186</v>
      </c>
      <c r="C170" t="s">
        <v>1117</v>
      </c>
      <c r="D170" t="s">
        <v>1133</v>
      </c>
      <c r="E170" t="s">
        <v>1139</v>
      </c>
      <c r="F170" t="s">
        <v>1150</v>
      </c>
      <c r="G170" t="s">
        <v>1154</v>
      </c>
      <c r="H170">
        <v>4</v>
      </c>
      <c r="I170">
        <v>16156</v>
      </c>
      <c r="J170">
        <v>15</v>
      </c>
      <c r="K170">
        <v>13732.6</v>
      </c>
      <c r="L170">
        <v>54930.400000000001</v>
      </c>
      <c r="M170">
        <v>1500</v>
      </c>
      <c r="N170" t="s">
        <v>1160</v>
      </c>
      <c r="O170" t="s">
        <v>1163</v>
      </c>
      <c r="Q170">
        <v>4</v>
      </c>
      <c r="R170" t="s">
        <v>1167</v>
      </c>
    </row>
    <row r="171" spans="1:18" x14ac:dyDescent="0.3">
      <c r="A171" s="2">
        <v>45730</v>
      </c>
      <c r="B171" t="s">
        <v>187</v>
      </c>
      <c r="C171" t="s">
        <v>1117</v>
      </c>
      <c r="D171" t="s">
        <v>1133</v>
      </c>
      <c r="E171" t="s">
        <v>1140</v>
      </c>
      <c r="F171" t="s">
        <v>1150</v>
      </c>
      <c r="G171" t="s">
        <v>1154</v>
      </c>
      <c r="H171">
        <v>4</v>
      </c>
      <c r="I171">
        <v>71780</v>
      </c>
      <c r="J171">
        <v>10</v>
      </c>
      <c r="K171">
        <v>64602</v>
      </c>
      <c r="L171">
        <v>258408</v>
      </c>
      <c r="M171">
        <v>1000</v>
      </c>
      <c r="N171" t="s">
        <v>1159</v>
      </c>
      <c r="O171" t="s">
        <v>1163</v>
      </c>
      <c r="R171" t="s">
        <v>1166</v>
      </c>
    </row>
    <row r="172" spans="1:18" x14ac:dyDescent="0.3">
      <c r="A172" s="2">
        <v>45706</v>
      </c>
      <c r="B172" t="s">
        <v>188</v>
      </c>
      <c r="C172" t="s">
        <v>1122</v>
      </c>
      <c r="D172" t="s">
        <v>1136</v>
      </c>
      <c r="E172" t="s">
        <v>1144</v>
      </c>
      <c r="F172" t="s">
        <v>1151</v>
      </c>
      <c r="G172" t="s">
        <v>1157</v>
      </c>
      <c r="H172">
        <v>3</v>
      </c>
      <c r="I172">
        <v>46573</v>
      </c>
      <c r="J172">
        <v>0</v>
      </c>
      <c r="K172">
        <v>46573</v>
      </c>
      <c r="L172">
        <v>139719</v>
      </c>
      <c r="M172">
        <v>2000</v>
      </c>
      <c r="N172" t="s">
        <v>1159</v>
      </c>
      <c r="O172" t="s">
        <v>1164</v>
      </c>
      <c r="P172" s="2">
        <v>45714</v>
      </c>
      <c r="R172" t="s">
        <v>1167</v>
      </c>
    </row>
    <row r="173" spans="1:18" x14ac:dyDescent="0.3">
      <c r="A173" s="2">
        <v>45692</v>
      </c>
      <c r="B173" t="s">
        <v>189</v>
      </c>
      <c r="C173" t="s">
        <v>1126</v>
      </c>
      <c r="D173" t="s">
        <v>1133</v>
      </c>
      <c r="E173" t="s">
        <v>1144</v>
      </c>
      <c r="F173" t="s">
        <v>1151</v>
      </c>
      <c r="G173" t="s">
        <v>1157</v>
      </c>
      <c r="H173">
        <v>2</v>
      </c>
      <c r="I173">
        <v>62311</v>
      </c>
      <c r="J173">
        <v>15</v>
      </c>
      <c r="K173">
        <v>52964.35</v>
      </c>
      <c r="L173">
        <v>105928.7</v>
      </c>
      <c r="M173">
        <v>1000</v>
      </c>
      <c r="N173" t="s">
        <v>1159</v>
      </c>
      <c r="O173" t="s">
        <v>1164</v>
      </c>
      <c r="P173" s="2">
        <v>45700</v>
      </c>
      <c r="Q173">
        <v>4</v>
      </c>
      <c r="R173" t="s">
        <v>1169</v>
      </c>
    </row>
    <row r="174" spans="1:18" x14ac:dyDescent="0.3">
      <c r="A174" s="2">
        <v>45667</v>
      </c>
      <c r="B174" t="s">
        <v>190</v>
      </c>
      <c r="C174" t="s">
        <v>1118</v>
      </c>
      <c r="D174" t="s">
        <v>1134</v>
      </c>
      <c r="E174" t="s">
        <v>1146</v>
      </c>
      <c r="F174" t="s">
        <v>1151</v>
      </c>
      <c r="G174" t="s">
        <v>1155</v>
      </c>
      <c r="H174">
        <v>3</v>
      </c>
      <c r="I174">
        <v>44525</v>
      </c>
      <c r="J174">
        <v>20</v>
      </c>
      <c r="K174">
        <v>35620</v>
      </c>
      <c r="L174">
        <v>106860</v>
      </c>
      <c r="M174">
        <v>1000</v>
      </c>
      <c r="N174" t="s">
        <v>1161</v>
      </c>
      <c r="O174" t="s">
        <v>1162</v>
      </c>
      <c r="R174" t="s">
        <v>1170</v>
      </c>
    </row>
    <row r="175" spans="1:18" x14ac:dyDescent="0.3">
      <c r="A175" s="2">
        <v>45759</v>
      </c>
      <c r="B175" t="s">
        <v>191</v>
      </c>
      <c r="C175" t="s">
        <v>1129</v>
      </c>
      <c r="D175" t="s">
        <v>1133</v>
      </c>
      <c r="E175" t="s">
        <v>1148</v>
      </c>
      <c r="F175" t="s">
        <v>1149</v>
      </c>
      <c r="G175" t="s">
        <v>1152</v>
      </c>
      <c r="H175">
        <v>2</v>
      </c>
      <c r="I175">
        <v>21279</v>
      </c>
      <c r="J175">
        <v>10</v>
      </c>
      <c r="K175">
        <v>19151.099999999999</v>
      </c>
      <c r="L175">
        <v>38302.199999999997</v>
      </c>
      <c r="M175">
        <v>1500</v>
      </c>
      <c r="N175" t="s">
        <v>1161</v>
      </c>
      <c r="O175" t="s">
        <v>1162</v>
      </c>
      <c r="Q175">
        <v>1</v>
      </c>
      <c r="R175" t="s">
        <v>1170</v>
      </c>
    </row>
    <row r="176" spans="1:18" x14ac:dyDescent="0.3">
      <c r="A176" s="2">
        <v>45752</v>
      </c>
      <c r="B176" t="s">
        <v>192</v>
      </c>
      <c r="C176" t="s">
        <v>1130</v>
      </c>
      <c r="D176" t="s">
        <v>1136</v>
      </c>
      <c r="E176" t="s">
        <v>1143</v>
      </c>
      <c r="F176" t="s">
        <v>1151</v>
      </c>
      <c r="G176" t="s">
        <v>1157</v>
      </c>
      <c r="H176">
        <v>1</v>
      </c>
      <c r="I176">
        <v>34325</v>
      </c>
      <c r="J176">
        <v>0</v>
      </c>
      <c r="K176">
        <v>34325</v>
      </c>
      <c r="L176">
        <v>34325</v>
      </c>
      <c r="M176">
        <v>2000</v>
      </c>
      <c r="N176" t="s">
        <v>1160</v>
      </c>
      <c r="O176" t="s">
        <v>1162</v>
      </c>
      <c r="Q176" t="s">
        <v>1165</v>
      </c>
      <c r="R176" t="s">
        <v>1166</v>
      </c>
    </row>
    <row r="177" spans="1:18" x14ac:dyDescent="0.3">
      <c r="A177" s="2">
        <v>45726</v>
      </c>
      <c r="B177" t="s">
        <v>193</v>
      </c>
      <c r="C177" t="s">
        <v>1126</v>
      </c>
      <c r="D177" t="s">
        <v>1133</v>
      </c>
      <c r="E177" t="s">
        <v>1139</v>
      </c>
      <c r="F177" t="s">
        <v>1150</v>
      </c>
      <c r="G177" t="s">
        <v>1154</v>
      </c>
      <c r="H177">
        <v>5</v>
      </c>
      <c r="I177">
        <v>67122</v>
      </c>
      <c r="J177">
        <v>10</v>
      </c>
      <c r="K177">
        <v>60409.8</v>
      </c>
      <c r="L177">
        <v>302049</v>
      </c>
      <c r="M177">
        <v>2000</v>
      </c>
      <c r="N177" t="s">
        <v>1160</v>
      </c>
      <c r="O177" t="s">
        <v>1163</v>
      </c>
      <c r="Q177">
        <v>3</v>
      </c>
      <c r="R177" t="s">
        <v>1170</v>
      </c>
    </row>
    <row r="178" spans="1:18" x14ac:dyDescent="0.3">
      <c r="A178" s="2">
        <v>45770</v>
      </c>
      <c r="B178" t="s">
        <v>194</v>
      </c>
      <c r="C178" t="s">
        <v>1129</v>
      </c>
      <c r="D178" t="s">
        <v>1133</v>
      </c>
      <c r="E178" t="s">
        <v>1137</v>
      </c>
      <c r="F178" t="s">
        <v>1149</v>
      </c>
      <c r="G178" t="s">
        <v>1152</v>
      </c>
      <c r="H178">
        <v>5</v>
      </c>
      <c r="I178">
        <v>31300</v>
      </c>
      <c r="J178">
        <v>20</v>
      </c>
      <c r="K178">
        <v>25040</v>
      </c>
      <c r="L178">
        <v>125200</v>
      </c>
      <c r="M178">
        <v>1000</v>
      </c>
      <c r="N178" t="s">
        <v>1159</v>
      </c>
      <c r="O178" t="s">
        <v>1163</v>
      </c>
      <c r="Q178">
        <v>2</v>
      </c>
      <c r="R178" t="s">
        <v>1170</v>
      </c>
    </row>
    <row r="179" spans="1:18" x14ac:dyDescent="0.3">
      <c r="A179" s="2">
        <v>45720</v>
      </c>
      <c r="B179" t="s">
        <v>195</v>
      </c>
      <c r="C179" t="s">
        <v>1123</v>
      </c>
      <c r="D179" t="s">
        <v>1135</v>
      </c>
      <c r="E179" t="s">
        <v>1140</v>
      </c>
      <c r="F179" t="s">
        <v>1150</v>
      </c>
      <c r="G179" t="s">
        <v>1154</v>
      </c>
      <c r="H179">
        <v>2</v>
      </c>
      <c r="I179">
        <v>52464</v>
      </c>
      <c r="J179">
        <v>20</v>
      </c>
      <c r="K179">
        <v>41971.199999999997</v>
      </c>
      <c r="L179">
        <v>83942.399999999994</v>
      </c>
      <c r="M179">
        <v>1500</v>
      </c>
      <c r="N179" t="s">
        <v>1161</v>
      </c>
      <c r="O179" t="s">
        <v>1163</v>
      </c>
      <c r="R179" t="s">
        <v>1166</v>
      </c>
    </row>
    <row r="180" spans="1:18" x14ac:dyDescent="0.3">
      <c r="A180" s="2">
        <v>45833</v>
      </c>
      <c r="B180" t="s">
        <v>196</v>
      </c>
      <c r="C180" t="s">
        <v>1131</v>
      </c>
      <c r="D180" t="s">
        <v>1136</v>
      </c>
      <c r="E180" t="s">
        <v>1146</v>
      </c>
      <c r="F180" t="s">
        <v>1151</v>
      </c>
      <c r="G180" t="s">
        <v>1155</v>
      </c>
      <c r="H180">
        <v>1</v>
      </c>
      <c r="I180">
        <v>28696</v>
      </c>
      <c r="J180">
        <v>15</v>
      </c>
      <c r="K180">
        <v>24391.599999999999</v>
      </c>
      <c r="L180">
        <v>24391.599999999999</v>
      </c>
      <c r="M180">
        <v>1000</v>
      </c>
      <c r="N180" t="s">
        <v>1161</v>
      </c>
      <c r="O180" t="s">
        <v>1164</v>
      </c>
      <c r="P180" s="2">
        <v>45838</v>
      </c>
      <c r="Q180">
        <v>2</v>
      </c>
      <c r="R180" t="s">
        <v>1169</v>
      </c>
    </row>
    <row r="181" spans="1:18" x14ac:dyDescent="0.3">
      <c r="A181" s="2">
        <v>45675</v>
      </c>
      <c r="B181" t="s">
        <v>197</v>
      </c>
      <c r="C181" t="s">
        <v>1123</v>
      </c>
      <c r="D181" t="s">
        <v>1135</v>
      </c>
      <c r="E181" t="s">
        <v>1147</v>
      </c>
      <c r="F181" t="s">
        <v>1150</v>
      </c>
      <c r="G181" t="s">
        <v>1156</v>
      </c>
      <c r="H181">
        <v>2</v>
      </c>
      <c r="I181">
        <v>42566</v>
      </c>
      <c r="J181">
        <v>5</v>
      </c>
      <c r="K181">
        <v>40437.699999999997</v>
      </c>
      <c r="L181">
        <v>80875.399999999994</v>
      </c>
      <c r="M181">
        <v>1000</v>
      </c>
      <c r="N181" t="s">
        <v>1160</v>
      </c>
      <c r="O181" t="s">
        <v>1163</v>
      </c>
      <c r="R181" t="s">
        <v>1166</v>
      </c>
    </row>
    <row r="182" spans="1:18" x14ac:dyDescent="0.3">
      <c r="A182" s="2">
        <v>45679</v>
      </c>
      <c r="B182" t="s">
        <v>198</v>
      </c>
      <c r="C182" t="s">
        <v>1131</v>
      </c>
      <c r="D182" t="s">
        <v>1136</v>
      </c>
      <c r="E182" t="s">
        <v>1148</v>
      </c>
      <c r="F182" t="s">
        <v>1149</v>
      </c>
      <c r="G182" t="s">
        <v>1152</v>
      </c>
      <c r="H182">
        <v>4</v>
      </c>
      <c r="I182">
        <v>46112</v>
      </c>
      <c r="J182">
        <v>0</v>
      </c>
      <c r="K182">
        <v>46112</v>
      </c>
      <c r="L182">
        <v>184448</v>
      </c>
      <c r="M182">
        <v>1000</v>
      </c>
      <c r="N182" t="s">
        <v>1159</v>
      </c>
      <c r="O182" t="s">
        <v>1164</v>
      </c>
      <c r="P182" s="2">
        <v>45692</v>
      </c>
      <c r="Q182">
        <v>3</v>
      </c>
      <c r="R182" t="s">
        <v>1167</v>
      </c>
    </row>
    <row r="183" spans="1:18" x14ac:dyDescent="0.3">
      <c r="A183" s="2">
        <v>45722</v>
      </c>
      <c r="B183" t="s">
        <v>199</v>
      </c>
      <c r="C183" t="s">
        <v>1127</v>
      </c>
      <c r="D183" t="s">
        <v>1134</v>
      </c>
      <c r="E183" t="s">
        <v>1148</v>
      </c>
      <c r="F183" t="s">
        <v>1149</v>
      </c>
      <c r="G183" t="s">
        <v>1152</v>
      </c>
      <c r="H183">
        <v>1</v>
      </c>
      <c r="I183">
        <v>53823</v>
      </c>
      <c r="J183">
        <v>10</v>
      </c>
      <c r="K183">
        <v>48440.7</v>
      </c>
      <c r="L183">
        <v>48440.7</v>
      </c>
      <c r="M183">
        <v>2000</v>
      </c>
      <c r="N183" t="s">
        <v>1160</v>
      </c>
      <c r="O183" t="s">
        <v>1162</v>
      </c>
      <c r="Q183">
        <v>2</v>
      </c>
    </row>
    <row r="184" spans="1:18" x14ac:dyDescent="0.3">
      <c r="A184" s="2">
        <v>45815</v>
      </c>
      <c r="B184" t="s">
        <v>200</v>
      </c>
      <c r="C184" t="s">
        <v>1123</v>
      </c>
      <c r="D184" t="s">
        <v>1135</v>
      </c>
      <c r="E184" t="s">
        <v>1140</v>
      </c>
      <c r="F184" t="s">
        <v>1150</v>
      </c>
      <c r="G184" t="s">
        <v>1154</v>
      </c>
      <c r="H184">
        <v>4</v>
      </c>
      <c r="I184">
        <v>8666</v>
      </c>
      <c r="J184">
        <v>0</v>
      </c>
      <c r="K184">
        <v>8666</v>
      </c>
      <c r="L184">
        <v>34664</v>
      </c>
      <c r="M184">
        <v>2000</v>
      </c>
      <c r="N184" t="s">
        <v>1160</v>
      </c>
      <c r="O184" t="s">
        <v>1163</v>
      </c>
      <c r="Q184">
        <v>5</v>
      </c>
      <c r="R184" t="s">
        <v>1168</v>
      </c>
    </row>
    <row r="185" spans="1:18" x14ac:dyDescent="0.3">
      <c r="A185" s="2">
        <v>45834</v>
      </c>
      <c r="B185" t="s">
        <v>201</v>
      </c>
      <c r="C185" t="s">
        <v>1127</v>
      </c>
      <c r="D185" t="s">
        <v>1134</v>
      </c>
      <c r="E185" t="s">
        <v>1140</v>
      </c>
      <c r="F185" t="s">
        <v>1150</v>
      </c>
      <c r="G185" t="s">
        <v>1154</v>
      </c>
      <c r="H185">
        <v>4</v>
      </c>
      <c r="I185">
        <v>56273</v>
      </c>
      <c r="J185">
        <v>15</v>
      </c>
      <c r="K185">
        <v>47832.05</v>
      </c>
      <c r="L185">
        <v>191328.2</v>
      </c>
      <c r="M185">
        <v>1000</v>
      </c>
      <c r="N185" t="s">
        <v>1161</v>
      </c>
      <c r="O185" t="s">
        <v>1163</v>
      </c>
      <c r="R185" t="s">
        <v>1166</v>
      </c>
    </row>
    <row r="186" spans="1:18" x14ac:dyDescent="0.3">
      <c r="A186" s="2">
        <v>45699</v>
      </c>
      <c r="B186" t="s">
        <v>202</v>
      </c>
      <c r="C186" t="s">
        <v>1126</v>
      </c>
      <c r="D186" t="s">
        <v>1133</v>
      </c>
      <c r="E186" t="s">
        <v>1138</v>
      </c>
      <c r="F186" t="s">
        <v>1149</v>
      </c>
      <c r="G186" t="s">
        <v>1153</v>
      </c>
      <c r="H186">
        <v>3</v>
      </c>
      <c r="I186">
        <v>1606</v>
      </c>
      <c r="J186">
        <v>15</v>
      </c>
      <c r="K186">
        <v>1365.1</v>
      </c>
      <c r="L186">
        <v>4095.3</v>
      </c>
      <c r="M186">
        <v>2000</v>
      </c>
      <c r="N186" t="s">
        <v>1161</v>
      </c>
      <c r="O186" t="s">
        <v>1162</v>
      </c>
      <c r="R186" t="s">
        <v>1169</v>
      </c>
    </row>
    <row r="187" spans="1:18" x14ac:dyDescent="0.3">
      <c r="A187" s="2">
        <v>45659</v>
      </c>
      <c r="B187" t="s">
        <v>203</v>
      </c>
      <c r="C187" t="s">
        <v>1117</v>
      </c>
      <c r="D187" t="s">
        <v>1133</v>
      </c>
      <c r="E187" t="s">
        <v>1137</v>
      </c>
      <c r="F187" t="s">
        <v>1149</v>
      </c>
      <c r="G187" t="s">
        <v>1152</v>
      </c>
      <c r="H187">
        <v>2</v>
      </c>
      <c r="I187">
        <v>29426</v>
      </c>
      <c r="J187">
        <v>5</v>
      </c>
      <c r="K187">
        <v>27954.7</v>
      </c>
      <c r="L187">
        <v>55909.4</v>
      </c>
      <c r="M187">
        <v>1500</v>
      </c>
      <c r="N187" t="s">
        <v>1159</v>
      </c>
      <c r="O187" t="s">
        <v>1163</v>
      </c>
      <c r="Q187">
        <v>2</v>
      </c>
      <c r="R187" t="s">
        <v>1166</v>
      </c>
    </row>
    <row r="188" spans="1:18" x14ac:dyDescent="0.3">
      <c r="A188" s="2">
        <v>45761</v>
      </c>
      <c r="B188" t="s">
        <v>204</v>
      </c>
      <c r="C188" t="s">
        <v>1129</v>
      </c>
      <c r="D188" t="s">
        <v>1133</v>
      </c>
      <c r="E188" t="s">
        <v>1145</v>
      </c>
      <c r="F188" t="s">
        <v>1149</v>
      </c>
      <c r="G188" t="s">
        <v>1153</v>
      </c>
      <c r="H188">
        <v>2</v>
      </c>
      <c r="I188">
        <v>42410</v>
      </c>
      <c r="J188">
        <v>0</v>
      </c>
      <c r="K188">
        <v>42410</v>
      </c>
      <c r="L188">
        <v>84820</v>
      </c>
      <c r="M188">
        <v>1500</v>
      </c>
      <c r="N188" t="s">
        <v>1159</v>
      </c>
      <c r="O188" t="s">
        <v>1164</v>
      </c>
      <c r="P188" s="2">
        <v>45763</v>
      </c>
      <c r="Q188">
        <v>5</v>
      </c>
      <c r="R188" t="s">
        <v>1170</v>
      </c>
    </row>
    <row r="189" spans="1:18" x14ac:dyDescent="0.3">
      <c r="A189" s="2">
        <v>45668</v>
      </c>
      <c r="B189" t="s">
        <v>205</v>
      </c>
      <c r="C189" t="s">
        <v>1119</v>
      </c>
      <c r="D189" t="s">
        <v>1134</v>
      </c>
      <c r="E189" t="s">
        <v>1148</v>
      </c>
      <c r="F189" t="s">
        <v>1149</v>
      </c>
      <c r="G189" t="s">
        <v>1152</v>
      </c>
      <c r="H189">
        <v>2</v>
      </c>
      <c r="I189">
        <v>10277</v>
      </c>
      <c r="J189">
        <v>10</v>
      </c>
      <c r="K189">
        <v>9249.2999999999993</v>
      </c>
      <c r="L189">
        <v>18498.599999999999</v>
      </c>
      <c r="M189">
        <v>1500</v>
      </c>
      <c r="N189" t="s">
        <v>1161</v>
      </c>
      <c r="O189" t="s">
        <v>1163</v>
      </c>
      <c r="Q189">
        <v>2</v>
      </c>
    </row>
    <row r="190" spans="1:18" x14ac:dyDescent="0.3">
      <c r="A190" s="2">
        <v>45749</v>
      </c>
      <c r="B190" t="s">
        <v>206</v>
      </c>
      <c r="C190" t="s">
        <v>1125</v>
      </c>
      <c r="D190" t="s">
        <v>1133</v>
      </c>
      <c r="E190" t="s">
        <v>1142</v>
      </c>
      <c r="F190" t="s">
        <v>1150</v>
      </c>
      <c r="G190" t="s">
        <v>1156</v>
      </c>
      <c r="H190">
        <v>2</v>
      </c>
      <c r="I190">
        <v>69815</v>
      </c>
      <c r="J190">
        <v>15</v>
      </c>
      <c r="K190">
        <v>59342.75</v>
      </c>
      <c r="L190">
        <v>118685.5</v>
      </c>
      <c r="M190">
        <v>2000</v>
      </c>
      <c r="N190" t="s">
        <v>1159</v>
      </c>
      <c r="O190" t="s">
        <v>1164</v>
      </c>
      <c r="P190" s="2">
        <v>45755</v>
      </c>
      <c r="Q190">
        <v>1</v>
      </c>
    </row>
    <row r="191" spans="1:18" x14ac:dyDescent="0.3">
      <c r="A191" s="2">
        <v>45792</v>
      </c>
      <c r="B191" t="s">
        <v>207</v>
      </c>
      <c r="C191" t="s">
        <v>1129</v>
      </c>
      <c r="D191" t="s">
        <v>1133</v>
      </c>
      <c r="E191" t="s">
        <v>1141</v>
      </c>
      <c r="F191" t="s">
        <v>1151</v>
      </c>
      <c r="G191" t="s">
        <v>1155</v>
      </c>
      <c r="H191">
        <v>3</v>
      </c>
      <c r="I191">
        <v>75867</v>
      </c>
      <c r="J191">
        <v>5</v>
      </c>
      <c r="K191">
        <v>72073.649999999994</v>
      </c>
      <c r="L191">
        <v>216220.95</v>
      </c>
      <c r="M191">
        <v>2000</v>
      </c>
      <c r="N191" t="s">
        <v>1161</v>
      </c>
      <c r="O191" t="s">
        <v>1163</v>
      </c>
      <c r="Q191">
        <v>2</v>
      </c>
      <c r="R191" t="s">
        <v>1170</v>
      </c>
    </row>
    <row r="192" spans="1:18" x14ac:dyDescent="0.3">
      <c r="A192" s="2">
        <v>45673</v>
      </c>
      <c r="B192" t="s">
        <v>208</v>
      </c>
      <c r="C192" t="s">
        <v>1122</v>
      </c>
      <c r="D192" t="s">
        <v>1136</v>
      </c>
      <c r="E192" t="s">
        <v>1145</v>
      </c>
      <c r="F192" t="s">
        <v>1149</v>
      </c>
      <c r="G192" t="s">
        <v>1153</v>
      </c>
      <c r="H192">
        <v>5</v>
      </c>
      <c r="I192">
        <v>33830</v>
      </c>
      <c r="J192">
        <v>0</v>
      </c>
      <c r="K192">
        <v>33830</v>
      </c>
      <c r="L192">
        <v>169150</v>
      </c>
      <c r="M192">
        <v>1500</v>
      </c>
      <c r="N192" t="s">
        <v>1159</v>
      </c>
      <c r="O192" t="s">
        <v>1164</v>
      </c>
      <c r="P192" s="2">
        <v>45687</v>
      </c>
      <c r="Q192">
        <v>5</v>
      </c>
      <c r="R192" t="s">
        <v>1167</v>
      </c>
    </row>
    <row r="193" spans="1:18" x14ac:dyDescent="0.3">
      <c r="A193" s="2">
        <v>45749</v>
      </c>
      <c r="B193" t="s">
        <v>209</v>
      </c>
      <c r="C193" t="s">
        <v>1118</v>
      </c>
      <c r="D193" t="s">
        <v>1134</v>
      </c>
      <c r="E193" t="s">
        <v>1145</v>
      </c>
      <c r="F193" t="s">
        <v>1149</v>
      </c>
      <c r="G193" t="s">
        <v>1153</v>
      </c>
      <c r="H193">
        <v>2</v>
      </c>
      <c r="I193">
        <v>77819</v>
      </c>
      <c r="J193">
        <v>5</v>
      </c>
      <c r="K193">
        <v>73928.05</v>
      </c>
      <c r="L193">
        <v>147856.1</v>
      </c>
      <c r="M193">
        <v>2000</v>
      </c>
      <c r="N193" t="s">
        <v>1160</v>
      </c>
      <c r="O193" t="s">
        <v>1164</v>
      </c>
      <c r="P193" s="2">
        <v>45754</v>
      </c>
      <c r="Q193">
        <v>5</v>
      </c>
      <c r="R193" t="s">
        <v>1168</v>
      </c>
    </row>
    <row r="194" spans="1:18" x14ac:dyDescent="0.3">
      <c r="A194" s="2">
        <v>45684</v>
      </c>
      <c r="B194" t="s">
        <v>210</v>
      </c>
      <c r="C194" t="s">
        <v>1129</v>
      </c>
      <c r="D194" t="s">
        <v>1133</v>
      </c>
      <c r="E194" t="s">
        <v>1139</v>
      </c>
      <c r="F194" t="s">
        <v>1150</v>
      </c>
      <c r="G194" t="s">
        <v>1154</v>
      </c>
      <c r="H194">
        <v>2</v>
      </c>
      <c r="I194">
        <v>6017</v>
      </c>
      <c r="J194">
        <v>10</v>
      </c>
      <c r="K194">
        <v>5415.3</v>
      </c>
      <c r="L194">
        <v>10830.6</v>
      </c>
      <c r="M194">
        <v>1500</v>
      </c>
      <c r="N194" t="s">
        <v>1161</v>
      </c>
      <c r="O194" t="s">
        <v>1163</v>
      </c>
      <c r="Q194">
        <v>3</v>
      </c>
      <c r="R194" t="s">
        <v>1166</v>
      </c>
    </row>
    <row r="195" spans="1:18" x14ac:dyDescent="0.3">
      <c r="A195" s="2">
        <v>45763</v>
      </c>
      <c r="B195" t="s">
        <v>211</v>
      </c>
      <c r="C195" t="s">
        <v>1126</v>
      </c>
      <c r="D195" t="s">
        <v>1133</v>
      </c>
      <c r="E195" t="s">
        <v>1138</v>
      </c>
      <c r="F195" t="s">
        <v>1149</v>
      </c>
      <c r="G195" t="s">
        <v>1153</v>
      </c>
      <c r="H195">
        <v>4</v>
      </c>
      <c r="I195">
        <v>40036</v>
      </c>
      <c r="J195">
        <v>15</v>
      </c>
      <c r="K195">
        <v>34030.6</v>
      </c>
      <c r="L195">
        <v>136122.4</v>
      </c>
      <c r="M195">
        <v>1500</v>
      </c>
      <c r="N195" t="s">
        <v>1161</v>
      </c>
      <c r="O195" t="s">
        <v>1162</v>
      </c>
      <c r="Q195">
        <v>1</v>
      </c>
      <c r="R195" t="s">
        <v>1168</v>
      </c>
    </row>
    <row r="196" spans="1:18" x14ac:dyDescent="0.3">
      <c r="A196" s="2">
        <v>45725</v>
      </c>
      <c r="B196" t="s">
        <v>212</v>
      </c>
      <c r="C196" t="s">
        <v>1129</v>
      </c>
      <c r="D196" t="s">
        <v>1133</v>
      </c>
      <c r="E196" t="s">
        <v>1146</v>
      </c>
      <c r="F196" t="s">
        <v>1151</v>
      </c>
      <c r="G196" t="s">
        <v>1155</v>
      </c>
      <c r="H196">
        <v>5</v>
      </c>
      <c r="I196">
        <v>2662</v>
      </c>
      <c r="J196">
        <v>5</v>
      </c>
      <c r="K196">
        <v>2528.9</v>
      </c>
      <c r="L196">
        <v>12644.5</v>
      </c>
      <c r="M196">
        <v>1000</v>
      </c>
      <c r="N196" t="s">
        <v>1160</v>
      </c>
      <c r="O196" t="s">
        <v>1162</v>
      </c>
      <c r="Q196">
        <v>2</v>
      </c>
      <c r="R196" t="s">
        <v>1169</v>
      </c>
    </row>
    <row r="197" spans="1:18" x14ac:dyDescent="0.3">
      <c r="A197" s="2">
        <v>45786</v>
      </c>
      <c r="B197" t="s">
        <v>213</v>
      </c>
      <c r="C197" t="s">
        <v>1132</v>
      </c>
      <c r="D197" t="s">
        <v>1134</v>
      </c>
      <c r="E197" t="s">
        <v>1138</v>
      </c>
      <c r="F197" t="s">
        <v>1149</v>
      </c>
      <c r="G197" t="s">
        <v>1153</v>
      </c>
      <c r="H197">
        <v>5</v>
      </c>
      <c r="I197">
        <v>3726</v>
      </c>
      <c r="J197">
        <v>0</v>
      </c>
      <c r="K197">
        <v>3726</v>
      </c>
      <c r="L197">
        <v>18630</v>
      </c>
      <c r="M197">
        <v>1500</v>
      </c>
      <c r="N197" t="s">
        <v>1160</v>
      </c>
      <c r="O197" t="s">
        <v>1163</v>
      </c>
      <c r="Q197">
        <v>5</v>
      </c>
      <c r="R197" t="s">
        <v>1166</v>
      </c>
    </row>
    <row r="198" spans="1:18" x14ac:dyDescent="0.3">
      <c r="A198" s="2">
        <v>45786</v>
      </c>
      <c r="B198" t="s">
        <v>214</v>
      </c>
      <c r="C198" t="s">
        <v>1118</v>
      </c>
      <c r="D198" t="s">
        <v>1134</v>
      </c>
      <c r="E198" t="s">
        <v>1144</v>
      </c>
      <c r="F198" t="s">
        <v>1151</v>
      </c>
      <c r="G198" t="s">
        <v>1157</v>
      </c>
      <c r="H198">
        <v>2</v>
      </c>
      <c r="I198">
        <v>2429</v>
      </c>
      <c r="J198" t="s">
        <v>1158</v>
      </c>
      <c r="K198">
        <v>2307.5500000000002</v>
      </c>
      <c r="L198">
        <v>4615.1000000000004</v>
      </c>
      <c r="M198">
        <v>1500</v>
      </c>
      <c r="N198" t="s">
        <v>1161</v>
      </c>
      <c r="O198" t="s">
        <v>1163</v>
      </c>
      <c r="Q198">
        <v>5</v>
      </c>
      <c r="R198" t="s">
        <v>1167</v>
      </c>
    </row>
    <row r="199" spans="1:18" x14ac:dyDescent="0.3">
      <c r="A199" s="2">
        <v>45820</v>
      </c>
      <c r="B199" t="s">
        <v>215</v>
      </c>
      <c r="C199" t="s">
        <v>1126</v>
      </c>
      <c r="D199" t="s">
        <v>1133</v>
      </c>
      <c r="E199" t="s">
        <v>1146</v>
      </c>
      <c r="F199" t="s">
        <v>1151</v>
      </c>
      <c r="G199" t="s">
        <v>1155</v>
      </c>
      <c r="H199">
        <v>4</v>
      </c>
      <c r="I199">
        <v>66382</v>
      </c>
      <c r="J199">
        <v>0</v>
      </c>
      <c r="K199">
        <v>66382</v>
      </c>
      <c r="L199">
        <v>265528</v>
      </c>
      <c r="M199">
        <v>1000</v>
      </c>
      <c r="N199" t="s">
        <v>1160</v>
      </c>
      <c r="O199" t="s">
        <v>1162</v>
      </c>
      <c r="Q199">
        <v>1</v>
      </c>
      <c r="R199" t="s">
        <v>1169</v>
      </c>
    </row>
    <row r="200" spans="1:18" x14ac:dyDescent="0.3">
      <c r="A200" s="2">
        <v>45712</v>
      </c>
      <c r="B200" t="s">
        <v>216</v>
      </c>
      <c r="C200" t="s">
        <v>1132</v>
      </c>
      <c r="D200" t="s">
        <v>1134</v>
      </c>
      <c r="E200" t="s">
        <v>1142</v>
      </c>
      <c r="F200" t="s">
        <v>1150</v>
      </c>
      <c r="G200" t="s">
        <v>1156</v>
      </c>
      <c r="H200">
        <v>4</v>
      </c>
      <c r="I200">
        <v>6765</v>
      </c>
      <c r="J200">
        <v>15</v>
      </c>
      <c r="K200">
        <v>5750.25</v>
      </c>
      <c r="L200">
        <v>23001</v>
      </c>
      <c r="M200">
        <v>1000</v>
      </c>
      <c r="N200" t="s">
        <v>1161</v>
      </c>
      <c r="O200" t="s">
        <v>1164</v>
      </c>
      <c r="P200" s="2">
        <v>45714</v>
      </c>
      <c r="Q200">
        <v>4</v>
      </c>
      <c r="R200" t="s">
        <v>1168</v>
      </c>
    </row>
    <row r="201" spans="1:18" x14ac:dyDescent="0.3">
      <c r="A201" s="2">
        <v>45764</v>
      </c>
      <c r="B201" t="s">
        <v>217</v>
      </c>
      <c r="C201" t="s">
        <v>1128</v>
      </c>
      <c r="D201" t="s">
        <v>1135</v>
      </c>
      <c r="E201" t="s">
        <v>1142</v>
      </c>
      <c r="F201" t="s">
        <v>1150</v>
      </c>
      <c r="G201" t="s">
        <v>1156</v>
      </c>
      <c r="H201">
        <v>2</v>
      </c>
      <c r="I201">
        <v>22497</v>
      </c>
      <c r="J201">
        <v>5</v>
      </c>
      <c r="K201">
        <v>21372.15</v>
      </c>
      <c r="L201">
        <v>42744.3</v>
      </c>
      <c r="M201">
        <v>1500</v>
      </c>
      <c r="N201" t="s">
        <v>1161</v>
      </c>
      <c r="O201" t="s">
        <v>1164</v>
      </c>
      <c r="P201" s="2">
        <v>45768</v>
      </c>
      <c r="Q201">
        <v>3</v>
      </c>
      <c r="R201" t="s">
        <v>1169</v>
      </c>
    </row>
    <row r="202" spans="1:18" x14ac:dyDescent="0.3">
      <c r="A202" s="2">
        <v>45716</v>
      </c>
      <c r="B202" t="s">
        <v>218</v>
      </c>
      <c r="C202" t="s">
        <v>1132</v>
      </c>
      <c r="D202" t="s">
        <v>1134</v>
      </c>
      <c r="E202" t="s">
        <v>1143</v>
      </c>
      <c r="F202" t="s">
        <v>1151</v>
      </c>
      <c r="G202" t="s">
        <v>1157</v>
      </c>
      <c r="H202">
        <v>5</v>
      </c>
      <c r="I202">
        <v>22745</v>
      </c>
      <c r="J202">
        <v>20</v>
      </c>
      <c r="K202">
        <v>18196</v>
      </c>
      <c r="L202">
        <v>90980</v>
      </c>
      <c r="M202">
        <v>1500</v>
      </c>
      <c r="N202" t="s">
        <v>1161</v>
      </c>
      <c r="O202" t="s">
        <v>1163</v>
      </c>
      <c r="Q202">
        <v>5</v>
      </c>
      <c r="R202" t="s">
        <v>1170</v>
      </c>
    </row>
    <row r="203" spans="1:18" x14ac:dyDescent="0.3">
      <c r="A203" s="2">
        <v>45779</v>
      </c>
      <c r="B203" t="s">
        <v>219</v>
      </c>
      <c r="C203" t="s">
        <v>1118</v>
      </c>
      <c r="D203" t="s">
        <v>1134</v>
      </c>
      <c r="E203" t="s">
        <v>1145</v>
      </c>
      <c r="F203" t="s">
        <v>1149</v>
      </c>
      <c r="G203" t="s">
        <v>1153</v>
      </c>
      <c r="H203">
        <v>2</v>
      </c>
      <c r="I203">
        <v>72934</v>
      </c>
      <c r="J203">
        <v>20</v>
      </c>
      <c r="K203">
        <v>58347.199999999997</v>
      </c>
      <c r="L203">
        <v>116694.39999999999</v>
      </c>
      <c r="M203">
        <v>1500</v>
      </c>
      <c r="N203" t="s">
        <v>1159</v>
      </c>
      <c r="O203" t="s">
        <v>1162</v>
      </c>
      <c r="Q203">
        <v>2</v>
      </c>
      <c r="R203" t="s">
        <v>1169</v>
      </c>
    </row>
    <row r="204" spans="1:18" x14ac:dyDescent="0.3">
      <c r="A204" s="2">
        <v>45824</v>
      </c>
      <c r="B204" t="s">
        <v>220</v>
      </c>
      <c r="C204" t="s">
        <v>1129</v>
      </c>
      <c r="D204" t="s">
        <v>1133</v>
      </c>
      <c r="E204" t="s">
        <v>1148</v>
      </c>
      <c r="F204" t="s">
        <v>1149</v>
      </c>
      <c r="G204" t="s">
        <v>1152</v>
      </c>
      <c r="H204">
        <v>2</v>
      </c>
      <c r="I204">
        <v>60207</v>
      </c>
      <c r="J204">
        <v>20</v>
      </c>
      <c r="K204">
        <v>48165.599999999999</v>
      </c>
      <c r="L204">
        <v>96331.199999999997</v>
      </c>
      <c r="M204">
        <v>1000</v>
      </c>
      <c r="N204" t="s">
        <v>1159</v>
      </c>
      <c r="O204" t="s">
        <v>1163</v>
      </c>
      <c r="Q204">
        <v>1</v>
      </c>
      <c r="R204" t="s">
        <v>1167</v>
      </c>
    </row>
    <row r="205" spans="1:18" x14ac:dyDescent="0.3">
      <c r="A205" s="2">
        <v>45796</v>
      </c>
      <c r="B205" t="s">
        <v>221</v>
      </c>
      <c r="C205" t="s">
        <v>1120</v>
      </c>
      <c r="D205" t="s">
        <v>1135</v>
      </c>
      <c r="E205" t="s">
        <v>1144</v>
      </c>
      <c r="F205" t="s">
        <v>1151</v>
      </c>
      <c r="G205" t="s">
        <v>1157</v>
      </c>
      <c r="H205">
        <v>2</v>
      </c>
      <c r="I205">
        <v>36877</v>
      </c>
      <c r="J205">
        <v>15</v>
      </c>
      <c r="K205">
        <v>31345.45</v>
      </c>
      <c r="L205">
        <v>62690.9</v>
      </c>
      <c r="M205">
        <v>2000</v>
      </c>
      <c r="N205" t="s">
        <v>1161</v>
      </c>
      <c r="O205" t="s">
        <v>1162</v>
      </c>
      <c r="Q205">
        <v>3</v>
      </c>
      <c r="R205" t="s">
        <v>1169</v>
      </c>
    </row>
    <row r="206" spans="1:18" x14ac:dyDescent="0.3">
      <c r="A206" s="2">
        <v>45763</v>
      </c>
      <c r="B206" t="s">
        <v>222</v>
      </c>
      <c r="C206" t="s">
        <v>1124</v>
      </c>
      <c r="D206" t="s">
        <v>1135</v>
      </c>
      <c r="E206" t="s">
        <v>1141</v>
      </c>
      <c r="F206" t="s">
        <v>1151</v>
      </c>
      <c r="G206" t="s">
        <v>1155</v>
      </c>
      <c r="H206">
        <v>2</v>
      </c>
      <c r="I206">
        <v>33192</v>
      </c>
      <c r="J206">
        <v>15</v>
      </c>
      <c r="K206">
        <v>28213.200000000001</v>
      </c>
      <c r="L206">
        <v>56426.400000000001</v>
      </c>
      <c r="M206">
        <v>1500</v>
      </c>
      <c r="N206" t="s">
        <v>1161</v>
      </c>
      <c r="O206" t="s">
        <v>1164</v>
      </c>
      <c r="P206" s="2">
        <v>45773</v>
      </c>
      <c r="Q206">
        <v>1</v>
      </c>
    </row>
    <row r="207" spans="1:18" x14ac:dyDescent="0.3">
      <c r="A207" s="2">
        <v>45729</v>
      </c>
      <c r="B207" t="s">
        <v>223</v>
      </c>
      <c r="C207" t="s">
        <v>1119</v>
      </c>
      <c r="D207" t="s">
        <v>1134</v>
      </c>
      <c r="E207" t="s">
        <v>1144</v>
      </c>
      <c r="F207" t="s">
        <v>1151</v>
      </c>
      <c r="G207" t="s">
        <v>1157</v>
      </c>
      <c r="H207">
        <v>3</v>
      </c>
      <c r="I207">
        <v>77594</v>
      </c>
      <c r="J207">
        <v>5</v>
      </c>
      <c r="K207">
        <v>73714.3</v>
      </c>
      <c r="L207">
        <v>221142.9</v>
      </c>
      <c r="M207">
        <v>1500</v>
      </c>
      <c r="N207" t="s">
        <v>1160</v>
      </c>
      <c r="O207" t="s">
        <v>1163</v>
      </c>
      <c r="Q207">
        <v>5</v>
      </c>
    </row>
    <row r="208" spans="1:18" x14ac:dyDescent="0.3">
      <c r="A208" s="2">
        <v>45825</v>
      </c>
      <c r="B208" t="s">
        <v>224</v>
      </c>
      <c r="C208" t="s">
        <v>1130</v>
      </c>
      <c r="D208" t="s">
        <v>1136</v>
      </c>
      <c r="E208" t="s">
        <v>1143</v>
      </c>
      <c r="F208" t="s">
        <v>1151</v>
      </c>
      <c r="G208" t="s">
        <v>1157</v>
      </c>
      <c r="H208">
        <v>1</v>
      </c>
      <c r="I208">
        <v>36460</v>
      </c>
      <c r="J208">
        <v>15</v>
      </c>
      <c r="K208">
        <v>30991</v>
      </c>
      <c r="L208">
        <v>30991</v>
      </c>
      <c r="M208">
        <v>1500</v>
      </c>
      <c r="N208" t="s">
        <v>1160</v>
      </c>
      <c r="O208" t="s">
        <v>1163</v>
      </c>
      <c r="Q208">
        <v>1</v>
      </c>
      <c r="R208" t="s">
        <v>1170</v>
      </c>
    </row>
    <row r="209" spans="1:18" x14ac:dyDescent="0.3">
      <c r="A209" s="2">
        <v>45732</v>
      </c>
      <c r="B209" t="s">
        <v>225</v>
      </c>
      <c r="C209" t="s">
        <v>1127</v>
      </c>
      <c r="D209" t="s">
        <v>1134</v>
      </c>
      <c r="E209" t="s">
        <v>1140</v>
      </c>
      <c r="F209" t="s">
        <v>1150</v>
      </c>
      <c r="G209" t="s">
        <v>1154</v>
      </c>
      <c r="H209">
        <v>5</v>
      </c>
      <c r="I209">
        <v>33695</v>
      </c>
      <c r="J209">
        <v>0</v>
      </c>
      <c r="K209">
        <v>33695</v>
      </c>
      <c r="L209">
        <v>168475</v>
      </c>
      <c r="M209">
        <v>1000</v>
      </c>
      <c r="N209" t="s">
        <v>1160</v>
      </c>
      <c r="O209" t="s">
        <v>1164</v>
      </c>
      <c r="P209" s="2">
        <v>45743</v>
      </c>
      <c r="Q209" t="s">
        <v>1165</v>
      </c>
    </row>
    <row r="210" spans="1:18" x14ac:dyDescent="0.3">
      <c r="A210" s="2">
        <v>45732</v>
      </c>
      <c r="B210" t="s">
        <v>226</v>
      </c>
      <c r="C210" t="s">
        <v>1123</v>
      </c>
      <c r="D210" t="s">
        <v>1135</v>
      </c>
      <c r="E210" t="s">
        <v>1142</v>
      </c>
      <c r="F210" t="s">
        <v>1150</v>
      </c>
      <c r="G210" t="s">
        <v>1156</v>
      </c>
      <c r="H210">
        <v>2</v>
      </c>
      <c r="I210">
        <v>39124</v>
      </c>
      <c r="J210">
        <v>5</v>
      </c>
      <c r="K210">
        <v>37167.800000000003</v>
      </c>
      <c r="L210">
        <v>74335.600000000006</v>
      </c>
      <c r="M210">
        <v>1000</v>
      </c>
      <c r="N210" t="s">
        <v>1161</v>
      </c>
      <c r="O210" t="s">
        <v>1164</v>
      </c>
      <c r="P210" s="2">
        <v>45736</v>
      </c>
      <c r="Q210">
        <v>3</v>
      </c>
      <c r="R210" t="s">
        <v>1167</v>
      </c>
    </row>
    <row r="211" spans="1:18" x14ac:dyDescent="0.3">
      <c r="A211" s="2">
        <v>45691</v>
      </c>
      <c r="B211" t="s">
        <v>227</v>
      </c>
      <c r="C211" t="s">
        <v>1118</v>
      </c>
      <c r="D211" t="s">
        <v>1134</v>
      </c>
      <c r="E211" t="s">
        <v>1143</v>
      </c>
      <c r="F211" t="s">
        <v>1151</v>
      </c>
      <c r="G211" t="s">
        <v>1157</v>
      </c>
      <c r="H211">
        <v>1</v>
      </c>
      <c r="I211">
        <v>31138</v>
      </c>
      <c r="J211">
        <v>5</v>
      </c>
      <c r="K211">
        <v>29581.1</v>
      </c>
      <c r="L211">
        <v>29581.1</v>
      </c>
      <c r="M211">
        <v>2000</v>
      </c>
      <c r="N211" t="s">
        <v>1160</v>
      </c>
      <c r="O211" t="s">
        <v>1163</v>
      </c>
      <c r="Q211">
        <v>2</v>
      </c>
      <c r="R211" t="s">
        <v>1166</v>
      </c>
    </row>
    <row r="212" spans="1:18" x14ac:dyDescent="0.3">
      <c r="A212" s="2">
        <v>45780</v>
      </c>
      <c r="B212" t="s">
        <v>228</v>
      </c>
      <c r="C212" t="s">
        <v>1130</v>
      </c>
      <c r="D212" t="s">
        <v>1136</v>
      </c>
      <c r="E212" t="s">
        <v>1140</v>
      </c>
      <c r="F212" t="s">
        <v>1150</v>
      </c>
      <c r="G212" t="s">
        <v>1154</v>
      </c>
      <c r="H212">
        <v>3</v>
      </c>
      <c r="I212">
        <v>24656</v>
      </c>
      <c r="J212">
        <v>0</v>
      </c>
      <c r="K212">
        <v>24656</v>
      </c>
      <c r="L212">
        <v>73968</v>
      </c>
      <c r="M212">
        <v>2000</v>
      </c>
      <c r="N212" t="s">
        <v>1161</v>
      </c>
      <c r="O212" t="s">
        <v>1164</v>
      </c>
      <c r="P212" s="2">
        <v>45783</v>
      </c>
      <c r="Q212">
        <v>4</v>
      </c>
      <c r="R212" t="s">
        <v>1169</v>
      </c>
    </row>
    <row r="213" spans="1:18" x14ac:dyDescent="0.3">
      <c r="A213" s="2">
        <v>45818</v>
      </c>
      <c r="B213" t="s">
        <v>229</v>
      </c>
      <c r="C213" t="s">
        <v>1132</v>
      </c>
      <c r="D213" t="s">
        <v>1134</v>
      </c>
      <c r="E213" t="s">
        <v>1143</v>
      </c>
      <c r="F213" t="s">
        <v>1151</v>
      </c>
      <c r="G213" t="s">
        <v>1157</v>
      </c>
      <c r="H213">
        <v>4</v>
      </c>
      <c r="I213">
        <v>9376</v>
      </c>
      <c r="J213">
        <v>10</v>
      </c>
      <c r="K213">
        <v>8438.4</v>
      </c>
      <c r="L213">
        <v>33753.599999999999</v>
      </c>
      <c r="M213">
        <v>1000</v>
      </c>
      <c r="N213" t="s">
        <v>1160</v>
      </c>
      <c r="O213" t="s">
        <v>1162</v>
      </c>
      <c r="Q213">
        <v>2</v>
      </c>
      <c r="R213" t="s">
        <v>1166</v>
      </c>
    </row>
    <row r="214" spans="1:18" x14ac:dyDescent="0.3">
      <c r="A214" s="2">
        <v>45828</v>
      </c>
      <c r="B214" t="s">
        <v>230</v>
      </c>
      <c r="C214" t="s">
        <v>1130</v>
      </c>
      <c r="D214" t="s">
        <v>1136</v>
      </c>
      <c r="E214" t="s">
        <v>1141</v>
      </c>
      <c r="F214" t="s">
        <v>1151</v>
      </c>
      <c r="G214" t="s">
        <v>1155</v>
      </c>
      <c r="H214">
        <v>3</v>
      </c>
      <c r="I214">
        <v>18436</v>
      </c>
      <c r="J214">
        <v>20</v>
      </c>
      <c r="K214">
        <v>14748.8</v>
      </c>
      <c r="L214">
        <v>44246.399999999987</v>
      </c>
      <c r="M214">
        <v>1000</v>
      </c>
      <c r="N214" t="s">
        <v>1159</v>
      </c>
      <c r="O214" t="s">
        <v>1162</v>
      </c>
      <c r="Q214">
        <v>2</v>
      </c>
      <c r="R214" t="s">
        <v>1166</v>
      </c>
    </row>
    <row r="215" spans="1:18" x14ac:dyDescent="0.3">
      <c r="A215" s="2">
        <v>45672</v>
      </c>
      <c r="B215" t="s">
        <v>231</v>
      </c>
      <c r="C215" t="s">
        <v>1122</v>
      </c>
      <c r="D215" t="s">
        <v>1136</v>
      </c>
      <c r="E215" t="s">
        <v>1145</v>
      </c>
      <c r="F215" t="s">
        <v>1149</v>
      </c>
      <c r="G215" t="s">
        <v>1153</v>
      </c>
      <c r="H215">
        <v>5</v>
      </c>
      <c r="I215">
        <v>65710</v>
      </c>
      <c r="J215">
        <v>15</v>
      </c>
      <c r="K215">
        <v>55853.5</v>
      </c>
      <c r="L215">
        <v>279267.5</v>
      </c>
      <c r="M215">
        <v>1500</v>
      </c>
      <c r="N215" t="s">
        <v>1159</v>
      </c>
      <c r="O215" t="s">
        <v>1162</v>
      </c>
      <c r="Q215">
        <v>3</v>
      </c>
    </row>
    <row r="216" spans="1:18" x14ac:dyDescent="0.3">
      <c r="A216" s="2">
        <v>45837</v>
      </c>
      <c r="B216" t="s">
        <v>232</v>
      </c>
      <c r="C216" t="s">
        <v>1118</v>
      </c>
      <c r="D216" t="s">
        <v>1134</v>
      </c>
      <c r="E216" t="s">
        <v>1143</v>
      </c>
      <c r="F216" t="s">
        <v>1151</v>
      </c>
      <c r="G216" t="s">
        <v>1157</v>
      </c>
      <c r="H216">
        <v>1</v>
      </c>
      <c r="I216">
        <v>36023</v>
      </c>
      <c r="J216">
        <v>10</v>
      </c>
      <c r="K216">
        <v>32420.7</v>
      </c>
      <c r="L216">
        <v>32420.7</v>
      </c>
      <c r="M216">
        <v>2000</v>
      </c>
      <c r="N216" t="s">
        <v>1160</v>
      </c>
      <c r="O216" t="s">
        <v>1163</v>
      </c>
      <c r="R216" t="s">
        <v>1170</v>
      </c>
    </row>
    <row r="217" spans="1:18" x14ac:dyDescent="0.3">
      <c r="A217" s="2">
        <v>45818</v>
      </c>
      <c r="B217" t="s">
        <v>233</v>
      </c>
      <c r="C217" t="s">
        <v>1130</v>
      </c>
      <c r="D217" t="s">
        <v>1136</v>
      </c>
      <c r="E217" t="s">
        <v>1145</v>
      </c>
      <c r="F217" t="s">
        <v>1149</v>
      </c>
      <c r="G217" t="s">
        <v>1153</v>
      </c>
      <c r="H217">
        <v>4</v>
      </c>
      <c r="I217">
        <v>49863</v>
      </c>
      <c r="J217">
        <v>10</v>
      </c>
      <c r="K217">
        <v>44876.7</v>
      </c>
      <c r="L217">
        <v>179506.8</v>
      </c>
      <c r="M217">
        <v>1000</v>
      </c>
      <c r="N217" t="s">
        <v>1161</v>
      </c>
      <c r="O217" t="s">
        <v>1163</v>
      </c>
      <c r="Q217">
        <v>4</v>
      </c>
    </row>
    <row r="218" spans="1:18" x14ac:dyDescent="0.3">
      <c r="A218" s="2">
        <v>45751</v>
      </c>
      <c r="B218" t="s">
        <v>234</v>
      </c>
      <c r="C218" t="s">
        <v>1128</v>
      </c>
      <c r="D218" t="s">
        <v>1135</v>
      </c>
      <c r="E218" t="s">
        <v>1138</v>
      </c>
      <c r="F218" t="s">
        <v>1149</v>
      </c>
      <c r="G218" t="s">
        <v>1153</v>
      </c>
      <c r="H218">
        <v>1</v>
      </c>
      <c r="I218">
        <v>78397</v>
      </c>
      <c r="J218">
        <v>20</v>
      </c>
      <c r="K218">
        <v>62717.599999999999</v>
      </c>
      <c r="L218">
        <v>62717.599999999999</v>
      </c>
      <c r="M218">
        <v>1500</v>
      </c>
      <c r="N218" t="s">
        <v>1160</v>
      </c>
      <c r="O218" t="s">
        <v>1163</v>
      </c>
      <c r="R218" t="s">
        <v>1170</v>
      </c>
    </row>
    <row r="219" spans="1:18" x14ac:dyDescent="0.3">
      <c r="A219" s="2">
        <v>45660</v>
      </c>
      <c r="B219" t="s">
        <v>235</v>
      </c>
      <c r="C219" t="s">
        <v>1127</v>
      </c>
      <c r="D219" t="s">
        <v>1134</v>
      </c>
      <c r="E219" t="s">
        <v>1147</v>
      </c>
      <c r="F219" t="s">
        <v>1150</v>
      </c>
      <c r="G219" t="s">
        <v>1156</v>
      </c>
      <c r="H219">
        <v>4</v>
      </c>
      <c r="I219">
        <v>72737</v>
      </c>
      <c r="J219">
        <v>15</v>
      </c>
      <c r="K219">
        <v>61826.45</v>
      </c>
      <c r="L219">
        <v>247305.8</v>
      </c>
      <c r="M219">
        <v>2000</v>
      </c>
      <c r="N219" t="s">
        <v>1161</v>
      </c>
      <c r="O219" t="s">
        <v>1164</v>
      </c>
      <c r="P219" s="2">
        <v>45665</v>
      </c>
      <c r="Q219">
        <v>5</v>
      </c>
    </row>
    <row r="220" spans="1:18" x14ac:dyDescent="0.3">
      <c r="A220" s="2">
        <v>45664</v>
      </c>
      <c r="B220" t="s">
        <v>236</v>
      </c>
      <c r="C220" t="s">
        <v>1126</v>
      </c>
      <c r="D220" t="s">
        <v>1133</v>
      </c>
      <c r="E220" t="s">
        <v>1146</v>
      </c>
      <c r="F220" t="s">
        <v>1151</v>
      </c>
      <c r="G220" t="s">
        <v>1155</v>
      </c>
      <c r="H220">
        <v>3</v>
      </c>
      <c r="I220">
        <v>59500</v>
      </c>
      <c r="J220">
        <v>10</v>
      </c>
      <c r="K220">
        <v>53550</v>
      </c>
      <c r="L220">
        <v>160650</v>
      </c>
      <c r="M220">
        <v>2000</v>
      </c>
      <c r="N220" t="s">
        <v>1160</v>
      </c>
      <c r="O220" t="s">
        <v>1163</v>
      </c>
      <c r="R220" t="s">
        <v>1166</v>
      </c>
    </row>
    <row r="221" spans="1:18" x14ac:dyDescent="0.3">
      <c r="A221" s="2">
        <v>45694</v>
      </c>
      <c r="B221" t="s">
        <v>237</v>
      </c>
      <c r="C221" t="s">
        <v>1129</v>
      </c>
      <c r="D221" t="s">
        <v>1133</v>
      </c>
      <c r="E221" t="s">
        <v>1141</v>
      </c>
      <c r="F221" t="s">
        <v>1151</v>
      </c>
      <c r="G221" t="s">
        <v>1155</v>
      </c>
      <c r="H221">
        <v>4</v>
      </c>
      <c r="I221">
        <v>47070</v>
      </c>
      <c r="J221">
        <v>0</v>
      </c>
      <c r="K221">
        <v>47070</v>
      </c>
      <c r="L221">
        <v>188280</v>
      </c>
      <c r="M221">
        <v>1500</v>
      </c>
      <c r="N221" t="s">
        <v>1160</v>
      </c>
      <c r="O221" t="s">
        <v>1162</v>
      </c>
      <c r="Q221">
        <v>1</v>
      </c>
      <c r="R221" t="s">
        <v>1167</v>
      </c>
    </row>
    <row r="222" spans="1:18" x14ac:dyDescent="0.3">
      <c r="A222" s="2">
        <v>45767</v>
      </c>
      <c r="B222" t="s">
        <v>238</v>
      </c>
      <c r="C222" t="s">
        <v>1118</v>
      </c>
      <c r="D222" t="s">
        <v>1134</v>
      </c>
      <c r="E222" t="s">
        <v>1139</v>
      </c>
      <c r="F222" t="s">
        <v>1150</v>
      </c>
      <c r="G222" t="s">
        <v>1154</v>
      </c>
      <c r="H222">
        <v>3</v>
      </c>
      <c r="I222">
        <v>65849</v>
      </c>
      <c r="J222">
        <v>5</v>
      </c>
      <c r="K222">
        <v>62556.55</v>
      </c>
      <c r="L222">
        <v>187669.65</v>
      </c>
      <c r="M222">
        <v>2000</v>
      </c>
      <c r="N222" t="s">
        <v>1159</v>
      </c>
      <c r="O222" t="s">
        <v>1163</v>
      </c>
      <c r="Q222">
        <v>2</v>
      </c>
      <c r="R222" t="s">
        <v>1170</v>
      </c>
    </row>
    <row r="223" spans="1:18" x14ac:dyDescent="0.3">
      <c r="A223" s="2">
        <v>45821</v>
      </c>
      <c r="B223" t="s">
        <v>239</v>
      </c>
      <c r="C223" t="s">
        <v>1121</v>
      </c>
      <c r="D223" t="s">
        <v>1136</v>
      </c>
      <c r="E223" t="s">
        <v>1145</v>
      </c>
      <c r="F223" t="s">
        <v>1149</v>
      </c>
      <c r="G223" t="s">
        <v>1153</v>
      </c>
      <c r="H223">
        <v>5</v>
      </c>
      <c r="I223">
        <v>6089</v>
      </c>
      <c r="J223">
        <v>5</v>
      </c>
      <c r="K223">
        <v>5784.55</v>
      </c>
      <c r="L223">
        <v>28922.75</v>
      </c>
      <c r="M223">
        <v>1500</v>
      </c>
      <c r="N223" t="s">
        <v>1159</v>
      </c>
      <c r="O223" t="s">
        <v>1162</v>
      </c>
      <c r="Q223">
        <v>4</v>
      </c>
      <c r="R223" t="s">
        <v>1166</v>
      </c>
    </row>
    <row r="224" spans="1:18" x14ac:dyDescent="0.3">
      <c r="A224" s="2">
        <v>45738</v>
      </c>
      <c r="B224" t="s">
        <v>240</v>
      </c>
      <c r="C224" t="s">
        <v>1130</v>
      </c>
      <c r="D224" t="s">
        <v>1136</v>
      </c>
      <c r="E224" t="s">
        <v>1137</v>
      </c>
      <c r="F224" t="s">
        <v>1149</v>
      </c>
      <c r="G224" t="s">
        <v>1152</v>
      </c>
      <c r="H224">
        <v>4</v>
      </c>
      <c r="I224">
        <v>8680</v>
      </c>
      <c r="J224">
        <v>20</v>
      </c>
      <c r="K224">
        <v>6944</v>
      </c>
      <c r="L224">
        <v>27776</v>
      </c>
      <c r="M224">
        <v>2000</v>
      </c>
      <c r="N224" t="s">
        <v>1159</v>
      </c>
      <c r="O224" t="s">
        <v>1164</v>
      </c>
      <c r="P224" s="2">
        <v>45751</v>
      </c>
      <c r="R224" t="s">
        <v>1170</v>
      </c>
    </row>
    <row r="225" spans="1:18" x14ac:dyDescent="0.3">
      <c r="A225" s="2">
        <v>45768</v>
      </c>
      <c r="B225" t="s">
        <v>241</v>
      </c>
      <c r="C225" t="s">
        <v>1131</v>
      </c>
      <c r="D225" t="s">
        <v>1136</v>
      </c>
      <c r="E225" t="s">
        <v>1141</v>
      </c>
      <c r="F225" t="s">
        <v>1151</v>
      </c>
      <c r="G225" t="s">
        <v>1155</v>
      </c>
      <c r="H225">
        <v>1</v>
      </c>
      <c r="I225">
        <v>13041</v>
      </c>
      <c r="J225">
        <v>0</v>
      </c>
      <c r="K225">
        <v>13041</v>
      </c>
      <c r="L225">
        <v>13041</v>
      </c>
      <c r="M225">
        <v>1500</v>
      </c>
      <c r="N225" t="s">
        <v>1161</v>
      </c>
      <c r="O225" t="s">
        <v>1164</v>
      </c>
      <c r="P225" s="2">
        <v>45782</v>
      </c>
      <c r="Q225">
        <v>4</v>
      </c>
      <c r="R225" t="s">
        <v>1167</v>
      </c>
    </row>
    <row r="226" spans="1:18" x14ac:dyDescent="0.3">
      <c r="A226" s="2">
        <v>45737</v>
      </c>
      <c r="B226" t="s">
        <v>242</v>
      </c>
      <c r="C226" t="s">
        <v>1126</v>
      </c>
      <c r="D226" t="s">
        <v>1133</v>
      </c>
      <c r="E226" t="s">
        <v>1139</v>
      </c>
      <c r="F226" t="s">
        <v>1150</v>
      </c>
      <c r="G226" t="s">
        <v>1154</v>
      </c>
      <c r="H226">
        <v>2</v>
      </c>
      <c r="I226">
        <v>67391</v>
      </c>
      <c r="J226" t="s">
        <v>1158</v>
      </c>
      <c r="K226">
        <v>60651.9</v>
      </c>
      <c r="L226">
        <v>121303.8</v>
      </c>
      <c r="M226">
        <v>1500</v>
      </c>
      <c r="N226" t="s">
        <v>1161</v>
      </c>
      <c r="O226" t="s">
        <v>1164</v>
      </c>
      <c r="P226" s="2">
        <v>45739</v>
      </c>
      <c r="Q226">
        <v>1</v>
      </c>
    </row>
    <row r="227" spans="1:18" x14ac:dyDescent="0.3">
      <c r="A227" s="2">
        <v>45785</v>
      </c>
      <c r="B227" t="s">
        <v>243</v>
      </c>
      <c r="C227" t="s">
        <v>1124</v>
      </c>
      <c r="D227" t="s">
        <v>1135</v>
      </c>
      <c r="E227" t="s">
        <v>1142</v>
      </c>
      <c r="F227" t="s">
        <v>1150</v>
      </c>
      <c r="G227" t="s">
        <v>1156</v>
      </c>
      <c r="H227">
        <v>2</v>
      </c>
      <c r="I227">
        <v>57934</v>
      </c>
      <c r="J227">
        <v>10</v>
      </c>
      <c r="K227">
        <v>52140.6</v>
      </c>
      <c r="L227">
        <v>104281.2</v>
      </c>
      <c r="M227">
        <v>1000</v>
      </c>
      <c r="N227" t="s">
        <v>1159</v>
      </c>
      <c r="O227" t="s">
        <v>1163</v>
      </c>
      <c r="Q227">
        <v>5</v>
      </c>
      <c r="R227" t="s">
        <v>1168</v>
      </c>
    </row>
    <row r="228" spans="1:18" x14ac:dyDescent="0.3">
      <c r="A228" s="2">
        <v>45822</v>
      </c>
      <c r="B228" t="s">
        <v>244</v>
      </c>
      <c r="C228" t="s">
        <v>1118</v>
      </c>
      <c r="D228" t="s">
        <v>1134</v>
      </c>
      <c r="E228" t="s">
        <v>1147</v>
      </c>
      <c r="F228" t="s">
        <v>1150</v>
      </c>
      <c r="G228" t="s">
        <v>1156</v>
      </c>
      <c r="H228">
        <v>5</v>
      </c>
      <c r="I228">
        <v>75400</v>
      </c>
      <c r="J228">
        <v>20</v>
      </c>
      <c r="K228">
        <v>60320</v>
      </c>
      <c r="L228">
        <v>301600</v>
      </c>
      <c r="M228">
        <v>1000</v>
      </c>
      <c r="N228" t="s">
        <v>1160</v>
      </c>
      <c r="O228" t="s">
        <v>1164</v>
      </c>
      <c r="P228" s="2">
        <v>45829</v>
      </c>
      <c r="Q228">
        <v>5</v>
      </c>
    </row>
    <row r="229" spans="1:18" x14ac:dyDescent="0.3">
      <c r="A229" s="2">
        <v>45828</v>
      </c>
      <c r="B229" t="s">
        <v>245</v>
      </c>
      <c r="C229" t="s">
        <v>1131</v>
      </c>
      <c r="D229" t="s">
        <v>1136</v>
      </c>
      <c r="E229" t="s">
        <v>1137</v>
      </c>
      <c r="F229" t="s">
        <v>1149</v>
      </c>
      <c r="G229" t="s">
        <v>1152</v>
      </c>
      <c r="H229">
        <v>3</v>
      </c>
      <c r="I229">
        <v>56414</v>
      </c>
      <c r="J229">
        <v>5</v>
      </c>
      <c r="K229">
        <v>53593.3</v>
      </c>
      <c r="L229">
        <v>160779.9</v>
      </c>
      <c r="M229">
        <v>1500</v>
      </c>
      <c r="N229" t="s">
        <v>1161</v>
      </c>
      <c r="O229" t="s">
        <v>1162</v>
      </c>
      <c r="R229" t="s">
        <v>1167</v>
      </c>
    </row>
    <row r="230" spans="1:18" x14ac:dyDescent="0.3">
      <c r="A230" s="2">
        <v>45798</v>
      </c>
      <c r="B230" t="s">
        <v>246</v>
      </c>
      <c r="C230" t="s">
        <v>1131</v>
      </c>
      <c r="D230" t="s">
        <v>1136</v>
      </c>
      <c r="E230" t="s">
        <v>1141</v>
      </c>
      <c r="F230" t="s">
        <v>1151</v>
      </c>
      <c r="G230" t="s">
        <v>1155</v>
      </c>
      <c r="H230">
        <v>2</v>
      </c>
      <c r="I230">
        <v>7757</v>
      </c>
      <c r="J230">
        <v>10</v>
      </c>
      <c r="K230">
        <v>6981.3</v>
      </c>
      <c r="L230">
        <v>13962.6</v>
      </c>
      <c r="M230">
        <v>1500</v>
      </c>
      <c r="N230" t="s">
        <v>1161</v>
      </c>
      <c r="O230" t="s">
        <v>1163</v>
      </c>
      <c r="Q230">
        <v>1</v>
      </c>
      <c r="R230" t="s">
        <v>1168</v>
      </c>
    </row>
    <row r="231" spans="1:18" x14ac:dyDescent="0.3">
      <c r="A231" s="2">
        <v>45799</v>
      </c>
      <c r="B231" t="s">
        <v>247</v>
      </c>
      <c r="C231" t="s">
        <v>1127</v>
      </c>
      <c r="D231" t="s">
        <v>1134</v>
      </c>
      <c r="E231" t="s">
        <v>1148</v>
      </c>
      <c r="F231" t="s">
        <v>1149</v>
      </c>
      <c r="G231" t="s">
        <v>1152</v>
      </c>
      <c r="H231">
        <v>5</v>
      </c>
      <c r="I231">
        <v>46734</v>
      </c>
      <c r="J231">
        <v>5</v>
      </c>
      <c r="K231">
        <v>44397.3</v>
      </c>
      <c r="L231">
        <v>221986.5</v>
      </c>
      <c r="M231">
        <v>2000</v>
      </c>
      <c r="N231" t="s">
        <v>1161</v>
      </c>
      <c r="O231" t="s">
        <v>1162</v>
      </c>
      <c r="R231" t="s">
        <v>1167</v>
      </c>
    </row>
    <row r="232" spans="1:18" x14ac:dyDescent="0.3">
      <c r="A232" s="2">
        <v>45692</v>
      </c>
      <c r="B232" t="s">
        <v>248</v>
      </c>
      <c r="C232" t="s">
        <v>1128</v>
      </c>
      <c r="D232" t="s">
        <v>1135</v>
      </c>
      <c r="E232" t="s">
        <v>1138</v>
      </c>
      <c r="F232" t="s">
        <v>1149</v>
      </c>
      <c r="G232" t="s">
        <v>1153</v>
      </c>
      <c r="H232">
        <v>2</v>
      </c>
      <c r="I232">
        <v>28737</v>
      </c>
      <c r="J232">
        <v>5</v>
      </c>
      <c r="K232">
        <v>27300.15</v>
      </c>
      <c r="L232">
        <v>54600.3</v>
      </c>
      <c r="M232">
        <v>2000</v>
      </c>
      <c r="N232" t="s">
        <v>1159</v>
      </c>
      <c r="O232" t="s">
        <v>1162</v>
      </c>
      <c r="Q232">
        <v>1</v>
      </c>
      <c r="R232" t="s">
        <v>1166</v>
      </c>
    </row>
    <row r="233" spans="1:18" x14ac:dyDescent="0.3">
      <c r="A233" s="2">
        <v>45702</v>
      </c>
      <c r="B233" t="s">
        <v>249</v>
      </c>
      <c r="C233" t="s">
        <v>1123</v>
      </c>
      <c r="D233" t="s">
        <v>1135</v>
      </c>
      <c r="E233" t="s">
        <v>1140</v>
      </c>
      <c r="F233" t="s">
        <v>1150</v>
      </c>
      <c r="G233" t="s">
        <v>1154</v>
      </c>
      <c r="H233">
        <v>3</v>
      </c>
      <c r="I233">
        <v>61822</v>
      </c>
      <c r="J233">
        <v>0</v>
      </c>
      <c r="K233">
        <v>61822</v>
      </c>
      <c r="L233">
        <v>185466</v>
      </c>
      <c r="M233">
        <v>1500</v>
      </c>
      <c r="N233" t="s">
        <v>1159</v>
      </c>
      <c r="O233" t="s">
        <v>1163</v>
      </c>
      <c r="Q233">
        <v>1</v>
      </c>
      <c r="R233" t="s">
        <v>1167</v>
      </c>
    </row>
    <row r="234" spans="1:18" x14ac:dyDescent="0.3">
      <c r="A234" s="2">
        <v>45808</v>
      </c>
      <c r="B234" t="s">
        <v>250</v>
      </c>
      <c r="C234" t="s">
        <v>1130</v>
      </c>
      <c r="D234" t="s">
        <v>1136</v>
      </c>
      <c r="E234" t="s">
        <v>1143</v>
      </c>
      <c r="F234" t="s">
        <v>1151</v>
      </c>
      <c r="G234" t="s">
        <v>1157</v>
      </c>
      <c r="H234">
        <v>5</v>
      </c>
      <c r="I234">
        <v>59775</v>
      </c>
      <c r="J234">
        <v>5</v>
      </c>
      <c r="K234">
        <v>56786.25</v>
      </c>
      <c r="L234">
        <v>283931.25</v>
      </c>
      <c r="M234">
        <v>2000</v>
      </c>
      <c r="N234" t="s">
        <v>1159</v>
      </c>
      <c r="O234" t="s">
        <v>1164</v>
      </c>
      <c r="P234" s="2">
        <v>45816</v>
      </c>
      <c r="Q234">
        <v>3</v>
      </c>
      <c r="R234" t="s">
        <v>1166</v>
      </c>
    </row>
    <row r="235" spans="1:18" x14ac:dyDescent="0.3">
      <c r="A235" s="2">
        <v>45817</v>
      </c>
      <c r="B235" t="s">
        <v>251</v>
      </c>
      <c r="C235" t="s">
        <v>1124</v>
      </c>
      <c r="D235" t="s">
        <v>1135</v>
      </c>
      <c r="E235" t="s">
        <v>1144</v>
      </c>
      <c r="F235" t="s">
        <v>1151</v>
      </c>
      <c r="G235" t="s">
        <v>1157</v>
      </c>
      <c r="H235">
        <v>1</v>
      </c>
      <c r="I235">
        <v>77056</v>
      </c>
      <c r="J235">
        <v>20</v>
      </c>
      <c r="K235">
        <v>61644.800000000003</v>
      </c>
      <c r="L235">
        <v>61644.800000000003</v>
      </c>
      <c r="M235">
        <v>1500</v>
      </c>
      <c r="N235" t="s">
        <v>1161</v>
      </c>
      <c r="O235" t="s">
        <v>1163</v>
      </c>
      <c r="Q235">
        <v>1</v>
      </c>
    </row>
    <row r="236" spans="1:18" x14ac:dyDescent="0.3">
      <c r="A236" s="2">
        <v>45832</v>
      </c>
      <c r="B236" t="s">
        <v>252</v>
      </c>
      <c r="C236" t="s">
        <v>1122</v>
      </c>
      <c r="D236" t="s">
        <v>1136</v>
      </c>
      <c r="E236" t="s">
        <v>1144</v>
      </c>
      <c r="F236" t="s">
        <v>1151</v>
      </c>
      <c r="G236" t="s">
        <v>1157</v>
      </c>
      <c r="H236">
        <v>4</v>
      </c>
      <c r="I236">
        <v>53137</v>
      </c>
      <c r="J236">
        <v>10</v>
      </c>
      <c r="K236">
        <v>47823.3</v>
      </c>
      <c r="L236">
        <v>191293.2</v>
      </c>
      <c r="M236">
        <v>1500</v>
      </c>
      <c r="N236" t="s">
        <v>1160</v>
      </c>
      <c r="O236" t="s">
        <v>1162</v>
      </c>
      <c r="Q236">
        <v>1</v>
      </c>
      <c r="R236" t="s">
        <v>1168</v>
      </c>
    </row>
    <row r="237" spans="1:18" x14ac:dyDescent="0.3">
      <c r="A237" s="2">
        <v>45815</v>
      </c>
      <c r="B237" t="s">
        <v>253</v>
      </c>
      <c r="C237" t="s">
        <v>1128</v>
      </c>
      <c r="D237" t="s">
        <v>1135</v>
      </c>
      <c r="E237" t="s">
        <v>1137</v>
      </c>
      <c r="F237" t="s">
        <v>1149</v>
      </c>
      <c r="G237" t="s">
        <v>1152</v>
      </c>
      <c r="H237">
        <v>2</v>
      </c>
      <c r="I237">
        <v>67084</v>
      </c>
      <c r="J237">
        <v>20</v>
      </c>
      <c r="K237">
        <v>53667.199999999997</v>
      </c>
      <c r="L237">
        <v>107334.39999999999</v>
      </c>
      <c r="M237">
        <v>2000</v>
      </c>
      <c r="N237" t="s">
        <v>1160</v>
      </c>
      <c r="O237" t="s">
        <v>1162</v>
      </c>
      <c r="Q237">
        <v>5</v>
      </c>
      <c r="R237" t="s">
        <v>1169</v>
      </c>
    </row>
    <row r="238" spans="1:18" x14ac:dyDescent="0.3">
      <c r="A238" s="2">
        <v>45722</v>
      </c>
      <c r="B238" t="s">
        <v>254</v>
      </c>
      <c r="C238" t="s">
        <v>1126</v>
      </c>
      <c r="D238" t="s">
        <v>1133</v>
      </c>
      <c r="E238" t="s">
        <v>1147</v>
      </c>
      <c r="F238" t="s">
        <v>1150</v>
      </c>
      <c r="G238" t="s">
        <v>1156</v>
      </c>
      <c r="H238">
        <v>5</v>
      </c>
      <c r="I238">
        <v>44255</v>
      </c>
      <c r="J238">
        <v>15</v>
      </c>
      <c r="K238">
        <v>37616.75</v>
      </c>
      <c r="L238">
        <v>188083.75</v>
      </c>
      <c r="M238">
        <v>1000</v>
      </c>
      <c r="N238" t="s">
        <v>1160</v>
      </c>
      <c r="O238" t="s">
        <v>1163</v>
      </c>
      <c r="Q238">
        <v>2</v>
      </c>
      <c r="R238" t="s">
        <v>1168</v>
      </c>
    </row>
    <row r="239" spans="1:18" x14ac:dyDescent="0.3">
      <c r="A239" s="2">
        <v>45774</v>
      </c>
      <c r="B239" t="s">
        <v>255</v>
      </c>
      <c r="C239" t="s">
        <v>1121</v>
      </c>
      <c r="D239" t="s">
        <v>1136</v>
      </c>
      <c r="E239" t="s">
        <v>1139</v>
      </c>
      <c r="F239" t="s">
        <v>1150</v>
      </c>
      <c r="G239" t="s">
        <v>1154</v>
      </c>
      <c r="H239">
        <v>5</v>
      </c>
      <c r="I239">
        <v>50114</v>
      </c>
      <c r="J239">
        <v>15</v>
      </c>
      <c r="K239">
        <v>42596.9</v>
      </c>
      <c r="L239">
        <v>212984.5</v>
      </c>
      <c r="M239">
        <v>1500</v>
      </c>
      <c r="N239" t="s">
        <v>1160</v>
      </c>
      <c r="O239" t="s">
        <v>1162</v>
      </c>
      <c r="Q239">
        <v>3</v>
      </c>
      <c r="R239" t="s">
        <v>1167</v>
      </c>
    </row>
    <row r="240" spans="1:18" x14ac:dyDescent="0.3">
      <c r="A240" s="2">
        <v>45736</v>
      </c>
      <c r="B240" t="s">
        <v>256</v>
      </c>
      <c r="C240" t="s">
        <v>1129</v>
      </c>
      <c r="D240" t="s">
        <v>1133</v>
      </c>
      <c r="E240" t="s">
        <v>1148</v>
      </c>
      <c r="F240" t="s">
        <v>1149</v>
      </c>
      <c r="G240" t="s">
        <v>1152</v>
      </c>
      <c r="H240">
        <v>4</v>
      </c>
      <c r="I240">
        <v>46683</v>
      </c>
      <c r="J240">
        <v>20</v>
      </c>
      <c r="K240">
        <v>37346.400000000001</v>
      </c>
      <c r="L240">
        <v>149385.60000000001</v>
      </c>
      <c r="M240">
        <v>1000</v>
      </c>
      <c r="N240" t="s">
        <v>1161</v>
      </c>
      <c r="O240" t="s">
        <v>1164</v>
      </c>
      <c r="P240" s="2">
        <v>45743</v>
      </c>
      <c r="Q240">
        <v>1</v>
      </c>
    </row>
    <row r="241" spans="1:18" x14ac:dyDescent="0.3">
      <c r="A241" s="2">
        <v>45739</v>
      </c>
      <c r="B241" t="s">
        <v>257</v>
      </c>
      <c r="C241" t="s">
        <v>1118</v>
      </c>
      <c r="D241" t="s">
        <v>1134</v>
      </c>
      <c r="E241" t="s">
        <v>1144</v>
      </c>
      <c r="F241" t="s">
        <v>1151</v>
      </c>
      <c r="G241" t="s">
        <v>1157</v>
      </c>
      <c r="H241">
        <v>1</v>
      </c>
      <c r="I241">
        <v>76538</v>
      </c>
      <c r="J241">
        <v>10</v>
      </c>
      <c r="K241">
        <v>68884.2</v>
      </c>
      <c r="L241">
        <v>68884.2</v>
      </c>
      <c r="M241">
        <v>1000</v>
      </c>
      <c r="N241" t="s">
        <v>1160</v>
      </c>
      <c r="O241" t="s">
        <v>1163</v>
      </c>
      <c r="Q241">
        <v>3</v>
      </c>
      <c r="R241" t="s">
        <v>1166</v>
      </c>
    </row>
    <row r="242" spans="1:18" x14ac:dyDescent="0.3">
      <c r="A242" s="2">
        <v>45802</v>
      </c>
      <c r="B242" t="s">
        <v>258</v>
      </c>
      <c r="C242" t="s">
        <v>1131</v>
      </c>
      <c r="D242" t="s">
        <v>1136</v>
      </c>
      <c r="E242" t="s">
        <v>1140</v>
      </c>
      <c r="F242" t="s">
        <v>1150</v>
      </c>
      <c r="G242" t="s">
        <v>1154</v>
      </c>
      <c r="H242">
        <v>1</v>
      </c>
      <c r="I242">
        <v>58162</v>
      </c>
      <c r="J242">
        <v>5</v>
      </c>
      <c r="K242">
        <v>55253.9</v>
      </c>
      <c r="L242">
        <v>55253.9</v>
      </c>
      <c r="M242">
        <v>1000</v>
      </c>
      <c r="N242" t="s">
        <v>1159</v>
      </c>
      <c r="O242" t="s">
        <v>1164</v>
      </c>
      <c r="P242" s="2">
        <v>45811</v>
      </c>
      <c r="Q242">
        <v>4</v>
      </c>
      <c r="R242" t="s">
        <v>1167</v>
      </c>
    </row>
    <row r="243" spans="1:18" x14ac:dyDescent="0.3">
      <c r="A243" s="2">
        <v>45758</v>
      </c>
      <c r="B243" t="s">
        <v>259</v>
      </c>
      <c r="C243" t="s">
        <v>1117</v>
      </c>
      <c r="D243" t="s">
        <v>1133</v>
      </c>
      <c r="E243" t="s">
        <v>1137</v>
      </c>
      <c r="F243" t="s">
        <v>1149</v>
      </c>
      <c r="G243" t="s">
        <v>1152</v>
      </c>
      <c r="H243">
        <v>4</v>
      </c>
      <c r="I243">
        <v>66058</v>
      </c>
      <c r="J243">
        <v>20</v>
      </c>
      <c r="K243">
        <v>52846.400000000001</v>
      </c>
      <c r="L243">
        <v>211385.60000000001</v>
      </c>
      <c r="M243">
        <v>2000</v>
      </c>
      <c r="N243" t="s">
        <v>1159</v>
      </c>
      <c r="O243" t="s">
        <v>1162</v>
      </c>
      <c r="R243" t="s">
        <v>1167</v>
      </c>
    </row>
    <row r="244" spans="1:18" x14ac:dyDescent="0.3">
      <c r="A244" s="2">
        <v>45789</v>
      </c>
      <c r="B244" t="s">
        <v>260</v>
      </c>
      <c r="C244" t="s">
        <v>1123</v>
      </c>
      <c r="D244" t="s">
        <v>1135</v>
      </c>
      <c r="E244" t="s">
        <v>1148</v>
      </c>
      <c r="F244" t="s">
        <v>1149</v>
      </c>
      <c r="G244" t="s">
        <v>1152</v>
      </c>
      <c r="H244">
        <v>3</v>
      </c>
      <c r="I244">
        <v>54022</v>
      </c>
      <c r="J244">
        <v>10</v>
      </c>
      <c r="K244">
        <v>48619.8</v>
      </c>
      <c r="L244">
        <v>145859.4</v>
      </c>
      <c r="M244">
        <v>1500</v>
      </c>
      <c r="N244" t="s">
        <v>1160</v>
      </c>
      <c r="O244" t="s">
        <v>1163</v>
      </c>
      <c r="Q244">
        <v>4</v>
      </c>
      <c r="R244" t="s">
        <v>1169</v>
      </c>
    </row>
    <row r="245" spans="1:18" x14ac:dyDescent="0.3">
      <c r="A245" s="2">
        <v>45767</v>
      </c>
      <c r="B245" t="s">
        <v>261</v>
      </c>
      <c r="C245" t="s">
        <v>1120</v>
      </c>
      <c r="D245" t="s">
        <v>1135</v>
      </c>
      <c r="E245" t="s">
        <v>1140</v>
      </c>
      <c r="F245" t="s">
        <v>1150</v>
      </c>
      <c r="G245" t="s">
        <v>1154</v>
      </c>
      <c r="H245">
        <v>2</v>
      </c>
      <c r="I245">
        <v>61722</v>
      </c>
      <c r="J245">
        <v>5</v>
      </c>
      <c r="K245">
        <v>58635.9</v>
      </c>
      <c r="L245">
        <v>117271.8</v>
      </c>
      <c r="M245">
        <v>2000</v>
      </c>
      <c r="N245" t="s">
        <v>1160</v>
      </c>
      <c r="O245" t="s">
        <v>1162</v>
      </c>
      <c r="Q245">
        <v>1</v>
      </c>
      <c r="R245" t="s">
        <v>1169</v>
      </c>
    </row>
    <row r="246" spans="1:18" x14ac:dyDescent="0.3">
      <c r="A246" s="2">
        <v>45754</v>
      </c>
      <c r="B246" t="s">
        <v>262</v>
      </c>
      <c r="C246" t="s">
        <v>1119</v>
      </c>
      <c r="D246" t="s">
        <v>1134</v>
      </c>
      <c r="E246" t="s">
        <v>1138</v>
      </c>
      <c r="F246" t="s">
        <v>1149</v>
      </c>
      <c r="G246" t="s">
        <v>1153</v>
      </c>
      <c r="H246">
        <v>3</v>
      </c>
      <c r="I246">
        <v>71773</v>
      </c>
      <c r="J246">
        <v>5</v>
      </c>
      <c r="K246">
        <v>68184.350000000006</v>
      </c>
      <c r="L246">
        <v>204553.05</v>
      </c>
      <c r="M246">
        <v>1000</v>
      </c>
      <c r="N246" t="s">
        <v>1160</v>
      </c>
      <c r="O246" t="s">
        <v>1162</v>
      </c>
      <c r="Q246">
        <v>2</v>
      </c>
    </row>
    <row r="247" spans="1:18" x14ac:dyDescent="0.3">
      <c r="A247" s="2">
        <v>45801</v>
      </c>
      <c r="B247" t="s">
        <v>263</v>
      </c>
      <c r="C247" t="s">
        <v>1118</v>
      </c>
      <c r="D247" t="s">
        <v>1134</v>
      </c>
      <c r="E247" t="s">
        <v>1146</v>
      </c>
      <c r="F247" t="s">
        <v>1151</v>
      </c>
      <c r="G247" t="s">
        <v>1155</v>
      </c>
      <c r="H247">
        <v>2</v>
      </c>
      <c r="I247">
        <v>7448</v>
      </c>
      <c r="J247">
        <v>10</v>
      </c>
      <c r="K247">
        <v>6703.2</v>
      </c>
      <c r="L247">
        <v>13406.4</v>
      </c>
      <c r="M247">
        <v>1500</v>
      </c>
      <c r="N247" t="s">
        <v>1161</v>
      </c>
      <c r="O247" t="s">
        <v>1163</v>
      </c>
    </row>
    <row r="248" spans="1:18" x14ac:dyDescent="0.3">
      <c r="A248" s="2">
        <v>45736</v>
      </c>
      <c r="B248" t="s">
        <v>264</v>
      </c>
      <c r="C248" t="s">
        <v>1126</v>
      </c>
      <c r="D248" t="s">
        <v>1133</v>
      </c>
      <c r="E248" t="s">
        <v>1141</v>
      </c>
      <c r="F248" t="s">
        <v>1151</v>
      </c>
      <c r="G248" t="s">
        <v>1155</v>
      </c>
      <c r="H248">
        <v>5</v>
      </c>
      <c r="I248">
        <v>26908</v>
      </c>
      <c r="J248">
        <v>10</v>
      </c>
      <c r="K248">
        <v>24217.200000000001</v>
      </c>
      <c r="L248">
        <v>121086</v>
      </c>
      <c r="M248">
        <v>1000</v>
      </c>
      <c r="N248" t="s">
        <v>1161</v>
      </c>
      <c r="O248" t="s">
        <v>1162</v>
      </c>
      <c r="Q248">
        <v>1</v>
      </c>
      <c r="R248" t="s">
        <v>1168</v>
      </c>
    </row>
    <row r="249" spans="1:18" x14ac:dyDescent="0.3">
      <c r="A249" s="2">
        <v>45682</v>
      </c>
      <c r="B249" t="s">
        <v>265</v>
      </c>
      <c r="C249" t="s">
        <v>1121</v>
      </c>
      <c r="D249" t="s">
        <v>1136</v>
      </c>
      <c r="E249" t="s">
        <v>1142</v>
      </c>
      <c r="F249" t="s">
        <v>1150</v>
      </c>
      <c r="G249" t="s">
        <v>1156</v>
      </c>
      <c r="H249">
        <v>5</v>
      </c>
      <c r="I249">
        <v>14062</v>
      </c>
      <c r="J249">
        <v>0</v>
      </c>
      <c r="K249">
        <v>14062</v>
      </c>
      <c r="L249">
        <v>70310</v>
      </c>
      <c r="M249">
        <v>2000</v>
      </c>
      <c r="N249" t="s">
        <v>1160</v>
      </c>
      <c r="O249" t="s">
        <v>1164</v>
      </c>
      <c r="P249" s="2">
        <v>45688</v>
      </c>
      <c r="R249" t="s">
        <v>1166</v>
      </c>
    </row>
    <row r="250" spans="1:18" x14ac:dyDescent="0.3">
      <c r="A250" s="2">
        <v>45779</v>
      </c>
      <c r="B250" t="s">
        <v>266</v>
      </c>
      <c r="C250" t="s">
        <v>1119</v>
      </c>
      <c r="D250" t="s">
        <v>1134</v>
      </c>
      <c r="E250" t="s">
        <v>1138</v>
      </c>
      <c r="F250" t="s">
        <v>1149</v>
      </c>
      <c r="G250" t="s">
        <v>1153</v>
      </c>
      <c r="H250">
        <v>3</v>
      </c>
      <c r="I250">
        <v>32279</v>
      </c>
      <c r="J250">
        <v>20</v>
      </c>
      <c r="K250">
        <v>25823.200000000001</v>
      </c>
      <c r="L250">
        <v>77469.600000000006</v>
      </c>
      <c r="M250">
        <v>1500</v>
      </c>
      <c r="N250" t="s">
        <v>1160</v>
      </c>
      <c r="O250" t="s">
        <v>1163</v>
      </c>
      <c r="Q250">
        <v>1</v>
      </c>
      <c r="R250" t="s">
        <v>1166</v>
      </c>
    </row>
    <row r="251" spans="1:18" x14ac:dyDescent="0.3">
      <c r="A251" s="2">
        <v>45821</v>
      </c>
      <c r="B251" t="s">
        <v>267</v>
      </c>
      <c r="C251" t="s">
        <v>1128</v>
      </c>
      <c r="D251" t="s">
        <v>1135</v>
      </c>
      <c r="E251" t="s">
        <v>1138</v>
      </c>
      <c r="F251" t="s">
        <v>1149</v>
      </c>
      <c r="G251" t="s">
        <v>1153</v>
      </c>
      <c r="H251">
        <v>4</v>
      </c>
      <c r="I251">
        <v>72794</v>
      </c>
      <c r="J251">
        <v>20</v>
      </c>
      <c r="K251">
        <v>58235.199999999997</v>
      </c>
      <c r="L251">
        <v>232940.79999999999</v>
      </c>
      <c r="M251">
        <v>1000</v>
      </c>
      <c r="N251" t="s">
        <v>1159</v>
      </c>
      <c r="O251" t="s">
        <v>1162</v>
      </c>
      <c r="Q251">
        <v>3</v>
      </c>
    </row>
    <row r="252" spans="1:18" x14ac:dyDescent="0.3">
      <c r="A252" s="2">
        <v>45746</v>
      </c>
      <c r="B252" t="s">
        <v>268</v>
      </c>
      <c r="C252" t="s">
        <v>1131</v>
      </c>
      <c r="D252" t="s">
        <v>1136</v>
      </c>
      <c r="E252" t="s">
        <v>1145</v>
      </c>
      <c r="F252" t="s">
        <v>1149</v>
      </c>
      <c r="G252" t="s">
        <v>1153</v>
      </c>
      <c r="H252">
        <v>3</v>
      </c>
      <c r="I252">
        <v>20362</v>
      </c>
      <c r="J252">
        <v>15</v>
      </c>
      <c r="K252">
        <v>17307.7</v>
      </c>
      <c r="L252">
        <v>51923.100000000013</v>
      </c>
      <c r="M252">
        <v>1000</v>
      </c>
      <c r="N252" t="s">
        <v>1160</v>
      </c>
      <c r="O252" t="s">
        <v>1162</v>
      </c>
      <c r="R252" t="s">
        <v>1169</v>
      </c>
    </row>
    <row r="253" spans="1:18" x14ac:dyDescent="0.3">
      <c r="A253" s="2">
        <v>45683</v>
      </c>
      <c r="B253" t="s">
        <v>269</v>
      </c>
      <c r="C253" t="s">
        <v>1118</v>
      </c>
      <c r="D253" t="s">
        <v>1134</v>
      </c>
      <c r="E253" t="s">
        <v>1146</v>
      </c>
      <c r="F253" t="s">
        <v>1151</v>
      </c>
      <c r="G253" t="s">
        <v>1155</v>
      </c>
      <c r="H253">
        <v>1</v>
      </c>
      <c r="I253">
        <v>2720</v>
      </c>
      <c r="J253">
        <v>0</v>
      </c>
      <c r="K253">
        <v>2720</v>
      </c>
      <c r="L253">
        <v>2720</v>
      </c>
      <c r="M253">
        <v>1000</v>
      </c>
      <c r="N253" t="s">
        <v>1161</v>
      </c>
      <c r="O253" t="s">
        <v>1164</v>
      </c>
      <c r="P253" s="2">
        <v>45685</v>
      </c>
      <c r="Q253">
        <v>5</v>
      </c>
      <c r="R253" t="s">
        <v>1169</v>
      </c>
    </row>
    <row r="254" spans="1:18" x14ac:dyDescent="0.3">
      <c r="A254" s="2">
        <v>45727</v>
      </c>
      <c r="B254" t="s">
        <v>270</v>
      </c>
      <c r="C254" t="s">
        <v>1117</v>
      </c>
      <c r="D254" t="s">
        <v>1133</v>
      </c>
      <c r="E254" t="s">
        <v>1148</v>
      </c>
      <c r="F254" t="s">
        <v>1149</v>
      </c>
      <c r="G254" t="s">
        <v>1152</v>
      </c>
      <c r="H254">
        <v>1</v>
      </c>
      <c r="I254">
        <v>37321</v>
      </c>
      <c r="J254">
        <v>10</v>
      </c>
      <c r="K254">
        <v>33588.9</v>
      </c>
      <c r="L254">
        <v>33588.9</v>
      </c>
      <c r="M254">
        <v>2000</v>
      </c>
      <c r="N254" t="s">
        <v>1160</v>
      </c>
      <c r="O254" t="s">
        <v>1164</v>
      </c>
      <c r="P254" s="2">
        <v>45730</v>
      </c>
    </row>
    <row r="255" spans="1:18" x14ac:dyDescent="0.3">
      <c r="A255" s="2">
        <v>45767</v>
      </c>
      <c r="B255" t="s">
        <v>271</v>
      </c>
      <c r="C255" t="s">
        <v>1121</v>
      </c>
      <c r="D255" t="s">
        <v>1136</v>
      </c>
      <c r="E255" t="s">
        <v>1143</v>
      </c>
      <c r="F255" t="s">
        <v>1151</v>
      </c>
      <c r="G255" t="s">
        <v>1157</v>
      </c>
      <c r="H255">
        <v>3</v>
      </c>
      <c r="I255">
        <v>72362</v>
      </c>
      <c r="J255">
        <v>0</v>
      </c>
      <c r="K255">
        <v>72362</v>
      </c>
      <c r="L255">
        <v>217086</v>
      </c>
      <c r="M255">
        <v>2000</v>
      </c>
      <c r="N255" t="s">
        <v>1161</v>
      </c>
      <c r="O255" t="s">
        <v>1163</v>
      </c>
      <c r="Q255">
        <v>1</v>
      </c>
      <c r="R255" t="s">
        <v>1170</v>
      </c>
    </row>
    <row r="256" spans="1:18" x14ac:dyDescent="0.3">
      <c r="A256" s="2">
        <v>45729</v>
      </c>
      <c r="B256" t="s">
        <v>272</v>
      </c>
      <c r="C256" t="s">
        <v>1121</v>
      </c>
      <c r="D256" t="s">
        <v>1136</v>
      </c>
      <c r="E256" t="s">
        <v>1137</v>
      </c>
      <c r="F256" t="s">
        <v>1149</v>
      </c>
      <c r="G256" t="s">
        <v>1152</v>
      </c>
      <c r="H256">
        <v>3</v>
      </c>
      <c r="I256">
        <v>21163</v>
      </c>
      <c r="J256">
        <v>0</v>
      </c>
      <c r="K256">
        <v>21163</v>
      </c>
      <c r="L256">
        <v>63489</v>
      </c>
      <c r="M256">
        <v>1500</v>
      </c>
      <c r="N256" t="s">
        <v>1161</v>
      </c>
      <c r="O256" t="s">
        <v>1163</v>
      </c>
      <c r="Q256">
        <v>1</v>
      </c>
      <c r="R256" t="s">
        <v>1166</v>
      </c>
    </row>
    <row r="257" spans="1:18" x14ac:dyDescent="0.3">
      <c r="A257" s="2">
        <v>45674</v>
      </c>
      <c r="B257" t="s">
        <v>273</v>
      </c>
      <c r="C257" t="s">
        <v>1117</v>
      </c>
      <c r="D257" t="s">
        <v>1133</v>
      </c>
      <c r="E257" t="s">
        <v>1139</v>
      </c>
      <c r="F257" t="s">
        <v>1150</v>
      </c>
      <c r="G257" t="s">
        <v>1154</v>
      </c>
      <c r="H257">
        <v>4</v>
      </c>
      <c r="I257">
        <v>79703</v>
      </c>
      <c r="J257">
        <v>5</v>
      </c>
      <c r="K257">
        <v>75717.850000000006</v>
      </c>
      <c r="L257">
        <v>302871.40000000002</v>
      </c>
      <c r="M257">
        <v>1500</v>
      </c>
      <c r="N257" t="s">
        <v>1161</v>
      </c>
      <c r="O257" t="s">
        <v>1163</v>
      </c>
      <c r="Q257">
        <v>5</v>
      </c>
      <c r="R257" t="s">
        <v>1167</v>
      </c>
    </row>
    <row r="258" spans="1:18" x14ac:dyDescent="0.3">
      <c r="A258" s="2">
        <v>45686</v>
      </c>
      <c r="B258" t="s">
        <v>274</v>
      </c>
      <c r="C258" t="s">
        <v>1124</v>
      </c>
      <c r="D258" t="s">
        <v>1135</v>
      </c>
      <c r="E258" t="s">
        <v>1137</v>
      </c>
      <c r="F258" t="s">
        <v>1149</v>
      </c>
      <c r="G258" t="s">
        <v>1152</v>
      </c>
      <c r="H258">
        <v>5</v>
      </c>
      <c r="I258">
        <v>73986</v>
      </c>
      <c r="J258">
        <v>10</v>
      </c>
      <c r="K258">
        <v>66587.399999999994</v>
      </c>
      <c r="L258">
        <v>332937</v>
      </c>
      <c r="M258">
        <v>2000</v>
      </c>
      <c r="N258" t="s">
        <v>1160</v>
      </c>
      <c r="O258" t="s">
        <v>1164</v>
      </c>
      <c r="P258" s="2">
        <v>45689</v>
      </c>
      <c r="Q258">
        <v>3</v>
      </c>
    </row>
    <row r="259" spans="1:18" x14ac:dyDescent="0.3">
      <c r="A259" s="2">
        <v>45705</v>
      </c>
      <c r="B259" t="s">
        <v>275</v>
      </c>
      <c r="C259" t="s">
        <v>1118</v>
      </c>
      <c r="D259" t="s">
        <v>1134</v>
      </c>
      <c r="E259" t="s">
        <v>1144</v>
      </c>
      <c r="F259" t="s">
        <v>1151</v>
      </c>
      <c r="G259" t="s">
        <v>1157</v>
      </c>
      <c r="H259">
        <v>2</v>
      </c>
      <c r="I259">
        <v>9004</v>
      </c>
      <c r="J259">
        <v>10</v>
      </c>
      <c r="K259">
        <v>8103.6</v>
      </c>
      <c r="L259">
        <v>16207.2</v>
      </c>
      <c r="M259">
        <v>2000</v>
      </c>
      <c r="N259" t="s">
        <v>1159</v>
      </c>
      <c r="O259" t="s">
        <v>1164</v>
      </c>
      <c r="P259" s="2">
        <v>45718</v>
      </c>
      <c r="Q259">
        <v>5</v>
      </c>
      <c r="R259" t="s">
        <v>1167</v>
      </c>
    </row>
    <row r="260" spans="1:18" x14ac:dyDescent="0.3">
      <c r="A260" s="2">
        <v>45694</v>
      </c>
      <c r="B260" t="s">
        <v>276</v>
      </c>
      <c r="C260" t="s">
        <v>1129</v>
      </c>
      <c r="D260" t="s">
        <v>1133</v>
      </c>
      <c r="E260" t="s">
        <v>1144</v>
      </c>
      <c r="F260" t="s">
        <v>1151</v>
      </c>
      <c r="G260" t="s">
        <v>1157</v>
      </c>
      <c r="H260">
        <v>2</v>
      </c>
      <c r="I260">
        <v>11958</v>
      </c>
      <c r="J260">
        <v>5</v>
      </c>
      <c r="K260">
        <v>11360.1</v>
      </c>
      <c r="L260">
        <v>22720.2</v>
      </c>
      <c r="M260">
        <v>2000</v>
      </c>
      <c r="N260" t="s">
        <v>1160</v>
      </c>
      <c r="O260" t="s">
        <v>1163</v>
      </c>
      <c r="Q260">
        <v>4</v>
      </c>
      <c r="R260" t="s">
        <v>1170</v>
      </c>
    </row>
    <row r="261" spans="1:18" x14ac:dyDescent="0.3">
      <c r="A261" s="2">
        <v>45818</v>
      </c>
      <c r="B261" t="s">
        <v>277</v>
      </c>
      <c r="C261" t="s">
        <v>1118</v>
      </c>
      <c r="D261" t="s">
        <v>1134</v>
      </c>
      <c r="E261" t="s">
        <v>1144</v>
      </c>
      <c r="F261" t="s">
        <v>1151</v>
      </c>
      <c r="G261" t="s">
        <v>1157</v>
      </c>
      <c r="H261">
        <v>3</v>
      </c>
      <c r="I261">
        <v>69565</v>
      </c>
      <c r="J261">
        <v>20</v>
      </c>
      <c r="K261">
        <v>55652</v>
      </c>
      <c r="L261">
        <v>166956</v>
      </c>
      <c r="M261">
        <v>1500</v>
      </c>
      <c r="N261" t="s">
        <v>1161</v>
      </c>
      <c r="O261" t="s">
        <v>1164</v>
      </c>
      <c r="P261" s="2">
        <v>45825</v>
      </c>
      <c r="Q261">
        <v>2</v>
      </c>
    </row>
    <row r="262" spans="1:18" x14ac:dyDescent="0.3">
      <c r="A262" s="2">
        <v>45769</v>
      </c>
      <c r="B262" t="s">
        <v>278</v>
      </c>
      <c r="C262" t="s">
        <v>1127</v>
      </c>
      <c r="D262" t="s">
        <v>1134</v>
      </c>
      <c r="E262" t="s">
        <v>1144</v>
      </c>
      <c r="F262" t="s">
        <v>1151</v>
      </c>
      <c r="G262" t="s">
        <v>1157</v>
      </c>
      <c r="H262">
        <v>1</v>
      </c>
      <c r="I262">
        <v>15601</v>
      </c>
      <c r="J262">
        <v>20</v>
      </c>
      <c r="K262">
        <v>12480.8</v>
      </c>
      <c r="L262">
        <v>12480.8</v>
      </c>
      <c r="M262">
        <v>2000</v>
      </c>
      <c r="N262" t="s">
        <v>1159</v>
      </c>
      <c r="O262" t="s">
        <v>1162</v>
      </c>
      <c r="Q262">
        <v>2</v>
      </c>
      <c r="R262" t="s">
        <v>1170</v>
      </c>
    </row>
    <row r="263" spans="1:18" x14ac:dyDescent="0.3">
      <c r="A263" s="2">
        <v>45681</v>
      </c>
      <c r="B263" t="s">
        <v>279</v>
      </c>
      <c r="C263" t="s">
        <v>1123</v>
      </c>
      <c r="D263" t="s">
        <v>1135</v>
      </c>
      <c r="E263" t="s">
        <v>1146</v>
      </c>
      <c r="F263" t="s">
        <v>1151</v>
      </c>
      <c r="G263" t="s">
        <v>1155</v>
      </c>
      <c r="H263">
        <v>3</v>
      </c>
      <c r="I263">
        <v>75046</v>
      </c>
      <c r="J263">
        <v>15</v>
      </c>
      <c r="K263">
        <v>63789.1</v>
      </c>
      <c r="L263">
        <v>191367.3</v>
      </c>
      <c r="M263">
        <v>2000</v>
      </c>
      <c r="N263" t="s">
        <v>1159</v>
      </c>
      <c r="O263" t="s">
        <v>1163</v>
      </c>
      <c r="Q263">
        <v>5</v>
      </c>
      <c r="R263" t="s">
        <v>1169</v>
      </c>
    </row>
    <row r="264" spans="1:18" x14ac:dyDescent="0.3">
      <c r="A264" s="2">
        <v>45686</v>
      </c>
      <c r="B264" t="s">
        <v>280</v>
      </c>
      <c r="C264" t="s">
        <v>1131</v>
      </c>
      <c r="D264" t="s">
        <v>1136</v>
      </c>
      <c r="E264" t="s">
        <v>1144</v>
      </c>
      <c r="F264" t="s">
        <v>1151</v>
      </c>
      <c r="G264" t="s">
        <v>1157</v>
      </c>
      <c r="H264">
        <v>4</v>
      </c>
      <c r="I264">
        <v>33738</v>
      </c>
      <c r="J264">
        <v>15</v>
      </c>
      <c r="K264">
        <v>28677.3</v>
      </c>
      <c r="L264">
        <v>114709.2</v>
      </c>
      <c r="M264">
        <v>1000</v>
      </c>
      <c r="N264" t="s">
        <v>1161</v>
      </c>
      <c r="O264" t="s">
        <v>1162</v>
      </c>
      <c r="Q264">
        <v>4</v>
      </c>
    </row>
    <row r="265" spans="1:18" x14ac:dyDescent="0.3">
      <c r="A265" s="2">
        <v>45665</v>
      </c>
      <c r="B265" t="s">
        <v>281</v>
      </c>
      <c r="C265" t="s">
        <v>1122</v>
      </c>
      <c r="D265" t="s">
        <v>1136</v>
      </c>
      <c r="E265" t="s">
        <v>1147</v>
      </c>
      <c r="F265" t="s">
        <v>1150</v>
      </c>
      <c r="G265" t="s">
        <v>1156</v>
      </c>
      <c r="H265">
        <v>5</v>
      </c>
      <c r="I265">
        <v>16952</v>
      </c>
      <c r="J265">
        <v>15</v>
      </c>
      <c r="K265">
        <v>14409.2</v>
      </c>
      <c r="L265">
        <v>72046</v>
      </c>
      <c r="M265">
        <v>2000</v>
      </c>
      <c r="N265" t="s">
        <v>1160</v>
      </c>
      <c r="O265" t="s">
        <v>1162</v>
      </c>
      <c r="Q265">
        <v>4</v>
      </c>
      <c r="R265" t="s">
        <v>1170</v>
      </c>
    </row>
    <row r="266" spans="1:18" x14ac:dyDescent="0.3">
      <c r="A266" s="2">
        <v>45686</v>
      </c>
      <c r="B266" t="s">
        <v>282</v>
      </c>
      <c r="C266" t="s">
        <v>1119</v>
      </c>
      <c r="D266" t="s">
        <v>1134</v>
      </c>
      <c r="E266" t="s">
        <v>1142</v>
      </c>
      <c r="F266" t="s">
        <v>1150</v>
      </c>
      <c r="G266" t="s">
        <v>1156</v>
      </c>
      <c r="H266">
        <v>2</v>
      </c>
      <c r="I266">
        <v>14003</v>
      </c>
      <c r="J266">
        <v>0</v>
      </c>
      <c r="K266">
        <v>14003</v>
      </c>
      <c r="L266">
        <v>28006</v>
      </c>
      <c r="M266">
        <v>1500</v>
      </c>
      <c r="N266" t="s">
        <v>1160</v>
      </c>
      <c r="O266" t="s">
        <v>1162</v>
      </c>
    </row>
    <row r="267" spans="1:18" x14ac:dyDescent="0.3">
      <c r="A267" s="2">
        <v>45688</v>
      </c>
      <c r="B267" t="s">
        <v>283</v>
      </c>
      <c r="C267" t="s">
        <v>1118</v>
      </c>
      <c r="D267" t="s">
        <v>1134</v>
      </c>
      <c r="E267" t="s">
        <v>1145</v>
      </c>
      <c r="F267" t="s">
        <v>1149</v>
      </c>
      <c r="G267" t="s">
        <v>1153</v>
      </c>
      <c r="H267">
        <v>2</v>
      </c>
      <c r="I267">
        <v>50336</v>
      </c>
      <c r="J267">
        <v>10</v>
      </c>
      <c r="K267">
        <v>45302.400000000001</v>
      </c>
      <c r="L267">
        <v>90604.800000000003</v>
      </c>
      <c r="M267">
        <v>1500</v>
      </c>
      <c r="N267" t="s">
        <v>1159</v>
      </c>
      <c r="O267" t="s">
        <v>1163</v>
      </c>
      <c r="R267" t="s">
        <v>1166</v>
      </c>
    </row>
    <row r="268" spans="1:18" x14ac:dyDescent="0.3">
      <c r="A268" s="2">
        <v>45743</v>
      </c>
      <c r="B268" t="s">
        <v>284</v>
      </c>
      <c r="C268" t="s">
        <v>1117</v>
      </c>
      <c r="D268" t="s">
        <v>1133</v>
      </c>
      <c r="E268" t="s">
        <v>1138</v>
      </c>
      <c r="F268" t="s">
        <v>1149</v>
      </c>
      <c r="G268" t="s">
        <v>1153</v>
      </c>
      <c r="H268">
        <v>5</v>
      </c>
      <c r="I268">
        <v>14991</v>
      </c>
      <c r="J268">
        <v>15</v>
      </c>
      <c r="K268">
        <v>12742.35</v>
      </c>
      <c r="L268">
        <v>63711.75</v>
      </c>
      <c r="M268">
        <v>2000</v>
      </c>
      <c r="N268" t="s">
        <v>1161</v>
      </c>
      <c r="O268" t="s">
        <v>1162</v>
      </c>
      <c r="Q268" t="s">
        <v>1165</v>
      </c>
      <c r="R268" t="s">
        <v>1170</v>
      </c>
    </row>
    <row r="269" spans="1:18" x14ac:dyDescent="0.3">
      <c r="A269" s="2">
        <v>45818</v>
      </c>
      <c r="B269" t="s">
        <v>285</v>
      </c>
      <c r="C269" t="s">
        <v>1130</v>
      </c>
      <c r="D269" t="s">
        <v>1136</v>
      </c>
      <c r="E269" t="s">
        <v>1137</v>
      </c>
      <c r="F269" t="s">
        <v>1149</v>
      </c>
      <c r="G269" t="s">
        <v>1152</v>
      </c>
      <c r="H269">
        <v>3</v>
      </c>
      <c r="I269">
        <v>34511</v>
      </c>
      <c r="J269">
        <v>20</v>
      </c>
      <c r="K269">
        <v>27608.799999999999</v>
      </c>
      <c r="L269">
        <v>82826.399999999994</v>
      </c>
      <c r="M269">
        <v>1500</v>
      </c>
      <c r="N269" t="s">
        <v>1161</v>
      </c>
      <c r="O269" t="s">
        <v>1163</v>
      </c>
      <c r="Q269">
        <v>2</v>
      </c>
      <c r="R269" t="s">
        <v>1168</v>
      </c>
    </row>
    <row r="270" spans="1:18" x14ac:dyDescent="0.3">
      <c r="A270" s="2">
        <v>45783</v>
      </c>
      <c r="B270" t="s">
        <v>286</v>
      </c>
      <c r="C270" t="s">
        <v>1131</v>
      </c>
      <c r="D270" t="s">
        <v>1136</v>
      </c>
      <c r="E270" t="s">
        <v>1139</v>
      </c>
      <c r="F270" t="s">
        <v>1150</v>
      </c>
      <c r="G270" t="s">
        <v>1154</v>
      </c>
      <c r="H270">
        <v>2</v>
      </c>
      <c r="I270">
        <v>78319</v>
      </c>
      <c r="J270">
        <v>20</v>
      </c>
      <c r="K270">
        <v>62655.199999999997</v>
      </c>
      <c r="L270">
        <v>125310.39999999999</v>
      </c>
      <c r="M270">
        <v>1000</v>
      </c>
      <c r="N270" t="s">
        <v>1159</v>
      </c>
      <c r="O270" t="s">
        <v>1163</v>
      </c>
      <c r="Q270">
        <v>3</v>
      </c>
      <c r="R270" t="s">
        <v>1169</v>
      </c>
    </row>
    <row r="271" spans="1:18" x14ac:dyDescent="0.3">
      <c r="A271" s="2">
        <v>45806</v>
      </c>
      <c r="B271" t="s">
        <v>287</v>
      </c>
      <c r="C271" t="s">
        <v>1131</v>
      </c>
      <c r="D271" t="s">
        <v>1136</v>
      </c>
      <c r="E271" t="s">
        <v>1142</v>
      </c>
      <c r="F271" t="s">
        <v>1150</v>
      </c>
      <c r="G271" t="s">
        <v>1156</v>
      </c>
      <c r="H271">
        <v>1</v>
      </c>
      <c r="I271">
        <v>43873</v>
      </c>
      <c r="J271">
        <v>15</v>
      </c>
      <c r="K271">
        <v>37292.050000000003</v>
      </c>
      <c r="L271">
        <v>37292.050000000003</v>
      </c>
      <c r="M271">
        <v>1500</v>
      </c>
      <c r="N271" t="s">
        <v>1159</v>
      </c>
      <c r="O271" t="s">
        <v>1164</v>
      </c>
      <c r="P271" s="2">
        <v>45819</v>
      </c>
      <c r="Q271">
        <v>3</v>
      </c>
    </row>
    <row r="272" spans="1:18" x14ac:dyDescent="0.3">
      <c r="A272" s="2">
        <v>45682</v>
      </c>
      <c r="B272" t="s">
        <v>288</v>
      </c>
      <c r="C272" t="s">
        <v>1124</v>
      </c>
      <c r="D272" t="s">
        <v>1135</v>
      </c>
      <c r="E272" t="s">
        <v>1137</v>
      </c>
      <c r="F272" t="s">
        <v>1149</v>
      </c>
      <c r="G272" t="s">
        <v>1152</v>
      </c>
      <c r="H272">
        <v>5</v>
      </c>
      <c r="I272">
        <v>46629</v>
      </c>
      <c r="J272">
        <v>15</v>
      </c>
      <c r="K272">
        <v>39634.65</v>
      </c>
      <c r="L272">
        <v>198173.25</v>
      </c>
      <c r="M272">
        <v>1500</v>
      </c>
      <c r="N272" t="s">
        <v>1159</v>
      </c>
      <c r="O272" t="s">
        <v>1162</v>
      </c>
      <c r="Q272">
        <v>1</v>
      </c>
      <c r="R272" t="s">
        <v>1167</v>
      </c>
    </row>
    <row r="273" spans="1:18" x14ac:dyDescent="0.3">
      <c r="A273" s="2">
        <v>45816</v>
      </c>
      <c r="B273" t="s">
        <v>289</v>
      </c>
      <c r="C273" t="s">
        <v>1132</v>
      </c>
      <c r="D273" t="s">
        <v>1134</v>
      </c>
      <c r="E273" t="s">
        <v>1146</v>
      </c>
      <c r="F273" t="s">
        <v>1151</v>
      </c>
      <c r="G273" t="s">
        <v>1155</v>
      </c>
      <c r="H273">
        <v>2</v>
      </c>
      <c r="I273">
        <v>40641</v>
      </c>
      <c r="J273">
        <v>20</v>
      </c>
      <c r="K273">
        <v>32512.799999999999</v>
      </c>
      <c r="L273">
        <v>65025.599999999999</v>
      </c>
      <c r="M273">
        <v>1500</v>
      </c>
      <c r="N273" t="s">
        <v>1161</v>
      </c>
      <c r="O273" t="s">
        <v>1162</v>
      </c>
      <c r="Q273">
        <v>3</v>
      </c>
      <c r="R273" t="s">
        <v>1168</v>
      </c>
    </row>
    <row r="274" spans="1:18" x14ac:dyDescent="0.3">
      <c r="A274" s="2">
        <v>45776</v>
      </c>
      <c r="B274" t="s">
        <v>290</v>
      </c>
      <c r="C274" t="s">
        <v>1125</v>
      </c>
      <c r="D274" t="s">
        <v>1133</v>
      </c>
      <c r="E274" t="s">
        <v>1139</v>
      </c>
      <c r="F274" t="s">
        <v>1150</v>
      </c>
      <c r="G274" t="s">
        <v>1154</v>
      </c>
      <c r="H274">
        <v>3</v>
      </c>
      <c r="I274">
        <v>37077</v>
      </c>
      <c r="J274">
        <v>0</v>
      </c>
      <c r="K274">
        <v>37077</v>
      </c>
      <c r="L274">
        <v>111231</v>
      </c>
      <c r="M274">
        <v>2000</v>
      </c>
      <c r="N274" t="s">
        <v>1160</v>
      </c>
      <c r="O274" t="s">
        <v>1163</v>
      </c>
      <c r="Q274">
        <v>1</v>
      </c>
      <c r="R274" t="s">
        <v>1166</v>
      </c>
    </row>
    <row r="275" spans="1:18" x14ac:dyDescent="0.3">
      <c r="A275" s="2">
        <v>45720</v>
      </c>
      <c r="B275" t="s">
        <v>291</v>
      </c>
      <c r="C275" t="s">
        <v>1130</v>
      </c>
      <c r="D275" t="s">
        <v>1136</v>
      </c>
      <c r="E275" t="s">
        <v>1140</v>
      </c>
      <c r="F275" t="s">
        <v>1150</v>
      </c>
      <c r="G275" t="s">
        <v>1154</v>
      </c>
      <c r="H275">
        <v>4</v>
      </c>
      <c r="I275">
        <v>46420</v>
      </c>
      <c r="J275">
        <v>10</v>
      </c>
      <c r="K275">
        <v>41778</v>
      </c>
      <c r="L275">
        <v>167112</v>
      </c>
      <c r="M275">
        <v>1500</v>
      </c>
      <c r="N275" t="s">
        <v>1159</v>
      </c>
      <c r="O275" t="s">
        <v>1163</v>
      </c>
      <c r="Q275">
        <v>3</v>
      </c>
    </row>
    <row r="276" spans="1:18" x14ac:dyDescent="0.3">
      <c r="A276" s="2">
        <v>45730</v>
      </c>
      <c r="B276" t="s">
        <v>292</v>
      </c>
      <c r="C276" t="s">
        <v>1118</v>
      </c>
      <c r="D276" t="s">
        <v>1134</v>
      </c>
      <c r="E276" t="s">
        <v>1138</v>
      </c>
      <c r="F276" t="s">
        <v>1149</v>
      </c>
      <c r="G276" t="s">
        <v>1153</v>
      </c>
      <c r="H276">
        <v>2</v>
      </c>
      <c r="I276">
        <v>56210</v>
      </c>
      <c r="J276">
        <v>20</v>
      </c>
      <c r="K276">
        <v>44968</v>
      </c>
      <c r="L276">
        <v>89936</v>
      </c>
      <c r="M276">
        <v>1500</v>
      </c>
      <c r="N276" t="s">
        <v>1160</v>
      </c>
      <c r="O276" t="s">
        <v>1162</v>
      </c>
      <c r="R276" t="s">
        <v>1169</v>
      </c>
    </row>
    <row r="277" spans="1:18" x14ac:dyDescent="0.3">
      <c r="A277" s="2">
        <v>45732</v>
      </c>
      <c r="B277" t="s">
        <v>293</v>
      </c>
      <c r="C277" t="s">
        <v>1120</v>
      </c>
      <c r="D277" t="s">
        <v>1135</v>
      </c>
      <c r="E277" t="s">
        <v>1139</v>
      </c>
      <c r="F277" t="s">
        <v>1150</v>
      </c>
      <c r="G277" t="s">
        <v>1154</v>
      </c>
      <c r="H277">
        <v>2</v>
      </c>
      <c r="I277">
        <v>10632</v>
      </c>
      <c r="J277">
        <v>0</v>
      </c>
      <c r="K277">
        <v>10632</v>
      </c>
      <c r="L277">
        <v>21264</v>
      </c>
      <c r="M277">
        <v>1500</v>
      </c>
      <c r="N277" t="s">
        <v>1161</v>
      </c>
      <c r="O277" t="s">
        <v>1162</v>
      </c>
      <c r="Q277">
        <v>4</v>
      </c>
      <c r="R277" t="s">
        <v>1169</v>
      </c>
    </row>
    <row r="278" spans="1:18" x14ac:dyDescent="0.3">
      <c r="A278" s="2">
        <v>45794</v>
      </c>
      <c r="B278" t="s">
        <v>294</v>
      </c>
      <c r="C278" t="s">
        <v>1122</v>
      </c>
      <c r="D278" t="s">
        <v>1136</v>
      </c>
      <c r="E278" t="s">
        <v>1141</v>
      </c>
      <c r="F278" t="s">
        <v>1151</v>
      </c>
      <c r="G278" t="s">
        <v>1155</v>
      </c>
      <c r="H278">
        <v>2</v>
      </c>
      <c r="I278">
        <v>32427</v>
      </c>
      <c r="J278">
        <v>20</v>
      </c>
      <c r="K278">
        <v>25941.599999999999</v>
      </c>
      <c r="L278">
        <v>51883.199999999997</v>
      </c>
      <c r="M278">
        <v>2000</v>
      </c>
      <c r="N278" t="s">
        <v>1159</v>
      </c>
      <c r="O278" t="s">
        <v>1162</v>
      </c>
      <c r="Q278">
        <v>3</v>
      </c>
      <c r="R278" t="s">
        <v>1167</v>
      </c>
    </row>
    <row r="279" spans="1:18" x14ac:dyDescent="0.3">
      <c r="A279" s="2">
        <v>45719</v>
      </c>
      <c r="B279" t="s">
        <v>295</v>
      </c>
      <c r="C279" t="s">
        <v>1117</v>
      </c>
      <c r="D279" t="s">
        <v>1133</v>
      </c>
      <c r="E279" t="s">
        <v>1145</v>
      </c>
      <c r="F279" t="s">
        <v>1149</v>
      </c>
      <c r="G279" t="s">
        <v>1153</v>
      </c>
      <c r="H279">
        <v>5</v>
      </c>
      <c r="I279">
        <v>56627</v>
      </c>
      <c r="J279">
        <v>20</v>
      </c>
      <c r="K279">
        <v>45301.599999999999</v>
      </c>
      <c r="L279">
        <v>226508</v>
      </c>
      <c r="M279">
        <v>1500</v>
      </c>
      <c r="N279" t="s">
        <v>1160</v>
      </c>
      <c r="O279" t="s">
        <v>1163</v>
      </c>
      <c r="Q279">
        <v>1</v>
      </c>
      <c r="R279" t="s">
        <v>1169</v>
      </c>
    </row>
    <row r="280" spans="1:18" x14ac:dyDescent="0.3">
      <c r="A280" s="2">
        <v>45834</v>
      </c>
      <c r="B280" t="s">
        <v>296</v>
      </c>
      <c r="C280" t="s">
        <v>1118</v>
      </c>
      <c r="D280" t="s">
        <v>1134</v>
      </c>
      <c r="E280" t="s">
        <v>1143</v>
      </c>
      <c r="F280" t="s">
        <v>1151</v>
      </c>
      <c r="G280" t="s">
        <v>1157</v>
      </c>
      <c r="H280">
        <v>3</v>
      </c>
      <c r="I280">
        <v>79984</v>
      </c>
      <c r="J280">
        <v>20</v>
      </c>
      <c r="K280">
        <v>63987.199999999997</v>
      </c>
      <c r="L280">
        <v>191961.60000000001</v>
      </c>
      <c r="M280">
        <v>2000</v>
      </c>
      <c r="N280" t="s">
        <v>1161</v>
      </c>
      <c r="O280" t="s">
        <v>1163</v>
      </c>
      <c r="Q280">
        <v>3</v>
      </c>
      <c r="R280" t="s">
        <v>1166</v>
      </c>
    </row>
    <row r="281" spans="1:18" x14ac:dyDescent="0.3">
      <c r="A281" s="2">
        <v>45775</v>
      </c>
      <c r="B281" t="s">
        <v>297</v>
      </c>
      <c r="C281" t="s">
        <v>1117</v>
      </c>
      <c r="D281" t="s">
        <v>1133</v>
      </c>
      <c r="E281" t="s">
        <v>1141</v>
      </c>
      <c r="F281" t="s">
        <v>1151</v>
      </c>
      <c r="G281" t="s">
        <v>1155</v>
      </c>
      <c r="H281">
        <v>1</v>
      </c>
      <c r="I281">
        <v>48691</v>
      </c>
      <c r="J281">
        <v>15</v>
      </c>
      <c r="K281">
        <v>41387.35</v>
      </c>
      <c r="L281">
        <v>41387.35</v>
      </c>
      <c r="M281">
        <v>1500</v>
      </c>
      <c r="N281" t="s">
        <v>1160</v>
      </c>
      <c r="O281" t="s">
        <v>1164</v>
      </c>
      <c r="P281" s="2">
        <v>45779</v>
      </c>
      <c r="Q281">
        <v>1</v>
      </c>
      <c r="R281" t="s">
        <v>1168</v>
      </c>
    </row>
    <row r="282" spans="1:18" x14ac:dyDescent="0.3">
      <c r="A282" s="2">
        <v>45727</v>
      </c>
      <c r="B282" t="s">
        <v>298</v>
      </c>
      <c r="C282" t="s">
        <v>1117</v>
      </c>
      <c r="D282" t="s">
        <v>1133</v>
      </c>
      <c r="E282" t="s">
        <v>1140</v>
      </c>
      <c r="F282" t="s">
        <v>1150</v>
      </c>
      <c r="G282" t="s">
        <v>1154</v>
      </c>
      <c r="H282">
        <v>3</v>
      </c>
      <c r="I282">
        <v>59166</v>
      </c>
      <c r="J282">
        <v>20</v>
      </c>
      <c r="K282">
        <v>47332.800000000003</v>
      </c>
      <c r="L282">
        <v>141998.39999999999</v>
      </c>
      <c r="M282">
        <v>2000</v>
      </c>
      <c r="N282" t="s">
        <v>1159</v>
      </c>
      <c r="O282" t="s">
        <v>1162</v>
      </c>
      <c r="R282" t="s">
        <v>1166</v>
      </c>
    </row>
    <row r="283" spans="1:18" x14ac:dyDescent="0.3">
      <c r="A283" s="2">
        <v>45791</v>
      </c>
      <c r="B283" t="s">
        <v>299</v>
      </c>
      <c r="C283" t="s">
        <v>1128</v>
      </c>
      <c r="D283" t="s">
        <v>1135</v>
      </c>
      <c r="E283" t="s">
        <v>1147</v>
      </c>
      <c r="F283" t="s">
        <v>1150</v>
      </c>
      <c r="G283" t="s">
        <v>1156</v>
      </c>
      <c r="H283">
        <v>4</v>
      </c>
      <c r="I283">
        <v>68247</v>
      </c>
      <c r="J283">
        <v>10</v>
      </c>
      <c r="K283">
        <v>61422.3</v>
      </c>
      <c r="L283">
        <v>245689.2</v>
      </c>
      <c r="M283">
        <v>1500</v>
      </c>
      <c r="N283" t="s">
        <v>1160</v>
      </c>
      <c r="O283" t="s">
        <v>1164</v>
      </c>
      <c r="P283" s="2">
        <v>45801</v>
      </c>
      <c r="R283" t="s">
        <v>1168</v>
      </c>
    </row>
    <row r="284" spans="1:18" x14ac:dyDescent="0.3">
      <c r="A284" s="2">
        <v>45837</v>
      </c>
      <c r="B284" t="s">
        <v>300</v>
      </c>
      <c r="C284" t="s">
        <v>1120</v>
      </c>
      <c r="D284" t="s">
        <v>1135</v>
      </c>
      <c r="E284" t="s">
        <v>1144</v>
      </c>
      <c r="F284" t="s">
        <v>1151</v>
      </c>
      <c r="G284" t="s">
        <v>1157</v>
      </c>
      <c r="H284">
        <v>3</v>
      </c>
      <c r="I284">
        <v>63767</v>
      </c>
      <c r="J284">
        <v>0</v>
      </c>
      <c r="K284">
        <v>63767</v>
      </c>
      <c r="L284">
        <v>191301</v>
      </c>
      <c r="M284">
        <v>1500</v>
      </c>
      <c r="N284" t="s">
        <v>1161</v>
      </c>
      <c r="O284" t="s">
        <v>1164</v>
      </c>
      <c r="P284" s="2">
        <v>45842</v>
      </c>
    </row>
    <row r="285" spans="1:18" x14ac:dyDescent="0.3">
      <c r="A285" s="2">
        <v>45760</v>
      </c>
      <c r="B285" t="s">
        <v>301</v>
      </c>
      <c r="C285" t="s">
        <v>1127</v>
      </c>
      <c r="D285" t="s">
        <v>1134</v>
      </c>
      <c r="E285" t="s">
        <v>1145</v>
      </c>
      <c r="F285" t="s">
        <v>1149</v>
      </c>
      <c r="G285" t="s">
        <v>1153</v>
      </c>
      <c r="H285">
        <v>5</v>
      </c>
      <c r="I285">
        <v>68990</v>
      </c>
      <c r="J285">
        <v>20</v>
      </c>
      <c r="K285">
        <v>55192</v>
      </c>
      <c r="L285">
        <v>275960</v>
      </c>
      <c r="M285">
        <v>2000</v>
      </c>
      <c r="N285" t="s">
        <v>1159</v>
      </c>
      <c r="O285" t="s">
        <v>1163</v>
      </c>
      <c r="Q285">
        <v>5</v>
      </c>
      <c r="R285" t="s">
        <v>1168</v>
      </c>
    </row>
    <row r="286" spans="1:18" x14ac:dyDescent="0.3">
      <c r="A286" s="2">
        <v>45707</v>
      </c>
      <c r="B286" t="s">
        <v>302</v>
      </c>
      <c r="C286" t="s">
        <v>1123</v>
      </c>
      <c r="D286" t="s">
        <v>1135</v>
      </c>
      <c r="E286" t="s">
        <v>1148</v>
      </c>
      <c r="F286" t="s">
        <v>1149</v>
      </c>
      <c r="G286" t="s">
        <v>1152</v>
      </c>
      <c r="H286">
        <v>3</v>
      </c>
      <c r="I286">
        <v>8183</v>
      </c>
      <c r="J286">
        <v>15</v>
      </c>
      <c r="K286">
        <v>6955.55</v>
      </c>
      <c r="L286">
        <v>20866.650000000001</v>
      </c>
      <c r="M286">
        <v>2000</v>
      </c>
      <c r="N286" t="s">
        <v>1161</v>
      </c>
      <c r="O286" t="s">
        <v>1163</v>
      </c>
      <c r="Q286">
        <v>3</v>
      </c>
      <c r="R286" t="s">
        <v>1167</v>
      </c>
    </row>
    <row r="287" spans="1:18" x14ac:dyDescent="0.3">
      <c r="A287" s="2">
        <v>45824</v>
      </c>
      <c r="B287" t="s">
        <v>303</v>
      </c>
      <c r="C287" t="s">
        <v>1125</v>
      </c>
      <c r="D287" t="s">
        <v>1133</v>
      </c>
      <c r="E287" t="s">
        <v>1137</v>
      </c>
      <c r="F287" t="s">
        <v>1149</v>
      </c>
      <c r="G287" t="s">
        <v>1152</v>
      </c>
      <c r="H287">
        <v>2</v>
      </c>
      <c r="I287">
        <v>10194</v>
      </c>
      <c r="J287">
        <v>15</v>
      </c>
      <c r="K287">
        <v>8664.9</v>
      </c>
      <c r="L287">
        <v>17329.8</v>
      </c>
      <c r="M287">
        <v>2000</v>
      </c>
      <c r="N287" t="s">
        <v>1160</v>
      </c>
      <c r="O287" t="s">
        <v>1162</v>
      </c>
      <c r="Q287">
        <v>1</v>
      </c>
      <c r="R287" t="s">
        <v>1169</v>
      </c>
    </row>
    <row r="288" spans="1:18" x14ac:dyDescent="0.3">
      <c r="A288" s="2">
        <v>45687</v>
      </c>
      <c r="B288" t="s">
        <v>304</v>
      </c>
      <c r="C288" t="s">
        <v>1120</v>
      </c>
      <c r="D288" t="s">
        <v>1135</v>
      </c>
      <c r="E288" t="s">
        <v>1143</v>
      </c>
      <c r="F288" t="s">
        <v>1151</v>
      </c>
      <c r="G288" t="s">
        <v>1157</v>
      </c>
      <c r="H288">
        <v>1</v>
      </c>
      <c r="I288">
        <v>2422</v>
      </c>
      <c r="J288">
        <v>15</v>
      </c>
      <c r="K288">
        <v>2058.6999999999998</v>
      </c>
      <c r="L288">
        <v>2058.6999999999998</v>
      </c>
      <c r="M288">
        <v>1000</v>
      </c>
      <c r="N288" t="s">
        <v>1161</v>
      </c>
      <c r="O288" t="s">
        <v>1163</v>
      </c>
      <c r="R288" t="s">
        <v>1169</v>
      </c>
    </row>
    <row r="289" spans="1:18" x14ac:dyDescent="0.3">
      <c r="A289" s="2">
        <v>45764</v>
      </c>
      <c r="B289" t="s">
        <v>305</v>
      </c>
      <c r="C289" t="s">
        <v>1120</v>
      </c>
      <c r="D289" t="s">
        <v>1135</v>
      </c>
      <c r="E289" t="s">
        <v>1138</v>
      </c>
      <c r="F289" t="s">
        <v>1149</v>
      </c>
      <c r="G289" t="s">
        <v>1153</v>
      </c>
      <c r="H289">
        <v>2</v>
      </c>
      <c r="I289">
        <v>66819</v>
      </c>
      <c r="J289">
        <v>20</v>
      </c>
      <c r="K289">
        <v>53455.199999999997</v>
      </c>
      <c r="L289">
        <v>106910.39999999999</v>
      </c>
      <c r="M289">
        <v>2000</v>
      </c>
      <c r="N289" t="s">
        <v>1159</v>
      </c>
      <c r="O289" t="s">
        <v>1162</v>
      </c>
      <c r="Q289">
        <v>5</v>
      </c>
      <c r="R289" t="s">
        <v>1167</v>
      </c>
    </row>
    <row r="290" spans="1:18" x14ac:dyDescent="0.3">
      <c r="A290" s="2">
        <v>45838</v>
      </c>
      <c r="B290" t="s">
        <v>306</v>
      </c>
      <c r="C290" t="s">
        <v>1127</v>
      </c>
      <c r="D290" t="s">
        <v>1134</v>
      </c>
      <c r="E290" t="s">
        <v>1142</v>
      </c>
      <c r="F290" t="s">
        <v>1150</v>
      </c>
      <c r="G290" t="s">
        <v>1156</v>
      </c>
      <c r="H290">
        <v>2</v>
      </c>
      <c r="I290">
        <v>14001</v>
      </c>
      <c r="J290">
        <v>20</v>
      </c>
      <c r="K290">
        <v>11200.8</v>
      </c>
      <c r="L290">
        <v>22401.599999999999</v>
      </c>
      <c r="M290">
        <v>1000</v>
      </c>
      <c r="N290" t="s">
        <v>1161</v>
      </c>
      <c r="O290" t="s">
        <v>1163</v>
      </c>
      <c r="R290" t="s">
        <v>1167</v>
      </c>
    </row>
    <row r="291" spans="1:18" x14ac:dyDescent="0.3">
      <c r="A291" s="2">
        <v>45722</v>
      </c>
      <c r="B291" t="s">
        <v>307</v>
      </c>
      <c r="C291" t="s">
        <v>1132</v>
      </c>
      <c r="D291" t="s">
        <v>1134</v>
      </c>
      <c r="E291" t="s">
        <v>1138</v>
      </c>
      <c r="F291" t="s">
        <v>1149</v>
      </c>
      <c r="G291" t="s">
        <v>1153</v>
      </c>
      <c r="H291">
        <v>5</v>
      </c>
      <c r="I291">
        <v>79934</v>
      </c>
      <c r="J291">
        <v>10</v>
      </c>
      <c r="K291">
        <v>71940.600000000006</v>
      </c>
      <c r="L291">
        <v>359703</v>
      </c>
      <c r="M291">
        <v>1000</v>
      </c>
      <c r="N291" t="s">
        <v>1159</v>
      </c>
      <c r="O291" t="s">
        <v>1164</v>
      </c>
      <c r="P291" s="2">
        <v>45725</v>
      </c>
      <c r="Q291">
        <v>1</v>
      </c>
    </row>
    <row r="292" spans="1:18" x14ac:dyDescent="0.3">
      <c r="A292" s="2">
        <v>45657</v>
      </c>
      <c r="B292" t="s">
        <v>308</v>
      </c>
      <c r="C292" t="s">
        <v>1120</v>
      </c>
      <c r="D292" t="s">
        <v>1135</v>
      </c>
      <c r="E292" t="s">
        <v>1147</v>
      </c>
      <c r="F292" t="s">
        <v>1150</v>
      </c>
      <c r="G292" t="s">
        <v>1156</v>
      </c>
      <c r="H292">
        <v>2</v>
      </c>
      <c r="I292">
        <v>67434</v>
      </c>
      <c r="J292">
        <v>5</v>
      </c>
      <c r="K292">
        <v>64062.3</v>
      </c>
      <c r="L292">
        <v>128124.6</v>
      </c>
      <c r="M292">
        <v>2000</v>
      </c>
      <c r="N292" t="s">
        <v>1159</v>
      </c>
      <c r="O292" t="s">
        <v>1163</v>
      </c>
      <c r="R292" t="s">
        <v>1168</v>
      </c>
    </row>
    <row r="293" spans="1:18" x14ac:dyDescent="0.3">
      <c r="A293" s="2">
        <v>45703</v>
      </c>
      <c r="B293" t="s">
        <v>309</v>
      </c>
      <c r="C293" t="s">
        <v>1121</v>
      </c>
      <c r="D293" t="s">
        <v>1136</v>
      </c>
      <c r="E293" t="s">
        <v>1139</v>
      </c>
      <c r="F293" t="s">
        <v>1150</v>
      </c>
      <c r="G293" t="s">
        <v>1154</v>
      </c>
      <c r="H293">
        <v>5</v>
      </c>
      <c r="I293">
        <v>35274</v>
      </c>
      <c r="J293">
        <v>15</v>
      </c>
      <c r="K293">
        <v>29982.9</v>
      </c>
      <c r="L293">
        <v>149914.5</v>
      </c>
      <c r="M293">
        <v>2000</v>
      </c>
      <c r="N293" t="s">
        <v>1161</v>
      </c>
      <c r="O293" t="s">
        <v>1163</v>
      </c>
      <c r="Q293">
        <v>2</v>
      </c>
      <c r="R293" t="s">
        <v>1168</v>
      </c>
    </row>
    <row r="294" spans="1:18" x14ac:dyDescent="0.3">
      <c r="A294" s="2">
        <v>45769</v>
      </c>
      <c r="B294" t="s">
        <v>310</v>
      </c>
      <c r="C294" t="s">
        <v>1124</v>
      </c>
      <c r="D294" t="s">
        <v>1135</v>
      </c>
      <c r="E294" t="s">
        <v>1145</v>
      </c>
      <c r="F294" t="s">
        <v>1149</v>
      </c>
      <c r="G294" t="s">
        <v>1153</v>
      </c>
      <c r="H294">
        <v>2</v>
      </c>
      <c r="I294">
        <v>30634</v>
      </c>
      <c r="J294">
        <v>20</v>
      </c>
      <c r="K294">
        <v>24507.200000000001</v>
      </c>
      <c r="L294">
        <v>49014.400000000001</v>
      </c>
      <c r="M294">
        <v>2000</v>
      </c>
      <c r="N294" t="s">
        <v>1159</v>
      </c>
      <c r="O294" t="s">
        <v>1162</v>
      </c>
      <c r="R294" t="s">
        <v>1167</v>
      </c>
    </row>
    <row r="295" spans="1:18" x14ac:dyDescent="0.3">
      <c r="A295" s="2">
        <v>45656</v>
      </c>
      <c r="B295" t="s">
        <v>311</v>
      </c>
      <c r="C295" t="s">
        <v>1121</v>
      </c>
      <c r="D295" t="s">
        <v>1136</v>
      </c>
      <c r="E295" t="s">
        <v>1142</v>
      </c>
      <c r="F295" t="s">
        <v>1150</v>
      </c>
      <c r="G295" t="s">
        <v>1156</v>
      </c>
      <c r="H295">
        <v>2</v>
      </c>
      <c r="I295">
        <v>44334</v>
      </c>
      <c r="J295">
        <v>5</v>
      </c>
      <c r="K295">
        <v>42117.3</v>
      </c>
      <c r="L295">
        <v>84234.6</v>
      </c>
      <c r="M295">
        <v>2000</v>
      </c>
      <c r="N295" t="s">
        <v>1159</v>
      </c>
      <c r="O295" t="s">
        <v>1164</v>
      </c>
      <c r="P295" s="2">
        <v>45658</v>
      </c>
      <c r="R295" t="s">
        <v>1167</v>
      </c>
    </row>
    <row r="296" spans="1:18" x14ac:dyDescent="0.3">
      <c r="A296" s="2">
        <v>45715</v>
      </c>
      <c r="B296" t="s">
        <v>312</v>
      </c>
      <c r="C296" t="s">
        <v>1125</v>
      </c>
      <c r="D296" t="s">
        <v>1133</v>
      </c>
      <c r="E296" t="s">
        <v>1141</v>
      </c>
      <c r="F296" t="s">
        <v>1151</v>
      </c>
      <c r="G296" t="s">
        <v>1155</v>
      </c>
      <c r="H296">
        <v>5</v>
      </c>
      <c r="I296">
        <v>24902</v>
      </c>
      <c r="J296">
        <v>5</v>
      </c>
      <c r="K296">
        <v>23656.9</v>
      </c>
      <c r="L296">
        <v>118284.5</v>
      </c>
      <c r="M296">
        <v>1500</v>
      </c>
      <c r="N296" t="s">
        <v>1161</v>
      </c>
      <c r="O296" t="s">
        <v>1162</v>
      </c>
      <c r="Q296">
        <v>4</v>
      </c>
      <c r="R296" t="s">
        <v>1169</v>
      </c>
    </row>
    <row r="297" spans="1:18" x14ac:dyDescent="0.3">
      <c r="A297" s="2">
        <v>45752</v>
      </c>
      <c r="B297" t="s">
        <v>313</v>
      </c>
      <c r="C297" t="s">
        <v>1117</v>
      </c>
      <c r="D297" t="s">
        <v>1133</v>
      </c>
      <c r="E297" t="s">
        <v>1145</v>
      </c>
      <c r="F297" t="s">
        <v>1149</v>
      </c>
      <c r="G297" t="s">
        <v>1153</v>
      </c>
      <c r="H297">
        <v>4</v>
      </c>
      <c r="I297">
        <v>4929</v>
      </c>
      <c r="J297">
        <v>20</v>
      </c>
      <c r="K297">
        <v>3943.2</v>
      </c>
      <c r="L297">
        <v>15772.8</v>
      </c>
      <c r="M297">
        <v>1500</v>
      </c>
      <c r="N297" t="s">
        <v>1161</v>
      </c>
      <c r="O297" t="s">
        <v>1163</v>
      </c>
      <c r="Q297">
        <v>4</v>
      </c>
      <c r="R297" t="s">
        <v>1166</v>
      </c>
    </row>
    <row r="298" spans="1:18" x14ac:dyDescent="0.3">
      <c r="A298" s="2">
        <v>45751</v>
      </c>
      <c r="B298" t="s">
        <v>314</v>
      </c>
      <c r="C298" t="s">
        <v>1131</v>
      </c>
      <c r="D298" t="s">
        <v>1136</v>
      </c>
      <c r="E298" t="s">
        <v>1142</v>
      </c>
      <c r="F298" t="s">
        <v>1150</v>
      </c>
      <c r="G298" t="s">
        <v>1156</v>
      </c>
      <c r="H298">
        <v>5</v>
      </c>
      <c r="I298">
        <v>12750</v>
      </c>
      <c r="J298">
        <v>10</v>
      </c>
      <c r="K298">
        <v>11475</v>
      </c>
      <c r="L298">
        <v>57375</v>
      </c>
      <c r="M298">
        <v>2000</v>
      </c>
      <c r="N298" t="s">
        <v>1159</v>
      </c>
      <c r="O298" t="s">
        <v>1163</v>
      </c>
      <c r="Q298">
        <v>2</v>
      </c>
    </row>
    <row r="299" spans="1:18" x14ac:dyDescent="0.3">
      <c r="A299" s="2">
        <v>45797</v>
      </c>
      <c r="B299" t="s">
        <v>315</v>
      </c>
      <c r="C299" t="s">
        <v>1119</v>
      </c>
      <c r="D299" t="s">
        <v>1134</v>
      </c>
      <c r="E299" t="s">
        <v>1138</v>
      </c>
      <c r="F299" t="s">
        <v>1149</v>
      </c>
      <c r="G299" t="s">
        <v>1153</v>
      </c>
      <c r="H299">
        <v>2</v>
      </c>
      <c r="I299">
        <v>33473</v>
      </c>
      <c r="J299">
        <v>20</v>
      </c>
      <c r="K299">
        <v>26778.400000000001</v>
      </c>
      <c r="L299">
        <v>53556.800000000003</v>
      </c>
      <c r="M299">
        <v>1000</v>
      </c>
      <c r="N299" t="s">
        <v>1160</v>
      </c>
      <c r="O299" t="s">
        <v>1162</v>
      </c>
      <c r="Q299">
        <v>2</v>
      </c>
      <c r="R299" t="s">
        <v>1168</v>
      </c>
    </row>
    <row r="300" spans="1:18" x14ac:dyDescent="0.3">
      <c r="A300" s="2">
        <v>45762</v>
      </c>
      <c r="B300" t="s">
        <v>316</v>
      </c>
      <c r="C300" t="s">
        <v>1126</v>
      </c>
      <c r="D300" t="s">
        <v>1133</v>
      </c>
      <c r="E300" t="s">
        <v>1138</v>
      </c>
      <c r="F300" t="s">
        <v>1149</v>
      </c>
      <c r="G300" t="s">
        <v>1153</v>
      </c>
      <c r="H300">
        <v>2</v>
      </c>
      <c r="I300">
        <v>64888</v>
      </c>
      <c r="J300">
        <v>20</v>
      </c>
      <c r="K300">
        <v>51910.400000000001</v>
      </c>
      <c r="L300">
        <v>103820.8</v>
      </c>
      <c r="M300">
        <v>1500</v>
      </c>
      <c r="N300" t="s">
        <v>1159</v>
      </c>
      <c r="O300" t="s">
        <v>1163</v>
      </c>
      <c r="Q300">
        <v>5</v>
      </c>
      <c r="R300" t="s">
        <v>1167</v>
      </c>
    </row>
    <row r="301" spans="1:18" x14ac:dyDescent="0.3">
      <c r="A301" s="2">
        <v>45697</v>
      </c>
      <c r="B301" t="s">
        <v>317</v>
      </c>
      <c r="C301" t="s">
        <v>1128</v>
      </c>
      <c r="D301" t="s">
        <v>1135</v>
      </c>
      <c r="E301" t="s">
        <v>1138</v>
      </c>
      <c r="F301" t="s">
        <v>1149</v>
      </c>
      <c r="G301" t="s">
        <v>1153</v>
      </c>
      <c r="H301">
        <v>4</v>
      </c>
      <c r="I301">
        <v>53299</v>
      </c>
      <c r="J301">
        <v>5</v>
      </c>
      <c r="K301">
        <v>50634.05</v>
      </c>
      <c r="L301">
        <v>202536.2</v>
      </c>
      <c r="M301">
        <v>1000</v>
      </c>
      <c r="N301" t="s">
        <v>1160</v>
      </c>
      <c r="O301" t="s">
        <v>1162</v>
      </c>
      <c r="Q301">
        <v>5</v>
      </c>
      <c r="R301" t="s">
        <v>1167</v>
      </c>
    </row>
    <row r="302" spans="1:18" x14ac:dyDescent="0.3">
      <c r="A302" s="2">
        <v>45749</v>
      </c>
      <c r="B302" t="s">
        <v>318</v>
      </c>
      <c r="C302" t="s">
        <v>1128</v>
      </c>
      <c r="D302" t="s">
        <v>1135</v>
      </c>
      <c r="E302" t="s">
        <v>1139</v>
      </c>
      <c r="F302" t="s">
        <v>1150</v>
      </c>
      <c r="G302" t="s">
        <v>1154</v>
      </c>
      <c r="H302">
        <v>2</v>
      </c>
      <c r="I302">
        <v>29531</v>
      </c>
      <c r="J302">
        <v>20</v>
      </c>
      <c r="K302">
        <v>23624.799999999999</v>
      </c>
      <c r="L302">
        <v>47249.599999999999</v>
      </c>
      <c r="M302">
        <v>2000</v>
      </c>
      <c r="N302" t="s">
        <v>1161</v>
      </c>
      <c r="O302" t="s">
        <v>1162</v>
      </c>
      <c r="R302" t="s">
        <v>1167</v>
      </c>
    </row>
    <row r="303" spans="1:18" x14ac:dyDescent="0.3">
      <c r="A303" s="2">
        <v>45813</v>
      </c>
      <c r="B303" t="s">
        <v>319</v>
      </c>
      <c r="C303" t="s">
        <v>1122</v>
      </c>
      <c r="D303" t="s">
        <v>1136</v>
      </c>
      <c r="E303" t="s">
        <v>1139</v>
      </c>
      <c r="F303" t="s">
        <v>1150</v>
      </c>
      <c r="G303" t="s">
        <v>1154</v>
      </c>
      <c r="H303">
        <v>5</v>
      </c>
      <c r="I303">
        <v>8953</v>
      </c>
      <c r="J303">
        <v>20</v>
      </c>
      <c r="K303">
        <v>7162.4</v>
      </c>
      <c r="L303">
        <v>35812</v>
      </c>
      <c r="M303">
        <v>2000</v>
      </c>
      <c r="N303" t="s">
        <v>1159</v>
      </c>
      <c r="O303" t="s">
        <v>1162</v>
      </c>
      <c r="Q303">
        <v>2</v>
      </c>
      <c r="R303" t="s">
        <v>1169</v>
      </c>
    </row>
    <row r="304" spans="1:18" x14ac:dyDescent="0.3">
      <c r="A304" s="2">
        <v>45766</v>
      </c>
      <c r="B304" t="s">
        <v>320</v>
      </c>
      <c r="C304" t="s">
        <v>1121</v>
      </c>
      <c r="D304" t="s">
        <v>1136</v>
      </c>
      <c r="E304" t="s">
        <v>1141</v>
      </c>
      <c r="F304" t="s">
        <v>1151</v>
      </c>
      <c r="G304" t="s">
        <v>1155</v>
      </c>
      <c r="H304">
        <v>2</v>
      </c>
      <c r="I304">
        <v>69388</v>
      </c>
      <c r="J304">
        <v>20</v>
      </c>
      <c r="K304">
        <v>55510.400000000001</v>
      </c>
      <c r="L304">
        <v>111020.8</v>
      </c>
      <c r="M304">
        <v>1000</v>
      </c>
      <c r="N304" t="s">
        <v>1160</v>
      </c>
      <c r="O304" t="s">
        <v>1163</v>
      </c>
      <c r="Q304">
        <v>3</v>
      </c>
      <c r="R304" t="s">
        <v>1166</v>
      </c>
    </row>
    <row r="305" spans="1:18" x14ac:dyDescent="0.3">
      <c r="A305" s="2">
        <v>45784</v>
      </c>
      <c r="B305" t="s">
        <v>321</v>
      </c>
      <c r="C305" t="s">
        <v>1127</v>
      </c>
      <c r="D305" t="s">
        <v>1134</v>
      </c>
      <c r="E305" t="s">
        <v>1138</v>
      </c>
      <c r="F305" t="s">
        <v>1149</v>
      </c>
      <c r="G305" t="s">
        <v>1153</v>
      </c>
      <c r="H305">
        <v>5</v>
      </c>
      <c r="I305">
        <v>28049</v>
      </c>
      <c r="J305">
        <v>15</v>
      </c>
      <c r="K305">
        <v>23841.65</v>
      </c>
      <c r="L305">
        <v>119208.25</v>
      </c>
      <c r="M305">
        <v>2000</v>
      </c>
      <c r="N305" t="s">
        <v>1160</v>
      </c>
      <c r="O305" t="s">
        <v>1164</v>
      </c>
      <c r="P305" s="2">
        <v>45798</v>
      </c>
      <c r="Q305">
        <v>3</v>
      </c>
    </row>
    <row r="306" spans="1:18" x14ac:dyDescent="0.3">
      <c r="A306" s="2">
        <v>45745</v>
      </c>
      <c r="B306" t="s">
        <v>322</v>
      </c>
      <c r="C306" t="s">
        <v>1124</v>
      </c>
      <c r="D306" t="s">
        <v>1135</v>
      </c>
      <c r="E306" t="s">
        <v>1138</v>
      </c>
      <c r="F306" t="s">
        <v>1149</v>
      </c>
      <c r="G306" t="s">
        <v>1153</v>
      </c>
      <c r="H306">
        <v>4</v>
      </c>
      <c r="I306">
        <v>67306</v>
      </c>
      <c r="J306">
        <v>20</v>
      </c>
      <c r="K306">
        <v>53844.800000000003</v>
      </c>
      <c r="L306">
        <v>215379.20000000001</v>
      </c>
      <c r="M306">
        <v>1000</v>
      </c>
      <c r="N306" t="s">
        <v>1161</v>
      </c>
      <c r="O306" t="s">
        <v>1163</v>
      </c>
      <c r="Q306">
        <v>2</v>
      </c>
      <c r="R306" t="s">
        <v>1168</v>
      </c>
    </row>
    <row r="307" spans="1:18" x14ac:dyDescent="0.3">
      <c r="A307" s="2">
        <v>45742</v>
      </c>
      <c r="B307" t="s">
        <v>323</v>
      </c>
      <c r="C307" t="s">
        <v>1121</v>
      </c>
      <c r="D307" t="s">
        <v>1136</v>
      </c>
      <c r="E307" t="s">
        <v>1141</v>
      </c>
      <c r="F307" t="s">
        <v>1151</v>
      </c>
      <c r="G307" t="s">
        <v>1155</v>
      </c>
      <c r="H307">
        <v>4</v>
      </c>
      <c r="I307">
        <v>34330</v>
      </c>
      <c r="J307">
        <v>5</v>
      </c>
      <c r="K307">
        <v>32613.5</v>
      </c>
      <c r="L307">
        <v>130454</v>
      </c>
      <c r="M307">
        <v>1500</v>
      </c>
      <c r="N307" t="s">
        <v>1160</v>
      </c>
      <c r="O307" t="s">
        <v>1162</v>
      </c>
      <c r="Q307">
        <v>3</v>
      </c>
    </row>
    <row r="308" spans="1:18" x14ac:dyDescent="0.3">
      <c r="A308" s="2">
        <v>45686</v>
      </c>
      <c r="B308" t="s">
        <v>324</v>
      </c>
      <c r="C308" t="s">
        <v>1124</v>
      </c>
      <c r="D308" t="s">
        <v>1135</v>
      </c>
      <c r="E308" t="s">
        <v>1137</v>
      </c>
      <c r="F308" t="s">
        <v>1149</v>
      </c>
      <c r="G308" t="s">
        <v>1152</v>
      </c>
      <c r="H308">
        <v>2</v>
      </c>
      <c r="I308">
        <v>9003</v>
      </c>
      <c r="J308">
        <v>20</v>
      </c>
      <c r="K308">
        <v>7202.4</v>
      </c>
      <c r="L308">
        <v>14404.8</v>
      </c>
      <c r="M308">
        <v>2000</v>
      </c>
      <c r="N308" t="s">
        <v>1159</v>
      </c>
      <c r="O308" t="s">
        <v>1162</v>
      </c>
      <c r="Q308">
        <v>3</v>
      </c>
      <c r="R308" t="s">
        <v>1169</v>
      </c>
    </row>
    <row r="309" spans="1:18" x14ac:dyDescent="0.3">
      <c r="A309" s="2">
        <v>45798</v>
      </c>
      <c r="B309" t="s">
        <v>325</v>
      </c>
      <c r="C309" t="s">
        <v>1130</v>
      </c>
      <c r="D309" t="s">
        <v>1136</v>
      </c>
      <c r="E309" t="s">
        <v>1139</v>
      </c>
      <c r="F309" t="s">
        <v>1150</v>
      </c>
      <c r="G309" t="s">
        <v>1154</v>
      </c>
      <c r="H309">
        <v>4</v>
      </c>
      <c r="I309">
        <v>20597</v>
      </c>
      <c r="J309">
        <v>0</v>
      </c>
      <c r="K309">
        <v>20597</v>
      </c>
      <c r="L309">
        <v>82388</v>
      </c>
      <c r="M309">
        <v>1000</v>
      </c>
      <c r="N309" t="s">
        <v>1161</v>
      </c>
      <c r="O309" t="s">
        <v>1162</v>
      </c>
      <c r="Q309">
        <v>2</v>
      </c>
      <c r="R309" t="s">
        <v>1168</v>
      </c>
    </row>
    <row r="310" spans="1:18" x14ac:dyDescent="0.3">
      <c r="A310" s="2">
        <v>45833</v>
      </c>
      <c r="B310" t="s">
        <v>326</v>
      </c>
      <c r="C310" t="s">
        <v>1120</v>
      </c>
      <c r="D310" t="s">
        <v>1135</v>
      </c>
      <c r="E310" t="s">
        <v>1141</v>
      </c>
      <c r="F310" t="s">
        <v>1151</v>
      </c>
      <c r="G310" t="s">
        <v>1155</v>
      </c>
      <c r="H310">
        <v>2</v>
      </c>
      <c r="I310">
        <v>64566</v>
      </c>
      <c r="J310">
        <v>10</v>
      </c>
      <c r="K310">
        <v>58109.4</v>
      </c>
      <c r="L310">
        <v>116218.8</v>
      </c>
      <c r="M310">
        <v>1000</v>
      </c>
      <c r="N310" t="s">
        <v>1161</v>
      </c>
      <c r="O310" t="s">
        <v>1164</v>
      </c>
      <c r="P310" s="2">
        <v>45839</v>
      </c>
      <c r="Q310">
        <v>1</v>
      </c>
      <c r="R310" t="s">
        <v>1170</v>
      </c>
    </row>
    <row r="311" spans="1:18" x14ac:dyDescent="0.3">
      <c r="A311" s="2">
        <v>45657</v>
      </c>
      <c r="B311" t="s">
        <v>327</v>
      </c>
      <c r="C311" t="s">
        <v>1119</v>
      </c>
      <c r="D311" t="s">
        <v>1134</v>
      </c>
      <c r="E311" t="s">
        <v>1138</v>
      </c>
      <c r="F311" t="s">
        <v>1149</v>
      </c>
      <c r="G311" t="s">
        <v>1153</v>
      </c>
      <c r="H311">
        <v>3</v>
      </c>
      <c r="I311">
        <v>61390</v>
      </c>
      <c r="J311">
        <v>20</v>
      </c>
      <c r="K311">
        <v>49112</v>
      </c>
      <c r="L311">
        <v>147336</v>
      </c>
      <c r="M311">
        <v>1000</v>
      </c>
      <c r="N311" t="s">
        <v>1160</v>
      </c>
      <c r="O311" t="s">
        <v>1162</v>
      </c>
      <c r="R311" t="s">
        <v>1170</v>
      </c>
    </row>
    <row r="312" spans="1:18" x14ac:dyDescent="0.3">
      <c r="A312" s="2">
        <v>45728</v>
      </c>
      <c r="B312" t="s">
        <v>328</v>
      </c>
      <c r="C312" t="s">
        <v>1128</v>
      </c>
      <c r="D312" t="s">
        <v>1135</v>
      </c>
      <c r="E312" t="s">
        <v>1146</v>
      </c>
      <c r="F312" t="s">
        <v>1151</v>
      </c>
      <c r="G312" t="s">
        <v>1155</v>
      </c>
      <c r="H312">
        <v>1</v>
      </c>
      <c r="I312">
        <v>22184</v>
      </c>
      <c r="J312">
        <v>20</v>
      </c>
      <c r="K312">
        <v>17747.2</v>
      </c>
      <c r="L312">
        <v>17747.2</v>
      </c>
      <c r="M312">
        <v>1500</v>
      </c>
      <c r="N312" t="s">
        <v>1159</v>
      </c>
      <c r="O312" t="s">
        <v>1163</v>
      </c>
      <c r="Q312">
        <v>2</v>
      </c>
      <c r="R312" t="s">
        <v>1170</v>
      </c>
    </row>
    <row r="313" spans="1:18" x14ac:dyDescent="0.3">
      <c r="A313" s="2">
        <v>45706</v>
      </c>
      <c r="B313" t="s">
        <v>329</v>
      </c>
      <c r="C313" t="s">
        <v>1128</v>
      </c>
      <c r="D313" t="s">
        <v>1135</v>
      </c>
      <c r="E313" t="s">
        <v>1146</v>
      </c>
      <c r="F313" t="s">
        <v>1151</v>
      </c>
      <c r="G313" t="s">
        <v>1155</v>
      </c>
      <c r="H313">
        <v>4</v>
      </c>
      <c r="I313">
        <v>44767</v>
      </c>
      <c r="J313">
        <v>20</v>
      </c>
      <c r="K313">
        <v>35813.599999999999</v>
      </c>
      <c r="L313">
        <v>143254.39999999999</v>
      </c>
      <c r="M313">
        <v>1500</v>
      </c>
      <c r="N313" t="s">
        <v>1160</v>
      </c>
      <c r="O313" t="s">
        <v>1164</v>
      </c>
      <c r="P313" s="2">
        <v>45708</v>
      </c>
      <c r="Q313">
        <v>1</v>
      </c>
      <c r="R313" t="s">
        <v>1168</v>
      </c>
    </row>
    <row r="314" spans="1:18" x14ac:dyDescent="0.3">
      <c r="A314" s="2">
        <v>45786</v>
      </c>
      <c r="B314" t="s">
        <v>330</v>
      </c>
      <c r="C314" t="s">
        <v>1132</v>
      </c>
      <c r="D314" t="s">
        <v>1134</v>
      </c>
      <c r="E314" t="s">
        <v>1138</v>
      </c>
      <c r="F314" t="s">
        <v>1149</v>
      </c>
      <c r="G314" t="s">
        <v>1153</v>
      </c>
      <c r="H314">
        <v>2</v>
      </c>
      <c r="I314">
        <v>11407</v>
      </c>
      <c r="J314">
        <v>10</v>
      </c>
      <c r="K314">
        <v>10266.299999999999</v>
      </c>
      <c r="L314">
        <v>20532.599999999999</v>
      </c>
      <c r="M314">
        <v>1500</v>
      </c>
      <c r="N314" t="s">
        <v>1159</v>
      </c>
      <c r="O314" t="s">
        <v>1163</v>
      </c>
      <c r="Q314">
        <v>1</v>
      </c>
    </row>
    <row r="315" spans="1:18" x14ac:dyDescent="0.3">
      <c r="A315" s="2">
        <v>45732</v>
      </c>
      <c r="B315" t="s">
        <v>331</v>
      </c>
      <c r="C315" t="s">
        <v>1123</v>
      </c>
      <c r="D315" t="s">
        <v>1135</v>
      </c>
      <c r="E315" t="s">
        <v>1139</v>
      </c>
      <c r="F315" t="s">
        <v>1150</v>
      </c>
      <c r="G315" t="s">
        <v>1154</v>
      </c>
      <c r="H315">
        <v>3</v>
      </c>
      <c r="I315">
        <v>1888</v>
      </c>
      <c r="J315">
        <v>20</v>
      </c>
      <c r="K315">
        <v>1510.4</v>
      </c>
      <c r="L315">
        <v>4531.2000000000007</v>
      </c>
      <c r="M315">
        <v>1500</v>
      </c>
      <c r="N315" t="s">
        <v>1159</v>
      </c>
      <c r="O315" t="s">
        <v>1162</v>
      </c>
      <c r="Q315">
        <v>4</v>
      </c>
      <c r="R315" t="s">
        <v>1168</v>
      </c>
    </row>
    <row r="316" spans="1:18" x14ac:dyDescent="0.3">
      <c r="A316" s="2">
        <v>45769</v>
      </c>
      <c r="B316" t="s">
        <v>332</v>
      </c>
      <c r="C316" t="s">
        <v>1119</v>
      </c>
      <c r="D316" t="s">
        <v>1134</v>
      </c>
      <c r="E316" t="s">
        <v>1137</v>
      </c>
      <c r="F316" t="s">
        <v>1149</v>
      </c>
      <c r="G316" t="s">
        <v>1152</v>
      </c>
      <c r="H316">
        <v>3</v>
      </c>
      <c r="I316">
        <v>29653</v>
      </c>
      <c r="J316">
        <v>5</v>
      </c>
      <c r="K316">
        <v>28170.35</v>
      </c>
      <c r="L316">
        <v>84511.049999999988</v>
      </c>
      <c r="M316">
        <v>1500</v>
      </c>
      <c r="N316" t="s">
        <v>1160</v>
      </c>
      <c r="O316" t="s">
        <v>1164</v>
      </c>
      <c r="P316" s="2">
        <v>45771</v>
      </c>
      <c r="Q316">
        <v>1</v>
      </c>
    </row>
    <row r="317" spans="1:18" x14ac:dyDescent="0.3">
      <c r="A317" s="2">
        <v>45770</v>
      </c>
      <c r="B317" t="s">
        <v>333</v>
      </c>
      <c r="C317" t="s">
        <v>1128</v>
      </c>
      <c r="D317" t="s">
        <v>1135</v>
      </c>
      <c r="E317" t="s">
        <v>1146</v>
      </c>
      <c r="F317" t="s">
        <v>1151</v>
      </c>
      <c r="G317" t="s">
        <v>1155</v>
      </c>
      <c r="H317">
        <v>1</v>
      </c>
      <c r="I317">
        <v>9249</v>
      </c>
      <c r="J317">
        <v>0</v>
      </c>
      <c r="K317">
        <v>9249</v>
      </c>
      <c r="L317">
        <v>9249</v>
      </c>
      <c r="M317">
        <v>2000</v>
      </c>
      <c r="N317" t="s">
        <v>1160</v>
      </c>
      <c r="O317" t="s">
        <v>1164</v>
      </c>
      <c r="P317" s="2">
        <v>45783</v>
      </c>
      <c r="Q317">
        <v>5</v>
      </c>
      <c r="R317" t="s">
        <v>1168</v>
      </c>
    </row>
    <row r="318" spans="1:18" x14ac:dyDescent="0.3">
      <c r="A318" s="2">
        <v>45688</v>
      </c>
      <c r="B318" t="s">
        <v>334</v>
      </c>
      <c r="C318" t="s">
        <v>1131</v>
      </c>
      <c r="D318" t="s">
        <v>1136</v>
      </c>
      <c r="E318" t="s">
        <v>1147</v>
      </c>
      <c r="F318" t="s">
        <v>1150</v>
      </c>
      <c r="G318" t="s">
        <v>1156</v>
      </c>
      <c r="H318">
        <v>2</v>
      </c>
      <c r="I318">
        <v>35080</v>
      </c>
      <c r="J318">
        <v>5</v>
      </c>
      <c r="K318">
        <v>33326</v>
      </c>
      <c r="L318">
        <v>66652</v>
      </c>
      <c r="M318">
        <v>1000</v>
      </c>
      <c r="N318" t="s">
        <v>1161</v>
      </c>
      <c r="O318" t="s">
        <v>1164</v>
      </c>
      <c r="P318" s="2">
        <v>45693</v>
      </c>
      <c r="R318" t="s">
        <v>1168</v>
      </c>
    </row>
    <row r="319" spans="1:18" x14ac:dyDescent="0.3">
      <c r="A319" s="2">
        <v>45661</v>
      </c>
      <c r="B319" t="s">
        <v>335</v>
      </c>
      <c r="C319" t="s">
        <v>1122</v>
      </c>
      <c r="D319" t="s">
        <v>1136</v>
      </c>
      <c r="E319" t="s">
        <v>1137</v>
      </c>
      <c r="F319" t="s">
        <v>1149</v>
      </c>
      <c r="G319" t="s">
        <v>1152</v>
      </c>
      <c r="H319">
        <v>2</v>
      </c>
      <c r="I319">
        <v>69401</v>
      </c>
      <c r="J319">
        <v>5</v>
      </c>
      <c r="K319">
        <v>65930.95</v>
      </c>
      <c r="L319">
        <v>131861.9</v>
      </c>
      <c r="M319">
        <v>1000</v>
      </c>
      <c r="N319" t="s">
        <v>1159</v>
      </c>
      <c r="O319" t="s">
        <v>1162</v>
      </c>
      <c r="Q319">
        <v>5</v>
      </c>
      <c r="R319" t="s">
        <v>1166</v>
      </c>
    </row>
    <row r="320" spans="1:18" x14ac:dyDescent="0.3">
      <c r="A320" s="2">
        <v>45707</v>
      </c>
      <c r="B320" t="s">
        <v>336</v>
      </c>
      <c r="C320" t="s">
        <v>1118</v>
      </c>
      <c r="D320" t="s">
        <v>1134</v>
      </c>
      <c r="E320" t="s">
        <v>1137</v>
      </c>
      <c r="F320" t="s">
        <v>1149</v>
      </c>
      <c r="G320" t="s">
        <v>1152</v>
      </c>
      <c r="H320">
        <v>2</v>
      </c>
      <c r="I320">
        <v>49043</v>
      </c>
      <c r="J320">
        <v>10</v>
      </c>
      <c r="K320">
        <v>44138.7</v>
      </c>
      <c r="L320">
        <v>88277.4</v>
      </c>
      <c r="M320">
        <v>2000</v>
      </c>
      <c r="N320" t="s">
        <v>1159</v>
      </c>
      <c r="O320" t="s">
        <v>1162</v>
      </c>
      <c r="Q320">
        <v>2</v>
      </c>
      <c r="R320" t="s">
        <v>1169</v>
      </c>
    </row>
    <row r="321" spans="1:18" x14ac:dyDescent="0.3">
      <c r="A321" s="2">
        <v>45767</v>
      </c>
      <c r="B321" t="s">
        <v>337</v>
      </c>
      <c r="C321" t="s">
        <v>1125</v>
      </c>
      <c r="D321" t="s">
        <v>1133</v>
      </c>
      <c r="E321" t="s">
        <v>1139</v>
      </c>
      <c r="F321" t="s">
        <v>1150</v>
      </c>
      <c r="G321" t="s">
        <v>1154</v>
      </c>
      <c r="H321">
        <v>3</v>
      </c>
      <c r="I321">
        <v>58257</v>
      </c>
      <c r="J321">
        <v>10</v>
      </c>
      <c r="K321">
        <v>52431.3</v>
      </c>
      <c r="L321">
        <v>157293.9</v>
      </c>
      <c r="M321">
        <v>1000</v>
      </c>
      <c r="N321" t="s">
        <v>1161</v>
      </c>
      <c r="O321" t="s">
        <v>1164</v>
      </c>
      <c r="P321" s="2">
        <v>45773</v>
      </c>
      <c r="Q321">
        <v>4</v>
      </c>
      <c r="R321" t="s">
        <v>1168</v>
      </c>
    </row>
    <row r="322" spans="1:18" x14ac:dyDescent="0.3">
      <c r="A322" s="2">
        <v>45678</v>
      </c>
      <c r="B322" t="s">
        <v>338</v>
      </c>
      <c r="C322" t="s">
        <v>1131</v>
      </c>
      <c r="D322" t="s">
        <v>1136</v>
      </c>
      <c r="E322" t="s">
        <v>1137</v>
      </c>
      <c r="F322" t="s">
        <v>1149</v>
      </c>
      <c r="G322" t="s">
        <v>1152</v>
      </c>
      <c r="H322">
        <v>5</v>
      </c>
      <c r="I322">
        <v>11096</v>
      </c>
      <c r="J322">
        <v>5</v>
      </c>
      <c r="K322">
        <v>10541.2</v>
      </c>
      <c r="L322">
        <v>52706</v>
      </c>
      <c r="M322">
        <v>1000</v>
      </c>
      <c r="N322" t="s">
        <v>1159</v>
      </c>
      <c r="O322" t="s">
        <v>1162</v>
      </c>
      <c r="Q322">
        <v>3</v>
      </c>
      <c r="R322" t="s">
        <v>1170</v>
      </c>
    </row>
    <row r="323" spans="1:18" x14ac:dyDescent="0.3">
      <c r="A323" s="2">
        <v>45700</v>
      </c>
      <c r="B323" t="s">
        <v>339</v>
      </c>
      <c r="C323" t="s">
        <v>1125</v>
      </c>
      <c r="D323" t="s">
        <v>1133</v>
      </c>
      <c r="E323" t="s">
        <v>1137</v>
      </c>
      <c r="F323" t="s">
        <v>1149</v>
      </c>
      <c r="G323" t="s">
        <v>1152</v>
      </c>
      <c r="H323">
        <v>2</v>
      </c>
      <c r="I323">
        <v>61615</v>
      </c>
      <c r="J323">
        <v>15</v>
      </c>
      <c r="K323">
        <v>52372.75</v>
      </c>
      <c r="L323">
        <v>104745.5</v>
      </c>
      <c r="M323">
        <v>2000</v>
      </c>
      <c r="N323" t="s">
        <v>1161</v>
      </c>
      <c r="O323" t="s">
        <v>1163</v>
      </c>
      <c r="R323" t="s">
        <v>1169</v>
      </c>
    </row>
    <row r="324" spans="1:18" x14ac:dyDescent="0.3">
      <c r="A324" s="2">
        <v>45833</v>
      </c>
      <c r="B324" t="s">
        <v>340</v>
      </c>
      <c r="C324" t="s">
        <v>1122</v>
      </c>
      <c r="D324" t="s">
        <v>1136</v>
      </c>
      <c r="E324" t="s">
        <v>1137</v>
      </c>
      <c r="F324" t="s">
        <v>1149</v>
      </c>
      <c r="G324" t="s">
        <v>1152</v>
      </c>
      <c r="H324">
        <v>1</v>
      </c>
      <c r="I324">
        <v>16489</v>
      </c>
      <c r="J324">
        <v>10</v>
      </c>
      <c r="K324">
        <v>14840.1</v>
      </c>
      <c r="L324">
        <v>14840.1</v>
      </c>
      <c r="M324">
        <v>1500</v>
      </c>
      <c r="N324" t="s">
        <v>1159</v>
      </c>
      <c r="O324" t="s">
        <v>1162</v>
      </c>
      <c r="Q324">
        <v>2</v>
      </c>
      <c r="R324" t="s">
        <v>1168</v>
      </c>
    </row>
    <row r="325" spans="1:18" x14ac:dyDescent="0.3">
      <c r="A325" s="2">
        <v>45722</v>
      </c>
      <c r="B325" t="s">
        <v>341</v>
      </c>
      <c r="C325" t="s">
        <v>1128</v>
      </c>
      <c r="D325" t="s">
        <v>1135</v>
      </c>
      <c r="E325" t="s">
        <v>1137</v>
      </c>
      <c r="F325" t="s">
        <v>1149</v>
      </c>
      <c r="G325" t="s">
        <v>1152</v>
      </c>
      <c r="H325">
        <v>4</v>
      </c>
      <c r="I325">
        <v>16578</v>
      </c>
      <c r="J325">
        <v>5</v>
      </c>
      <c r="K325">
        <v>15749.1</v>
      </c>
      <c r="L325">
        <v>62996.4</v>
      </c>
      <c r="M325">
        <v>2000</v>
      </c>
      <c r="N325" t="s">
        <v>1161</v>
      </c>
      <c r="O325" t="s">
        <v>1163</v>
      </c>
      <c r="Q325">
        <v>2</v>
      </c>
      <c r="R325" t="s">
        <v>1166</v>
      </c>
    </row>
    <row r="326" spans="1:18" x14ac:dyDescent="0.3">
      <c r="A326" s="2">
        <v>45717</v>
      </c>
      <c r="B326" t="s">
        <v>342</v>
      </c>
      <c r="C326" t="s">
        <v>1127</v>
      </c>
      <c r="D326" t="s">
        <v>1134</v>
      </c>
      <c r="E326" t="s">
        <v>1137</v>
      </c>
      <c r="F326" t="s">
        <v>1149</v>
      </c>
      <c r="G326" t="s">
        <v>1152</v>
      </c>
      <c r="H326">
        <v>4</v>
      </c>
      <c r="I326">
        <v>28333</v>
      </c>
      <c r="J326">
        <v>10</v>
      </c>
      <c r="K326">
        <v>25499.7</v>
      </c>
      <c r="L326">
        <v>101998.8</v>
      </c>
      <c r="M326">
        <v>1500</v>
      </c>
      <c r="N326" t="s">
        <v>1161</v>
      </c>
      <c r="O326" t="s">
        <v>1162</v>
      </c>
      <c r="Q326">
        <v>1</v>
      </c>
    </row>
    <row r="327" spans="1:18" x14ac:dyDescent="0.3">
      <c r="A327" s="2">
        <v>45815</v>
      </c>
      <c r="B327" t="s">
        <v>343</v>
      </c>
      <c r="C327" t="s">
        <v>1130</v>
      </c>
      <c r="D327" t="s">
        <v>1136</v>
      </c>
      <c r="E327" t="s">
        <v>1138</v>
      </c>
      <c r="F327" t="s">
        <v>1149</v>
      </c>
      <c r="G327" t="s">
        <v>1153</v>
      </c>
      <c r="H327">
        <v>4</v>
      </c>
      <c r="I327">
        <v>57436</v>
      </c>
      <c r="J327">
        <v>5</v>
      </c>
      <c r="K327">
        <v>54564.2</v>
      </c>
      <c r="L327">
        <v>218256.8</v>
      </c>
      <c r="M327">
        <v>2000</v>
      </c>
      <c r="N327" t="s">
        <v>1161</v>
      </c>
      <c r="O327" t="s">
        <v>1162</v>
      </c>
      <c r="Q327">
        <v>2</v>
      </c>
      <c r="R327" t="s">
        <v>1167</v>
      </c>
    </row>
    <row r="328" spans="1:18" x14ac:dyDescent="0.3">
      <c r="A328" s="2">
        <v>45785</v>
      </c>
      <c r="B328" t="s">
        <v>344</v>
      </c>
      <c r="C328" t="s">
        <v>1130</v>
      </c>
      <c r="D328" t="s">
        <v>1136</v>
      </c>
      <c r="E328" t="s">
        <v>1146</v>
      </c>
      <c r="F328" t="s">
        <v>1151</v>
      </c>
      <c r="G328" t="s">
        <v>1155</v>
      </c>
      <c r="H328">
        <v>4</v>
      </c>
      <c r="I328">
        <v>27050</v>
      </c>
      <c r="J328">
        <v>20</v>
      </c>
      <c r="K328">
        <v>21640</v>
      </c>
      <c r="L328">
        <v>86560</v>
      </c>
      <c r="M328">
        <v>1500</v>
      </c>
      <c r="N328" t="s">
        <v>1159</v>
      </c>
      <c r="O328" t="s">
        <v>1163</v>
      </c>
      <c r="Q328">
        <v>1</v>
      </c>
      <c r="R328" t="s">
        <v>1168</v>
      </c>
    </row>
    <row r="329" spans="1:18" x14ac:dyDescent="0.3">
      <c r="A329" s="2">
        <v>45815</v>
      </c>
      <c r="B329" t="s">
        <v>345</v>
      </c>
      <c r="C329" t="s">
        <v>1118</v>
      </c>
      <c r="D329" t="s">
        <v>1134</v>
      </c>
      <c r="E329" t="s">
        <v>1145</v>
      </c>
      <c r="F329" t="s">
        <v>1149</v>
      </c>
      <c r="G329" t="s">
        <v>1153</v>
      </c>
      <c r="H329">
        <v>1</v>
      </c>
      <c r="I329">
        <v>40171</v>
      </c>
      <c r="J329">
        <v>10</v>
      </c>
      <c r="K329">
        <v>36153.9</v>
      </c>
      <c r="L329">
        <v>36153.9</v>
      </c>
      <c r="M329">
        <v>2000</v>
      </c>
      <c r="N329" t="s">
        <v>1159</v>
      </c>
      <c r="O329" t="s">
        <v>1164</v>
      </c>
      <c r="P329" s="2">
        <v>45825</v>
      </c>
      <c r="R329" t="s">
        <v>1169</v>
      </c>
    </row>
    <row r="330" spans="1:18" x14ac:dyDescent="0.3">
      <c r="A330" s="2">
        <v>45797</v>
      </c>
      <c r="B330" t="s">
        <v>346</v>
      </c>
      <c r="C330" t="s">
        <v>1121</v>
      </c>
      <c r="D330" t="s">
        <v>1136</v>
      </c>
      <c r="E330" t="s">
        <v>1141</v>
      </c>
      <c r="F330" t="s">
        <v>1151</v>
      </c>
      <c r="G330" t="s">
        <v>1155</v>
      </c>
      <c r="H330">
        <v>2</v>
      </c>
      <c r="I330">
        <v>56511</v>
      </c>
      <c r="J330">
        <v>0</v>
      </c>
      <c r="K330">
        <v>56511</v>
      </c>
      <c r="L330">
        <v>113022</v>
      </c>
      <c r="M330">
        <v>1000</v>
      </c>
      <c r="N330" t="s">
        <v>1161</v>
      </c>
      <c r="O330" t="s">
        <v>1162</v>
      </c>
      <c r="Q330">
        <v>1</v>
      </c>
      <c r="R330" t="s">
        <v>1170</v>
      </c>
    </row>
    <row r="331" spans="1:18" x14ac:dyDescent="0.3">
      <c r="A331" s="2">
        <v>45684</v>
      </c>
      <c r="B331" t="s">
        <v>347</v>
      </c>
      <c r="C331" t="s">
        <v>1123</v>
      </c>
      <c r="D331" t="s">
        <v>1135</v>
      </c>
      <c r="E331" t="s">
        <v>1145</v>
      </c>
      <c r="F331" t="s">
        <v>1149</v>
      </c>
      <c r="G331" t="s">
        <v>1153</v>
      </c>
      <c r="H331">
        <v>3</v>
      </c>
      <c r="I331">
        <v>27223</v>
      </c>
      <c r="J331">
        <v>10</v>
      </c>
      <c r="K331">
        <v>24500.7</v>
      </c>
      <c r="L331">
        <v>73502.100000000006</v>
      </c>
      <c r="M331">
        <v>2000</v>
      </c>
      <c r="N331" t="s">
        <v>1160</v>
      </c>
      <c r="O331" t="s">
        <v>1163</v>
      </c>
      <c r="Q331">
        <v>4</v>
      </c>
      <c r="R331" t="s">
        <v>1169</v>
      </c>
    </row>
    <row r="332" spans="1:18" x14ac:dyDescent="0.3">
      <c r="A332" s="2">
        <v>45798</v>
      </c>
      <c r="B332" t="s">
        <v>348</v>
      </c>
      <c r="C332" t="s">
        <v>1122</v>
      </c>
      <c r="D332" t="s">
        <v>1136</v>
      </c>
      <c r="E332" t="s">
        <v>1137</v>
      </c>
      <c r="F332" t="s">
        <v>1149</v>
      </c>
      <c r="G332" t="s">
        <v>1152</v>
      </c>
      <c r="H332">
        <v>3</v>
      </c>
      <c r="I332">
        <v>17264</v>
      </c>
      <c r="J332">
        <v>15</v>
      </c>
      <c r="K332">
        <v>14674.4</v>
      </c>
      <c r="L332">
        <v>44023.199999999997</v>
      </c>
      <c r="M332">
        <v>1500</v>
      </c>
      <c r="N332" t="s">
        <v>1159</v>
      </c>
      <c r="O332" t="s">
        <v>1164</v>
      </c>
      <c r="P332" s="2">
        <v>45800</v>
      </c>
      <c r="Q332">
        <v>3</v>
      </c>
      <c r="R332" t="s">
        <v>1168</v>
      </c>
    </row>
    <row r="333" spans="1:18" x14ac:dyDescent="0.3">
      <c r="A333" s="2">
        <v>45669</v>
      </c>
      <c r="B333" t="s">
        <v>349</v>
      </c>
      <c r="C333" t="s">
        <v>1127</v>
      </c>
      <c r="D333" t="s">
        <v>1134</v>
      </c>
      <c r="E333" t="s">
        <v>1141</v>
      </c>
      <c r="F333" t="s">
        <v>1151</v>
      </c>
      <c r="G333" t="s">
        <v>1155</v>
      </c>
      <c r="H333">
        <v>4</v>
      </c>
      <c r="I333">
        <v>17924</v>
      </c>
      <c r="J333">
        <v>15</v>
      </c>
      <c r="K333">
        <v>15235.4</v>
      </c>
      <c r="L333">
        <v>60941.599999999999</v>
      </c>
      <c r="M333">
        <v>2000</v>
      </c>
      <c r="N333" t="s">
        <v>1161</v>
      </c>
      <c r="O333" t="s">
        <v>1163</v>
      </c>
      <c r="Q333">
        <v>5</v>
      </c>
      <c r="R333" t="s">
        <v>1169</v>
      </c>
    </row>
    <row r="334" spans="1:18" x14ac:dyDescent="0.3">
      <c r="A334" s="2">
        <v>45670</v>
      </c>
      <c r="B334" t="s">
        <v>350</v>
      </c>
      <c r="C334" t="s">
        <v>1118</v>
      </c>
      <c r="D334" t="s">
        <v>1134</v>
      </c>
      <c r="E334" t="s">
        <v>1144</v>
      </c>
      <c r="F334" t="s">
        <v>1151</v>
      </c>
      <c r="G334" t="s">
        <v>1157</v>
      </c>
      <c r="H334">
        <v>3</v>
      </c>
      <c r="I334">
        <v>32579</v>
      </c>
      <c r="J334">
        <v>5</v>
      </c>
      <c r="K334">
        <v>30950.05</v>
      </c>
      <c r="L334">
        <v>92850.15</v>
      </c>
      <c r="M334">
        <v>2000</v>
      </c>
      <c r="N334" t="s">
        <v>1161</v>
      </c>
      <c r="O334" t="s">
        <v>1162</v>
      </c>
      <c r="R334" t="s">
        <v>1169</v>
      </c>
    </row>
    <row r="335" spans="1:18" x14ac:dyDescent="0.3">
      <c r="A335" s="2">
        <v>45735</v>
      </c>
      <c r="B335" t="s">
        <v>351</v>
      </c>
      <c r="C335" t="s">
        <v>1117</v>
      </c>
      <c r="D335" t="s">
        <v>1133</v>
      </c>
      <c r="E335" t="s">
        <v>1144</v>
      </c>
      <c r="F335" t="s">
        <v>1151</v>
      </c>
      <c r="G335" t="s">
        <v>1157</v>
      </c>
      <c r="H335">
        <v>4</v>
      </c>
      <c r="I335">
        <v>52145</v>
      </c>
      <c r="J335">
        <v>20</v>
      </c>
      <c r="K335">
        <v>41716</v>
      </c>
      <c r="L335">
        <v>166864</v>
      </c>
      <c r="M335">
        <v>1000</v>
      </c>
      <c r="N335" t="s">
        <v>1159</v>
      </c>
      <c r="O335" t="s">
        <v>1162</v>
      </c>
      <c r="Q335">
        <v>3</v>
      </c>
      <c r="R335" t="s">
        <v>1170</v>
      </c>
    </row>
    <row r="336" spans="1:18" x14ac:dyDescent="0.3">
      <c r="A336" s="2">
        <v>45752</v>
      </c>
      <c r="B336" t="s">
        <v>352</v>
      </c>
      <c r="C336" t="s">
        <v>1128</v>
      </c>
      <c r="D336" t="s">
        <v>1135</v>
      </c>
      <c r="E336" t="s">
        <v>1143</v>
      </c>
      <c r="F336" t="s">
        <v>1151</v>
      </c>
      <c r="G336" t="s">
        <v>1157</v>
      </c>
      <c r="H336">
        <v>2</v>
      </c>
      <c r="I336">
        <v>51832</v>
      </c>
      <c r="J336">
        <v>15</v>
      </c>
      <c r="K336">
        <v>44057.2</v>
      </c>
      <c r="L336">
        <v>88114.4</v>
      </c>
      <c r="M336">
        <v>2000</v>
      </c>
      <c r="N336" t="s">
        <v>1161</v>
      </c>
      <c r="O336" t="s">
        <v>1163</v>
      </c>
      <c r="R336" t="s">
        <v>1166</v>
      </c>
    </row>
    <row r="337" spans="1:18" x14ac:dyDescent="0.3">
      <c r="A337" s="2">
        <v>45770</v>
      </c>
      <c r="B337" t="s">
        <v>353</v>
      </c>
      <c r="C337" t="s">
        <v>1124</v>
      </c>
      <c r="D337" t="s">
        <v>1135</v>
      </c>
      <c r="E337" t="s">
        <v>1143</v>
      </c>
      <c r="F337" t="s">
        <v>1151</v>
      </c>
      <c r="G337" t="s">
        <v>1157</v>
      </c>
      <c r="H337">
        <v>5</v>
      </c>
      <c r="I337">
        <v>8175</v>
      </c>
      <c r="J337">
        <v>10</v>
      </c>
      <c r="K337">
        <v>7357.5</v>
      </c>
      <c r="L337">
        <v>36787.5</v>
      </c>
      <c r="M337">
        <v>2000</v>
      </c>
      <c r="N337" t="s">
        <v>1159</v>
      </c>
      <c r="O337" t="s">
        <v>1163</v>
      </c>
      <c r="Q337">
        <v>5</v>
      </c>
      <c r="R337" t="s">
        <v>1168</v>
      </c>
    </row>
    <row r="338" spans="1:18" x14ac:dyDescent="0.3">
      <c r="A338" s="2">
        <v>45705</v>
      </c>
      <c r="B338" t="s">
        <v>354</v>
      </c>
      <c r="C338" t="s">
        <v>1118</v>
      </c>
      <c r="D338" t="s">
        <v>1134</v>
      </c>
      <c r="E338" t="s">
        <v>1145</v>
      </c>
      <c r="F338" t="s">
        <v>1149</v>
      </c>
      <c r="G338" t="s">
        <v>1153</v>
      </c>
      <c r="H338">
        <v>4</v>
      </c>
      <c r="I338">
        <v>12893</v>
      </c>
      <c r="J338">
        <v>15</v>
      </c>
      <c r="K338">
        <v>10959.05</v>
      </c>
      <c r="L338">
        <v>43836.2</v>
      </c>
      <c r="M338">
        <v>1500</v>
      </c>
      <c r="N338" t="s">
        <v>1160</v>
      </c>
      <c r="O338" t="s">
        <v>1162</v>
      </c>
      <c r="Q338">
        <v>2</v>
      </c>
      <c r="R338" t="s">
        <v>1168</v>
      </c>
    </row>
    <row r="339" spans="1:18" x14ac:dyDescent="0.3">
      <c r="A339" s="2">
        <v>45724</v>
      </c>
      <c r="B339" t="s">
        <v>355</v>
      </c>
      <c r="C339" t="s">
        <v>1127</v>
      </c>
      <c r="D339" t="s">
        <v>1134</v>
      </c>
      <c r="E339" t="s">
        <v>1147</v>
      </c>
      <c r="F339" t="s">
        <v>1150</v>
      </c>
      <c r="G339" t="s">
        <v>1156</v>
      </c>
      <c r="H339">
        <v>1</v>
      </c>
      <c r="I339">
        <v>35549</v>
      </c>
      <c r="J339">
        <v>15</v>
      </c>
      <c r="K339">
        <v>30216.65</v>
      </c>
      <c r="L339">
        <v>30216.65</v>
      </c>
      <c r="M339">
        <v>1000</v>
      </c>
      <c r="N339" t="s">
        <v>1159</v>
      </c>
      <c r="O339" t="s">
        <v>1162</v>
      </c>
      <c r="Q339">
        <v>2</v>
      </c>
      <c r="R339" t="s">
        <v>1169</v>
      </c>
    </row>
    <row r="340" spans="1:18" x14ac:dyDescent="0.3">
      <c r="A340" s="2">
        <v>45730</v>
      </c>
      <c r="B340" t="s">
        <v>356</v>
      </c>
      <c r="C340" t="s">
        <v>1122</v>
      </c>
      <c r="D340" t="s">
        <v>1136</v>
      </c>
      <c r="E340" t="s">
        <v>1148</v>
      </c>
      <c r="F340" t="s">
        <v>1149</v>
      </c>
      <c r="G340" t="s">
        <v>1152</v>
      </c>
      <c r="H340">
        <v>4</v>
      </c>
      <c r="I340">
        <v>11058</v>
      </c>
      <c r="J340">
        <v>5</v>
      </c>
      <c r="K340">
        <v>10505.1</v>
      </c>
      <c r="L340">
        <v>42020.4</v>
      </c>
      <c r="M340">
        <v>1500</v>
      </c>
      <c r="N340" t="s">
        <v>1161</v>
      </c>
      <c r="O340" t="s">
        <v>1163</v>
      </c>
      <c r="Q340">
        <v>1</v>
      </c>
      <c r="R340" t="s">
        <v>1166</v>
      </c>
    </row>
    <row r="341" spans="1:18" x14ac:dyDescent="0.3">
      <c r="A341" s="2">
        <v>45672</v>
      </c>
      <c r="B341" t="s">
        <v>357</v>
      </c>
      <c r="C341" t="s">
        <v>1126</v>
      </c>
      <c r="D341" t="s">
        <v>1133</v>
      </c>
      <c r="E341" t="s">
        <v>1140</v>
      </c>
      <c r="F341" t="s">
        <v>1150</v>
      </c>
      <c r="G341" t="s">
        <v>1154</v>
      </c>
      <c r="H341">
        <v>1</v>
      </c>
      <c r="I341">
        <v>75041</v>
      </c>
      <c r="J341">
        <v>15</v>
      </c>
      <c r="K341">
        <v>63784.85</v>
      </c>
      <c r="L341">
        <v>63784.85</v>
      </c>
      <c r="M341">
        <v>1000</v>
      </c>
      <c r="N341" t="s">
        <v>1161</v>
      </c>
      <c r="O341" t="s">
        <v>1164</v>
      </c>
      <c r="P341" s="2">
        <v>45677</v>
      </c>
      <c r="Q341">
        <v>3</v>
      </c>
      <c r="R341" t="s">
        <v>1170</v>
      </c>
    </row>
    <row r="342" spans="1:18" x14ac:dyDescent="0.3">
      <c r="A342" s="2">
        <v>45821</v>
      </c>
      <c r="B342" t="s">
        <v>358</v>
      </c>
      <c r="C342" t="s">
        <v>1127</v>
      </c>
      <c r="D342" t="s">
        <v>1134</v>
      </c>
      <c r="E342" t="s">
        <v>1144</v>
      </c>
      <c r="F342" t="s">
        <v>1151</v>
      </c>
      <c r="G342" t="s">
        <v>1157</v>
      </c>
      <c r="H342">
        <v>2</v>
      </c>
      <c r="I342">
        <v>45223</v>
      </c>
      <c r="J342">
        <v>10</v>
      </c>
      <c r="K342">
        <v>40700.699999999997</v>
      </c>
      <c r="L342">
        <v>81401.399999999994</v>
      </c>
      <c r="M342">
        <v>1000</v>
      </c>
      <c r="N342" t="s">
        <v>1160</v>
      </c>
      <c r="O342" t="s">
        <v>1164</v>
      </c>
      <c r="P342" s="2">
        <v>45833</v>
      </c>
      <c r="Q342">
        <v>3</v>
      </c>
      <c r="R342" t="s">
        <v>1170</v>
      </c>
    </row>
    <row r="343" spans="1:18" x14ac:dyDescent="0.3">
      <c r="A343" s="2">
        <v>45731</v>
      </c>
      <c r="B343" t="s">
        <v>359</v>
      </c>
      <c r="C343" t="s">
        <v>1118</v>
      </c>
      <c r="D343" t="s">
        <v>1134</v>
      </c>
      <c r="E343" t="s">
        <v>1145</v>
      </c>
      <c r="F343" t="s">
        <v>1149</v>
      </c>
      <c r="G343" t="s">
        <v>1153</v>
      </c>
      <c r="H343">
        <v>1</v>
      </c>
      <c r="I343">
        <v>28605</v>
      </c>
      <c r="J343">
        <v>0</v>
      </c>
      <c r="K343">
        <v>28605</v>
      </c>
      <c r="L343">
        <v>28605</v>
      </c>
      <c r="M343">
        <v>2000</v>
      </c>
      <c r="N343" t="s">
        <v>1160</v>
      </c>
      <c r="O343" t="s">
        <v>1164</v>
      </c>
      <c r="P343" s="2">
        <v>45733</v>
      </c>
      <c r="Q343">
        <v>3</v>
      </c>
    </row>
    <row r="344" spans="1:18" x14ac:dyDescent="0.3">
      <c r="A344" s="2">
        <v>45758</v>
      </c>
      <c r="B344" t="s">
        <v>360</v>
      </c>
      <c r="C344" t="s">
        <v>1130</v>
      </c>
      <c r="D344" t="s">
        <v>1136</v>
      </c>
      <c r="E344" t="s">
        <v>1147</v>
      </c>
      <c r="F344" t="s">
        <v>1150</v>
      </c>
      <c r="G344" t="s">
        <v>1156</v>
      </c>
      <c r="H344">
        <v>3</v>
      </c>
      <c r="I344">
        <v>55650</v>
      </c>
      <c r="J344">
        <v>15</v>
      </c>
      <c r="K344">
        <v>47302.5</v>
      </c>
      <c r="L344">
        <v>141907.5</v>
      </c>
      <c r="M344">
        <v>1500</v>
      </c>
      <c r="N344" t="s">
        <v>1160</v>
      </c>
      <c r="O344" t="s">
        <v>1164</v>
      </c>
      <c r="P344" s="2">
        <v>45768</v>
      </c>
      <c r="R344" t="s">
        <v>1167</v>
      </c>
    </row>
    <row r="345" spans="1:18" x14ac:dyDescent="0.3">
      <c r="A345" s="2">
        <v>45793</v>
      </c>
      <c r="B345" t="s">
        <v>361</v>
      </c>
      <c r="C345" t="s">
        <v>1129</v>
      </c>
      <c r="D345" t="s">
        <v>1133</v>
      </c>
      <c r="E345" t="s">
        <v>1144</v>
      </c>
      <c r="F345" t="s">
        <v>1151</v>
      </c>
      <c r="G345" t="s">
        <v>1157</v>
      </c>
      <c r="H345">
        <v>5</v>
      </c>
      <c r="I345">
        <v>30646</v>
      </c>
      <c r="J345">
        <v>20</v>
      </c>
      <c r="K345">
        <v>24516.799999999999</v>
      </c>
      <c r="L345">
        <v>122584</v>
      </c>
      <c r="M345">
        <v>1500</v>
      </c>
      <c r="N345" t="s">
        <v>1159</v>
      </c>
      <c r="O345" t="s">
        <v>1163</v>
      </c>
      <c r="Q345">
        <v>2</v>
      </c>
      <c r="R345" t="s">
        <v>1168</v>
      </c>
    </row>
    <row r="346" spans="1:18" x14ac:dyDescent="0.3">
      <c r="A346" s="2">
        <v>45829</v>
      </c>
      <c r="B346" t="s">
        <v>362</v>
      </c>
      <c r="C346" t="s">
        <v>1121</v>
      </c>
      <c r="D346" t="s">
        <v>1136</v>
      </c>
      <c r="E346" t="s">
        <v>1137</v>
      </c>
      <c r="F346" t="s">
        <v>1149</v>
      </c>
      <c r="G346" t="s">
        <v>1152</v>
      </c>
      <c r="H346">
        <v>1</v>
      </c>
      <c r="I346">
        <v>37948</v>
      </c>
      <c r="J346">
        <v>0</v>
      </c>
      <c r="K346">
        <v>37948</v>
      </c>
      <c r="L346">
        <v>37948</v>
      </c>
      <c r="M346">
        <v>2000</v>
      </c>
      <c r="N346" t="s">
        <v>1160</v>
      </c>
      <c r="O346" t="s">
        <v>1163</v>
      </c>
      <c r="Q346">
        <v>1</v>
      </c>
    </row>
    <row r="347" spans="1:18" x14ac:dyDescent="0.3">
      <c r="A347" s="2">
        <v>45801</v>
      </c>
      <c r="B347" t="s">
        <v>363</v>
      </c>
      <c r="C347" t="s">
        <v>1130</v>
      </c>
      <c r="D347" t="s">
        <v>1136</v>
      </c>
      <c r="E347" t="s">
        <v>1143</v>
      </c>
      <c r="F347" t="s">
        <v>1151</v>
      </c>
      <c r="G347" t="s">
        <v>1157</v>
      </c>
      <c r="H347">
        <v>4</v>
      </c>
      <c r="I347">
        <v>41257</v>
      </c>
      <c r="J347">
        <v>15</v>
      </c>
      <c r="K347">
        <v>35068.449999999997</v>
      </c>
      <c r="L347">
        <v>140273.79999999999</v>
      </c>
      <c r="M347">
        <v>1500</v>
      </c>
      <c r="N347" t="s">
        <v>1160</v>
      </c>
      <c r="O347" t="s">
        <v>1163</v>
      </c>
      <c r="Q347">
        <v>1</v>
      </c>
      <c r="R347" t="s">
        <v>1169</v>
      </c>
    </row>
    <row r="348" spans="1:18" x14ac:dyDescent="0.3">
      <c r="A348" s="2">
        <v>45688</v>
      </c>
      <c r="B348" t="s">
        <v>364</v>
      </c>
      <c r="C348" t="s">
        <v>1124</v>
      </c>
      <c r="D348" t="s">
        <v>1135</v>
      </c>
      <c r="E348" t="s">
        <v>1144</v>
      </c>
      <c r="F348" t="s">
        <v>1151</v>
      </c>
      <c r="G348" t="s">
        <v>1157</v>
      </c>
      <c r="H348">
        <v>4</v>
      </c>
      <c r="I348">
        <v>56866</v>
      </c>
      <c r="J348">
        <v>20</v>
      </c>
      <c r="K348">
        <v>45492.800000000003</v>
      </c>
      <c r="L348">
        <v>181971.20000000001</v>
      </c>
      <c r="M348">
        <v>1000</v>
      </c>
      <c r="N348" t="s">
        <v>1161</v>
      </c>
      <c r="O348" t="s">
        <v>1162</v>
      </c>
      <c r="Q348">
        <v>2</v>
      </c>
      <c r="R348" t="s">
        <v>1169</v>
      </c>
    </row>
    <row r="349" spans="1:18" x14ac:dyDescent="0.3">
      <c r="A349" s="2">
        <v>45829</v>
      </c>
      <c r="B349" t="s">
        <v>365</v>
      </c>
      <c r="C349" t="s">
        <v>1120</v>
      </c>
      <c r="D349" t="s">
        <v>1135</v>
      </c>
      <c r="E349" t="s">
        <v>1144</v>
      </c>
      <c r="F349" t="s">
        <v>1151</v>
      </c>
      <c r="G349" t="s">
        <v>1157</v>
      </c>
      <c r="H349">
        <v>5</v>
      </c>
      <c r="I349">
        <v>21336</v>
      </c>
      <c r="J349">
        <v>20</v>
      </c>
      <c r="K349">
        <v>17068.8</v>
      </c>
      <c r="L349">
        <v>85344</v>
      </c>
      <c r="M349">
        <v>1000</v>
      </c>
      <c r="N349" t="s">
        <v>1159</v>
      </c>
      <c r="O349" t="s">
        <v>1164</v>
      </c>
      <c r="P349" s="2">
        <v>45841</v>
      </c>
    </row>
    <row r="350" spans="1:18" x14ac:dyDescent="0.3">
      <c r="A350" s="2">
        <v>45830</v>
      </c>
      <c r="B350" t="s">
        <v>366</v>
      </c>
      <c r="C350" t="s">
        <v>1125</v>
      </c>
      <c r="D350" t="s">
        <v>1133</v>
      </c>
      <c r="E350" t="s">
        <v>1142</v>
      </c>
      <c r="F350" t="s">
        <v>1150</v>
      </c>
      <c r="G350" t="s">
        <v>1156</v>
      </c>
      <c r="H350">
        <v>1</v>
      </c>
      <c r="I350">
        <v>12572</v>
      </c>
      <c r="J350">
        <v>15</v>
      </c>
      <c r="K350">
        <v>10686.2</v>
      </c>
      <c r="L350">
        <v>10686.2</v>
      </c>
      <c r="M350">
        <v>1000</v>
      </c>
      <c r="N350" t="s">
        <v>1159</v>
      </c>
      <c r="O350" t="s">
        <v>1163</v>
      </c>
      <c r="R350" t="s">
        <v>1166</v>
      </c>
    </row>
    <row r="351" spans="1:18" x14ac:dyDescent="0.3">
      <c r="A351" s="2">
        <v>45826</v>
      </c>
      <c r="B351" t="s">
        <v>367</v>
      </c>
      <c r="C351" t="s">
        <v>1119</v>
      </c>
      <c r="D351" t="s">
        <v>1134</v>
      </c>
      <c r="E351" t="s">
        <v>1144</v>
      </c>
      <c r="F351" t="s">
        <v>1151</v>
      </c>
      <c r="G351" t="s">
        <v>1157</v>
      </c>
      <c r="H351">
        <v>4</v>
      </c>
      <c r="I351">
        <v>7265</v>
      </c>
      <c r="J351">
        <v>5</v>
      </c>
      <c r="K351">
        <v>6901.75</v>
      </c>
      <c r="L351">
        <v>27607</v>
      </c>
      <c r="M351">
        <v>1500</v>
      </c>
      <c r="N351" t="s">
        <v>1159</v>
      </c>
      <c r="O351" t="s">
        <v>1163</v>
      </c>
      <c r="Q351">
        <v>3</v>
      </c>
      <c r="R351" t="s">
        <v>1166</v>
      </c>
    </row>
    <row r="352" spans="1:18" x14ac:dyDescent="0.3">
      <c r="A352" s="2">
        <v>45688</v>
      </c>
      <c r="B352" t="s">
        <v>368</v>
      </c>
      <c r="C352" t="s">
        <v>1121</v>
      </c>
      <c r="D352" t="s">
        <v>1136</v>
      </c>
      <c r="E352" t="s">
        <v>1139</v>
      </c>
      <c r="F352" t="s">
        <v>1150</v>
      </c>
      <c r="G352" t="s">
        <v>1154</v>
      </c>
      <c r="H352">
        <v>2</v>
      </c>
      <c r="I352">
        <v>8796</v>
      </c>
      <c r="J352">
        <v>15</v>
      </c>
      <c r="K352">
        <v>7476.6</v>
      </c>
      <c r="L352">
        <v>14953.2</v>
      </c>
      <c r="M352">
        <v>2000</v>
      </c>
      <c r="N352" t="s">
        <v>1159</v>
      </c>
      <c r="O352" t="s">
        <v>1162</v>
      </c>
      <c r="Q352">
        <v>3</v>
      </c>
      <c r="R352" t="s">
        <v>1169</v>
      </c>
    </row>
    <row r="353" spans="1:18" x14ac:dyDescent="0.3">
      <c r="A353" s="2">
        <v>45801</v>
      </c>
      <c r="B353" t="s">
        <v>369</v>
      </c>
      <c r="C353" t="s">
        <v>1128</v>
      </c>
      <c r="D353" t="s">
        <v>1135</v>
      </c>
      <c r="E353" t="s">
        <v>1141</v>
      </c>
      <c r="F353" t="s">
        <v>1151</v>
      </c>
      <c r="G353" t="s">
        <v>1155</v>
      </c>
      <c r="H353">
        <v>4</v>
      </c>
      <c r="I353">
        <v>22060</v>
      </c>
      <c r="J353">
        <v>10</v>
      </c>
      <c r="K353">
        <v>19854</v>
      </c>
      <c r="L353">
        <v>79416</v>
      </c>
      <c r="M353">
        <v>1000</v>
      </c>
      <c r="N353" t="s">
        <v>1161</v>
      </c>
      <c r="O353" t="s">
        <v>1163</v>
      </c>
      <c r="Q353">
        <v>1</v>
      </c>
      <c r="R353" t="s">
        <v>1168</v>
      </c>
    </row>
    <row r="354" spans="1:18" x14ac:dyDescent="0.3">
      <c r="A354" s="2">
        <v>45752</v>
      </c>
      <c r="B354" t="s">
        <v>370</v>
      </c>
      <c r="C354" t="s">
        <v>1128</v>
      </c>
      <c r="D354" t="s">
        <v>1135</v>
      </c>
      <c r="E354" t="s">
        <v>1148</v>
      </c>
      <c r="F354" t="s">
        <v>1149</v>
      </c>
      <c r="G354" t="s">
        <v>1152</v>
      </c>
      <c r="H354">
        <v>2</v>
      </c>
      <c r="I354">
        <v>23932</v>
      </c>
      <c r="J354">
        <v>5</v>
      </c>
      <c r="K354">
        <v>22735.4</v>
      </c>
      <c r="L354">
        <v>45470.8</v>
      </c>
      <c r="M354">
        <v>1000</v>
      </c>
      <c r="N354" t="s">
        <v>1161</v>
      </c>
      <c r="O354" t="s">
        <v>1162</v>
      </c>
      <c r="Q354">
        <v>2</v>
      </c>
      <c r="R354" t="s">
        <v>1168</v>
      </c>
    </row>
    <row r="355" spans="1:18" x14ac:dyDescent="0.3">
      <c r="A355" s="2">
        <v>45681</v>
      </c>
      <c r="B355" t="s">
        <v>371</v>
      </c>
      <c r="C355" t="s">
        <v>1129</v>
      </c>
      <c r="D355" t="s">
        <v>1133</v>
      </c>
      <c r="E355" t="s">
        <v>1146</v>
      </c>
      <c r="F355" t="s">
        <v>1151</v>
      </c>
      <c r="G355" t="s">
        <v>1155</v>
      </c>
      <c r="H355">
        <v>4</v>
      </c>
      <c r="I355">
        <v>76718</v>
      </c>
      <c r="J355">
        <v>10</v>
      </c>
      <c r="K355">
        <v>69046.2</v>
      </c>
      <c r="L355">
        <v>276184.8</v>
      </c>
      <c r="M355">
        <v>2000</v>
      </c>
      <c r="N355" t="s">
        <v>1161</v>
      </c>
      <c r="O355" t="s">
        <v>1164</v>
      </c>
      <c r="P355" s="2">
        <v>45695</v>
      </c>
      <c r="R355" t="s">
        <v>1166</v>
      </c>
    </row>
    <row r="356" spans="1:18" x14ac:dyDescent="0.3">
      <c r="A356" s="2">
        <v>45820</v>
      </c>
      <c r="B356" t="s">
        <v>372</v>
      </c>
      <c r="C356" t="s">
        <v>1124</v>
      </c>
      <c r="D356" t="s">
        <v>1135</v>
      </c>
      <c r="E356" t="s">
        <v>1142</v>
      </c>
      <c r="F356" t="s">
        <v>1150</v>
      </c>
      <c r="G356" t="s">
        <v>1156</v>
      </c>
      <c r="H356">
        <v>4</v>
      </c>
      <c r="I356">
        <v>13291</v>
      </c>
      <c r="J356">
        <v>5</v>
      </c>
      <c r="K356">
        <v>12626.45</v>
      </c>
      <c r="L356">
        <v>50505.8</v>
      </c>
      <c r="M356">
        <v>2000</v>
      </c>
      <c r="N356" t="s">
        <v>1159</v>
      </c>
      <c r="O356" t="s">
        <v>1164</v>
      </c>
      <c r="P356" s="2">
        <v>45831</v>
      </c>
      <c r="Q356">
        <v>5</v>
      </c>
      <c r="R356" t="s">
        <v>1167</v>
      </c>
    </row>
    <row r="357" spans="1:18" x14ac:dyDescent="0.3">
      <c r="A357" s="2">
        <v>45656</v>
      </c>
      <c r="B357" t="s">
        <v>373</v>
      </c>
      <c r="C357" t="s">
        <v>1127</v>
      </c>
      <c r="D357" t="s">
        <v>1134</v>
      </c>
      <c r="E357" t="s">
        <v>1145</v>
      </c>
      <c r="F357" t="s">
        <v>1149</v>
      </c>
      <c r="G357" t="s">
        <v>1153</v>
      </c>
      <c r="H357">
        <v>2</v>
      </c>
      <c r="I357">
        <v>68483</v>
      </c>
      <c r="J357">
        <v>5</v>
      </c>
      <c r="K357">
        <v>65058.85</v>
      </c>
      <c r="L357">
        <v>130117.7</v>
      </c>
      <c r="M357">
        <v>2000</v>
      </c>
      <c r="N357" t="s">
        <v>1161</v>
      </c>
      <c r="O357" t="s">
        <v>1162</v>
      </c>
      <c r="Q357">
        <v>3</v>
      </c>
      <c r="R357" t="s">
        <v>1167</v>
      </c>
    </row>
    <row r="358" spans="1:18" x14ac:dyDescent="0.3">
      <c r="A358" s="2">
        <v>45756</v>
      </c>
      <c r="B358" t="s">
        <v>374</v>
      </c>
      <c r="C358" t="s">
        <v>1127</v>
      </c>
      <c r="D358" t="s">
        <v>1134</v>
      </c>
      <c r="E358" t="s">
        <v>1138</v>
      </c>
      <c r="F358" t="s">
        <v>1149</v>
      </c>
      <c r="G358" t="s">
        <v>1153</v>
      </c>
      <c r="H358">
        <v>4</v>
      </c>
      <c r="I358">
        <v>57392</v>
      </c>
      <c r="J358">
        <v>10</v>
      </c>
      <c r="K358">
        <v>51652.800000000003</v>
      </c>
      <c r="L358">
        <v>206611.20000000001</v>
      </c>
      <c r="M358">
        <v>1000</v>
      </c>
      <c r="N358" t="s">
        <v>1160</v>
      </c>
      <c r="O358" t="s">
        <v>1162</v>
      </c>
      <c r="Q358">
        <v>4</v>
      </c>
      <c r="R358" t="s">
        <v>1167</v>
      </c>
    </row>
    <row r="359" spans="1:18" x14ac:dyDescent="0.3">
      <c r="A359" s="2">
        <v>45813</v>
      </c>
      <c r="B359" t="s">
        <v>375</v>
      </c>
      <c r="C359" t="s">
        <v>1132</v>
      </c>
      <c r="D359" t="s">
        <v>1134</v>
      </c>
      <c r="E359" t="s">
        <v>1137</v>
      </c>
      <c r="F359" t="s">
        <v>1149</v>
      </c>
      <c r="G359" t="s">
        <v>1152</v>
      </c>
      <c r="H359">
        <v>4</v>
      </c>
      <c r="I359">
        <v>50085</v>
      </c>
      <c r="J359">
        <v>15</v>
      </c>
      <c r="K359">
        <v>42572.25</v>
      </c>
      <c r="L359">
        <v>170289</v>
      </c>
      <c r="M359">
        <v>1000</v>
      </c>
      <c r="N359" t="s">
        <v>1160</v>
      </c>
      <c r="O359" t="s">
        <v>1162</v>
      </c>
      <c r="Q359">
        <v>3</v>
      </c>
      <c r="R359" t="s">
        <v>1169</v>
      </c>
    </row>
    <row r="360" spans="1:18" x14ac:dyDescent="0.3">
      <c r="A360" s="2">
        <v>45806</v>
      </c>
      <c r="B360" t="s">
        <v>376</v>
      </c>
      <c r="C360" t="s">
        <v>1124</v>
      </c>
      <c r="D360" t="s">
        <v>1135</v>
      </c>
      <c r="E360" t="s">
        <v>1148</v>
      </c>
      <c r="F360" t="s">
        <v>1149</v>
      </c>
      <c r="G360" t="s">
        <v>1152</v>
      </c>
      <c r="H360">
        <v>3</v>
      </c>
      <c r="I360">
        <v>53521</v>
      </c>
      <c r="J360">
        <v>0</v>
      </c>
      <c r="K360">
        <v>53521</v>
      </c>
      <c r="L360">
        <v>160563</v>
      </c>
      <c r="M360">
        <v>1000</v>
      </c>
      <c r="N360" t="s">
        <v>1161</v>
      </c>
      <c r="O360" t="s">
        <v>1164</v>
      </c>
      <c r="P360" s="2">
        <v>45820</v>
      </c>
      <c r="Q360">
        <v>2</v>
      </c>
      <c r="R360" t="s">
        <v>1166</v>
      </c>
    </row>
    <row r="361" spans="1:18" x14ac:dyDescent="0.3">
      <c r="A361" s="2">
        <v>45663</v>
      </c>
      <c r="B361" t="s">
        <v>377</v>
      </c>
      <c r="C361" t="s">
        <v>1122</v>
      </c>
      <c r="D361" t="s">
        <v>1136</v>
      </c>
      <c r="E361" t="s">
        <v>1138</v>
      </c>
      <c r="F361" t="s">
        <v>1149</v>
      </c>
      <c r="G361" t="s">
        <v>1153</v>
      </c>
      <c r="H361">
        <v>2</v>
      </c>
      <c r="I361">
        <v>76741</v>
      </c>
      <c r="J361">
        <v>0</v>
      </c>
      <c r="K361">
        <v>76741</v>
      </c>
      <c r="L361">
        <v>153482</v>
      </c>
      <c r="M361">
        <v>1500</v>
      </c>
      <c r="N361" t="s">
        <v>1160</v>
      </c>
      <c r="O361" t="s">
        <v>1163</v>
      </c>
      <c r="R361" t="s">
        <v>1166</v>
      </c>
    </row>
    <row r="362" spans="1:18" x14ac:dyDescent="0.3">
      <c r="A362" s="2">
        <v>45697</v>
      </c>
      <c r="B362" t="s">
        <v>378</v>
      </c>
      <c r="C362" t="s">
        <v>1123</v>
      </c>
      <c r="D362" t="s">
        <v>1135</v>
      </c>
      <c r="E362" t="s">
        <v>1144</v>
      </c>
      <c r="F362" t="s">
        <v>1151</v>
      </c>
      <c r="G362" t="s">
        <v>1157</v>
      </c>
      <c r="H362">
        <v>5</v>
      </c>
      <c r="I362">
        <v>30291</v>
      </c>
      <c r="J362">
        <v>0</v>
      </c>
      <c r="K362">
        <v>30291</v>
      </c>
      <c r="L362">
        <v>151455</v>
      </c>
      <c r="M362">
        <v>1500</v>
      </c>
      <c r="N362" t="s">
        <v>1160</v>
      </c>
      <c r="O362" t="s">
        <v>1164</v>
      </c>
      <c r="P362" s="2">
        <v>45705</v>
      </c>
      <c r="Q362">
        <v>1</v>
      </c>
      <c r="R362" t="s">
        <v>1167</v>
      </c>
    </row>
    <row r="363" spans="1:18" x14ac:dyDescent="0.3">
      <c r="A363" s="2">
        <v>45770</v>
      </c>
      <c r="B363" t="s">
        <v>379</v>
      </c>
      <c r="C363" t="s">
        <v>1124</v>
      </c>
      <c r="D363" t="s">
        <v>1135</v>
      </c>
      <c r="E363" t="s">
        <v>1148</v>
      </c>
      <c r="F363" t="s">
        <v>1149</v>
      </c>
      <c r="G363" t="s">
        <v>1152</v>
      </c>
      <c r="H363">
        <v>3</v>
      </c>
      <c r="I363">
        <v>65879</v>
      </c>
      <c r="J363">
        <v>20</v>
      </c>
      <c r="K363">
        <v>52703.199999999997</v>
      </c>
      <c r="L363">
        <v>158109.6</v>
      </c>
      <c r="M363">
        <v>1000</v>
      </c>
      <c r="N363" t="s">
        <v>1159</v>
      </c>
      <c r="O363" t="s">
        <v>1163</v>
      </c>
      <c r="Q363">
        <v>3</v>
      </c>
    </row>
    <row r="364" spans="1:18" x14ac:dyDescent="0.3">
      <c r="A364" s="2">
        <v>45806</v>
      </c>
      <c r="B364" t="s">
        <v>380</v>
      </c>
      <c r="C364" t="s">
        <v>1125</v>
      </c>
      <c r="D364" t="s">
        <v>1133</v>
      </c>
      <c r="E364" t="s">
        <v>1146</v>
      </c>
      <c r="F364" t="s">
        <v>1151</v>
      </c>
      <c r="G364" t="s">
        <v>1155</v>
      </c>
      <c r="H364">
        <v>3</v>
      </c>
      <c r="I364">
        <v>39199</v>
      </c>
      <c r="J364">
        <v>15</v>
      </c>
      <c r="K364">
        <v>33319.15</v>
      </c>
      <c r="L364">
        <v>99957.450000000012</v>
      </c>
      <c r="M364">
        <v>1500</v>
      </c>
      <c r="N364" t="s">
        <v>1160</v>
      </c>
      <c r="O364" t="s">
        <v>1163</v>
      </c>
      <c r="Q364">
        <v>1</v>
      </c>
      <c r="R364" t="s">
        <v>1170</v>
      </c>
    </row>
    <row r="365" spans="1:18" x14ac:dyDescent="0.3">
      <c r="A365" s="2">
        <v>45799</v>
      </c>
      <c r="B365" t="s">
        <v>381</v>
      </c>
      <c r="C365" t="s">
        <v>1132</v>
      </c>
      <c r="D365" t="s">
        <v>1134</v>
      </c>
      <c r="E365" t="s">
        <v>1141</v>
      </c>
      <c r="F365" t="s">
        <v>1151</v>
      </c>
      <c r="G365" t="s">
        <v>1155</v>
      </c>
      <c r="H365">
        <v>4</v>
      </c>
      <c r="I365">
        <v>26784</v>
      </c>
      <c r="J365">
        <v>20</v>
      </c>
      <c r="K365">
        <v>21427.200000000001</v>
      </c>
      <c r="L365">
        <v>85708.800000000003</v>
      </c>
      <c r="M365">
        <v>1500</v>
      </c>
      <c r="N365" t="s">
        <v>1160</v>
      </c>
      <c r="O365" t="s">
        <v>1163</v>
      </c>
      <c r="Q365">
        <v>1</v>
      </c>
      <c r="R365" t="s">
        <v>1166</v>
      </c>
    </row>
    <row r="366" spans="1:18" x14ac:dyDescent="0.3">
      <c r="A366" s="2">
        <v>45689</v>
      </c>
      <c r="B366" t="s">
        <v>382</v>
      </c>
      <c r="C366" t="s">
        <v>1124</v>
      </c>
      <c r="D366" t="s">
        <v>1135</v>
      </c>
      <c r="E366" t="s">
        <v>1138</v>
      </c>
      <c r="F366" t="s">
        <v>1149</v>
      </c>
      <c r="G366" t="s">
        <v>1153</v>
      </c>
      <c r="H366">
        <v>5</v>
      </c>
      <c r="I366">
        <v>2509</v>
      </c>
      <c r="J366">
        <v>5</v>
      </c>
      <c r="K366">
        <v>2383.5500000000002</v>
      </c>
      <c r="L366">
        <v>11917.75</v>
      </c>
      <c r="M366">
        <v>2000</v>
      </c>
      <c r="N366" t="s">
        <v>1161</v>
      </c>
      <c r="O366" t="s">
        <v>1163</v>
      </c>
      <c r="Q366">
        <v>1</v>
      </c>
      <c r="R366" t="s">
        <v>1169</v>
      </c>
    </row>
    <row r="367" spans="1:18" x14ac:dyDescent="0.3">
      <c r="A367" s="2">
        <v>45691</v>
      </c>
      <c r="B367" t="s">
        <v>383</v>
      </c>
      <c r="C367" t="s">
        <v>1120</v>
      </c>
      <c r="D367" t="s">
        <v>1135</v>
      </c>
      <c r="E367" t="s">
        <v>1147</v>
      </c>
      <c r="F367" t="s">
        <v>1150</v>
      </c>
      <c r="G367" t="s">
        <v>1156</v>
      </c>
      <c r="H367">
        <v>4</v>
      </c>
      <c r="I367">
        <v>62027</v>
      </c>
      <c r="J367">
        <v>0</v>
      </c>
      <c r="K367">
        <v>62027</v>
      </c>
      <c r="L367">
        <v>248108</v>
      </c>
      <c r="M367">
        <v>1500</v>
      </c>
      <c r="N367" t="s">
        <v>1161</v>
      </c>
      <c r="O367" t="s">
        <v>1162</v>
      </c>
      <c r="Q367">
        <v>1</v>
      </c>
      <c r="R367" t="s">
        <v>1166</v>
      </c>
    </row>
    <row r="368" spans="1:18" x14ac:dyDescent="0.3">
      <c r="A368" s="2">
        <v>45723</v>
      </c>
      <c r="B368" t="s">
        <v>384</v>
      </c>
      <c r="C368" t="s">
        <v>1132</v>
      </c>
      <c r="D368" t="s">
        <v>1134</v>
      </c>
      <c r="E368" t="s">
        <v>1139</v>
      </c>
      <c r="F368" t="s">
        <v>1150</v>
      </c>
      <c r="G368" t="s">
        <v>1154</v>
      </c>
      <c r="H368">
        <v>2</v>
      </c>
      <c r="I368">
        <v>54700</v>
      </c>
      <c r="J368">
        <v>0</v>
      </c>
      <c r="K368">
        <v>54700</v>
      </c>
      <c r="L368">
        <v>109400</v>
      </c>
      <c r="M368">
        <v>1500</v>
      </c>
      <c r="N368" t="s">
        <v>1161</v>
      </c>
      <c r="O368" t="s">
        <v>1163</v>
      </c>
      <c r="Q368">
        <v>3</v>
      </c>
      <c r="R368" t="s">
        <v>1168</v>
      </c>
    </row>
    <row r="369" spans="1:18" x14ac:dyDescent="0.3">
      <c r="A369" s="2">
        <v>45677</v>
      </c>
      <c r="B369" t="s">
        <v>385</v>
      </c>
      <c r="C369" t="s">
        <v>1124</v>
      </c>
      <c r="D369" t="s">
        <v>1135</v>
      </c>
      <c r="E369" t="s">
        <v>1147</v>
      </c>
      <c r="F369" t="s">
        <v>1150</v>
      </c>
      <c r="G369" t="s">
        <v>1156</v>
      </c>
      <c r="H369">
        <v>2</v>
      </c>
      <c r="I369">
        <v>35759</v>
      </c>
      <c r="J369">
        <v>5</v>
      </c>
      <c r="K369">
        <v>33971.050000000003</v>
      </c>
      <c r="L369">
        <v>67942.100000000006</v>
      </c>
      <c r="M369">
        <v>1000</v>
      </c>
      <c r="N369" t="s">
        <v>1161</v>
      </c>
      <c r="O369" t="s">
        <v>1162</v>
      </c>
      <c r="Q369">
        <v>1</v>
      </c>
      <c r="R369" t="s">
        <v>1167</v>
      </c>
    </row>
    <row r="370" spans="1:18" x14ac:dyDescent="0.3">
      <c r="A370" s="2">
        <v>45766</v>
      </c>
      <c r="B370" t="s">
        <v>386</v>
      </c>
      <c r="C370" t="s">
        <v>1121</v>
      </c>
      <c r="D370" t="s">
        <v>1136</v>
      </c>
      <c r="E370" t="s">
        <v>1138</v>
      </c>
      <c r="F370" t="s">
        <v>1149</v>
      </c>
      <c r="G370" t="s">
        <v>1153</v>
      </c>
      <c r="H370">
        <v>5</v>
      </c>
      <c r="I370">
        <v>6463</v>
      </c>
      <c r="J370">
        <v>10</v>
      </c>
      <c r="K370">
        <v>5816.7</v>
      </c>
      <c r="L370">
        <v>29083.5</v>
      </c>
      <c r="M370">
        <v>1000</v>
      </c>
      <c r="N370" t="s">
        <v>1160</v>
      </c>
      <c r="O370" t="s">
        <v>1163</v>
      </c>
      <c r="Q370">
        <v>3</v>
      </c>
    </row>
    <row r="371" spans="1:18" x14ac:dyDescent="0.3">
      <c r="A371" s="2">
        <v>45747</v>
      </c>
      <c r="B371" t="s">
        <v>387</v>
      </c>
      <c r="C371" t="s">
        <v>1119</v>
      </c>
      <c r="D371" t="s">
        <v>1134</v>
      </c>
      <c r="E371" t="s">
        <v>1145</v>
      </c>
      <c r="F371" t="s">
        <v>1149</v>
      </c>
      <c r="G371" t="s">
        <v>1153</v>
      </c>
      <c r="H371">
        <v>5</v>
      </c>
      <c r="I371">
        <v>11857</v>
      </c>
      <c r="J371">
        <v>10</v>
      </c>
      <c r="K371">
        <v>10671.3</v>
      </c>
      <c r="L371">
        <v>53356.5</v>
      </c>
      <c r="M371">
        <v>1500</v>
      </c>
      <c r="N371" t="s">
        <v>1160</v>
      </c>
      <c r="O371" t="s">
        <v>1162</v>
      </c>
      <c r="R371" t="s">
        <v>1166</v>
      </c>
    </row>
    <row r="372" spans="1:18" x14ac:dyDescent="0.3">
      <c r="A372" s="2">
        <v>45765</v>
      </c>
      <c r="B372" t="s">
        <v>388</v>
      </c>
      <c r="C372" t="s">
        <v>1130</v>
      </c>
      <c r="D372" t="s">
        <v>1136</v>
      </c>
      <c r="E372" t="s">
        <v>1138</v>
      </c>
      <c r="F372" t="s">
        <v>1149</v>
      </c>
      <c r="G372" t="s">
        <v>1153</v>
      </c>
      <c r="H372">
        <v>1</v>
      </c>
      <c r="I372">
        <v>17894</v>
      </c>
      <c r="J372">
        <v>20</v>
      </c>
      <c r="K372">
        <v>14315.2</v>
      </c>
      <c r="L372">
        <v>14315.2</v>
      </c>
      <c r="M372">
        <v>1000</v>
      </c>
      <c r="N372" t="s">
        <v>1160</v>
      </c>
      <c r="O372" t="s">
        <v>1162</v>
      </c>
      <c r="Q372">
        <v>1</v>
      </c>
      <c r="R372" t="s">
        <v>1170</v>
      </c>
    </row>
    <row r="373" spans="1:18" x14ac:dyDescent="0.3">
      <c r="A373" s="2">
        <v>45826</v>
      </c>
      <c r="B373" t="s">
        <v>389</v>
      </c>
      <c r="C373" t="s">
        <v>1123</v>
      </c>
      <c r="D373" t="s">
        <v>1135</v>
      </c>
      <c r="E373" t="s">
        <v>1148</v>
      </c>
      <c r="F373" t="s">
        <v>1149</v>
      </c>
      <c r="G373" t="s">
        <v>1152</v>
      </c>
      <c r="H373">
        <v>4</v>
      </c>
      <c r="I373">
        <v>57179</v>
      </c>
      <c r="J373">
        <v>15</v>
      </c>
      <c r="K373">
        <v>48602.15</v>
      </c>
      <c r="L373">
        <v>194408.6</v>
      </c>
      <c r="M373">
        <v>1500</v>
      </c>
      <c r="N373" t="s">
        <v>1161</v>
      </c>
      <c r="O373" t="s">
        <v>1164</v>
      </c>
      <c r="P373" s="2">
        <v>45834</v>
      </c>
      <c r="Q373">
        <v>5</v>
      </c>
      <c r="R373" t="s">
        <v>1167</v>
      </c>
    </row>
    <row r="374" spans="1:18" x14ac:dyDescent="0.3">
      <c r="A374" s="2">
        <v>45748</v>
      </c>
      <c r="B374" t="s">
        <v>390</v>
      </c>
      <c r="C374" t="s">
        <v>1119</v>
      </c>
      <c r="D374" t="s">
        <v>1134</v>
      </c>
      <c r="E374" t="s">
        <v>1145</v>
      </c>
      <c r="F374" t="s">
        <v>1149</v>
      </c>
      <c r="G374" t="s">
        <v>1153</v>
      </c>
      <c r="H374">
        <v>1</v>
      </c>
      <c r="I374">
        <v>12657</v>
      </c>
      <c r="J374">
        <v>20</v>
      </c>
      <c r="K374">
        <v>10125.6</v>
      </c>
      <c r="L374">
        <v>10125.6</v>
      </c>
      <c r="M374">
        <v>2000</v>
      </c>
      <c r="N374" t="s">
        <v>1160</v>
      </c>
      <c r="O374" t="s">
        <v>1162</v>
      </c>
      <c r="Q374">
        <v>1</v>
      </c>
    </row>
    <row r="375" spans="1:18" x14ac:dyDescent="0.3">
      <c r="A375" s="2">
        <v>45798</v>
      </c>
      <c r="B375" t="s">
        <v>391</v>
      </c>
      <c r="C375" t="s">
        <v>1128</v>
      </c>
      <c r="D375" t="s">
        <v>1135</v>
      </c>
      <c r="E375" t="s">
        <v>1141</v>
      </c>
      <c r="F375" t="s">
        <v>1151</v>
      </c>
      <c r="G375" t="s">
        <v>1155</v>
      </c>
      <c r="H375">
        <v>3</v>
      </c>
      <c r="I375">
        <v>13363</v>
      </c>
      <c r="J375">
        <v>0</v>
      </c>
      <c r="K375">
        <v>13363</v>
      </c>
      <c r="L375">
        <v>40089</v>
      </c>
      <c r="M375">
        <v>2000</v>
      </c>
      <c r="N375" t="s">
        <v>1160</v>
      </c>
      <c r="O375" t="s">
        <v>1164</v>
      </c>
      <c r="P375" s="2">
        <v>45811</v>
      </c>
    </row>
    <row r="376" spans="1:18" x14ac:dyDescent="0.3">
      <c r="A376" s="2">
        <v>45763</v>
      </c>
      <c r="B376" t="s">
        <v>392</v>
      </c>
      <c r="C376" t="s">
        <v>1117</v>
      </c>
      <c r="D376" t="s">
        <v>1133</v>
      </c>
      <c r="E376" t="s">
        <v>1148</v>
      </c>
      <c r="F376" t="s">
        <v>1149</v>
      </c>
      <c r="G376" t="s">
        <v>1152</v>
      </c>
      <c r="H376">
        <v>2</v>
      </c>
      <c r="I376">
        <v>14042</v>
      </c>
      <c r="J376" t="s">
        <v>1158</v>
      </c>
      <c r="K376">
        <v>11233.6</v>
      </c>
      <c r="L376">
        <v>22467.200000000001</v>
      </c>
      <c r="M376">
        <v>1000</v>
      </c>
      <c r="N376" t="s">
        <v>1161</v>
      </c>
      <c r="O376" t="s">
        <v>1164</v>
      </c>
      <c r="P376" s="2">
        <v>45771</v>
      </c>
      <c r="Q376">
        <v>4</v>
      </c>
      <c r="R376" t="s">
        <v>1170</v>
      </c>
    </row>
    <row r="377" spans="1:18" x14ac:dyDescent="0.3">
      <c r="A377" s="2">
        <v>45706</v>
      </c>
      <c r="B377" t="s">
        <v>393</v>
      </c>
      <c r="C377" t="s">
        <v>1131</v>
      </c>
      <c r="D377" t="s">
        <v>1136</v>
      </c>
      <c r="E377" t="s">
        <v>1148</v>
      </c>
      <c r="F377" t="s">
        <v>1149</v>
      </c>
      <c r="G377" t="s">
        <v>1152</v>
      </c>
      <c r="H377">
        <v>2</v>
      </c>
      <c r="I377">
        <v>63696</v>
      </c>
      <c r="J377">
        <v>10</v>
      </c>
      <c r="K377">
        <v>57326.400000000001</v>
      </c>
      <c r="L377">
        <v>114652.8</v>
      </c>
      <c r="M377">
        <v>1500</v>
      </c>
      <c r="N377" t="s">
        <v>1161</v>
      </c>
      <c r="O377" t="s">
        <v>1163</v>
      </c>
      <c r="Q377">
        <v>5</v>
      </c>
      <c r="R377" t="s">
        <v>1167</v>
      </c>
    </row>
    <row r="378" spans="1:18" x14ac:dyDescent="0.3">
      <c r="A378" s="2">
        <v>45661</v>
      </c>
      <c r="B378" t="s">
        <v>394</v>
      </c>
      <c r="C378" t="s">
        <v>1122</v>
      </c>
      <c r="D378" t="s">
        <v>1136</v>
      </c>
      <c r="E378" t="s">
        <v>1144</v>
      </c>
      <c r="F378" t="s">
        <v>1151</v>
      </c>
      <c r="G378" t="s">
        <v>1157</v>
      </c>
      <c r="H378">
        <v>4</v>
      </c>
      <c r="I378">
        <v>64084</v>
      </c>
      <c r="J378">
        <v>0</v>
      </c>
      <c r="K378">
        <v>64084</v>
      </c>
      <c r="L378">
        <v>256336</v>
      </c>
      <c r="M378">
        <v>2000</v>
      </c>
      <c r="N378" t="s">
        <v>1160</v>
      </c>
      <c r="O378" t="s">
        <v>1164</v>
      </c>
      <c r="P378" s="2">
        <v>45665</v>
      </c>
      <c r="Q378">
        <v>3</v>
      </c>
      <c r="R378" t="s">
        <v>1168</v>
      </c>
    </row>
    <row r="379" spans="1:18" x14ac:dyDescent="0.3">
      <c r="A379" s="2">
        <v>45716</v>
      </c>
      <c r="B379" t="s">
        <v>395</v>
      </c>
      <c r="C379" t="s">
        <v>1126</v>
      </c>
      <c r="D379" t="s">
        <v>1133</v>
      </c>
      <c r="E379" t="s">
        <v>1142</v>
      </c>
      <c r="F379" t="s">
        <v>1150</v>
      </c>
      <c r="G379" t="s">
        <v>1156</v>
      </c>
      <c r="H379">
        <v>5</v>
      </c>
      <c r="I379">
        <v>7962</v>
      </c>
      <c r="J379">
        <v>15</v>
      </c>
      <c r="K379">
        <v>6767.7</v>
      </c>
      <c r="L379">
        <v>33838.5</v>
      </c>
      <c r="M379">
        <v>1000</v>
      </c>
      <c r="N379" t="s">
        <v>1159</v>
      </c>
      <c r="O379" t="s">
        <v>1163</v>
      </c>
      <c r="Q379">
        <v>4</v>
      </c>
      <c r="R379" t="s">
        <v>1168</v>
      </c>
    </row>
    <row r="380" spans="1:18" x14ac:dyDescent="0.3">
      <c r="A380" s="2">
        <v>45703</v>
      </c>
      <c r="B380" t="s">
        <v>396</v>
      </c>
      <c r="C380" t="s">
        <v>1127</v>
      </c>
      <c r="D380" t="s">
        <v>1134</v>
      </c>
      <c r="E380" t="s">
        <v>1146</v>
      </c>
      <c r="F380" t="s">
        <v>1151</v>
      </c>
      <c r="G380" t="s">
        <v>1155</v>
      </c>
      <c r="H380">
        <v>5</v>
      </c>
      <c r="I380">
        <v>66028</v>
      </c>
      <c r="J380">
        <v>0</v>
      </c>
      <c r="K380">
        <v>66028</v>
      </c>
      <c r="L380">
        <v>330140</v>
      </c>
      <c r="M380">
        <v>1000</v>
      </c>
      <c r="N380" t="s">
        <v>1161</v>
      </c>
      <c r="O380" t="s">
        <v>1164</v>
      </c>
      <c r="P380" s="2">
        <v>45715</v>
      </c>
      <c r="Q380">
        <v>2</v>
      </c>
      <c r="R380" t="s">
        <v>1170</v>
      </c>
    </row>
    <row r="381" spans="1:18" x14ac:dyDescent="0.3">
      <c r="A381" s="2">
        <v>45696</v>
      </c>
      <c r="B381" t="s">
        <v>397</v>
      </c>
      <c r="C381" t="s">
        <v>1129</v>
      </c>
      <c r="D381" t="s">
        <v>1133</v>
      </c>
      <c r="E381" t="s">
        <v>1137</v>
      </c>
      <c r="F381" t="s">
        <v>1149</v>
      </c>
      <c r="G381" t="s">
        <v>1152</v>
      </c>
      <c r="H381">
        <v>4</v>
      </c>
      <c r="I381">
        <v>13043</v>
      </c>
      <c r="J381">
        <v>10</v>
      </c>
      <c r="K381">
        <v>11738.7</v>
      </c>
      <c r="L381">
        <v>46954.8</v>
      </c>
      <c r="M381">
        <v>1000</v>
      </c>
      <c r="N381" t="s">
        <v>1160</v>
      </c>
      <c r="O381" t="s">
        <v>1163</v>
      </c>
      <c r="Q381">
        <v>5</v>
      </c>
      <c r="R381" t="s">
        <v>1170</v>
      </c>
    </row>
    <row r="382" spans="1:18" x14ac:dyDescent="0.3">
      <c r="A382" s="2">
        <v>45670</v>
      </c>
      <c r="B382" t="s">
        <v>398</v>
      </c>
      <c r="C382" t="s">
        <v>1124</v>
      </c>
      <c r="D382" t="s">
        <v>1135</v>
      </c>
      <c r="E382" t="s">
        <v>1145</v>
      </c>
      <c r="F382" t="s">
        <v>1149</v>
      </c>
      <c r="G382" t="s">
        <v>1153</v>
      </c>
      <c r="H382">
        <v>3</v>
      </c>
      <c r="I382">
        <v>21875</v>
      </c>
      <c r="J382">
        <v>15</v>
      </c>
      <c r="K382">
        <v>18593.75</v>
      </c>
      <c r="L382">
        <v>55781.25</v>
      </c>
      <c r="M382">
        <v>1500</v>
      </c>
      <c r="N382" t="s">
        <v>1160</v>
      </c>
      <c r="O382" t="s">
        <v>1164</v>
      </c>
      <c r="P382" s="2">
        <v>45675</v>
      </c>
      <c r="Q382">
        <v>1</v>
      </c>
      <c r="R382" t="s">
        <v>1167</v>
      </c>
    </row>
    <row r="383" spans="1:18" x14ac:dyDescent="0.3">
      <c r="A383" s="2">
        <v>45665</v>
      </c>
      <c r="B383" t="s">
        <v>399</v>
      </c>
      <c r="C383" t="s">
        <v>1123</v>
      </c>
      <c r="D383" t="s">
        <v>1135</v>
      </c>
      <c r="E383" t="s">
        <v>1144</v>
      </c>
      <c r="F383" t="s">
        <v>1151</v>
      </c>
      <c r="G383" t="s">
        <v>1157</v>
      </c>
      <c r="H383">
        <v>5</v>
      </c>
      <c r="I383">
        <v>53337</v>
      </c>
      <c r="J383">
        <v>10</v>
      </c>
      <c r="K383">
        <v>48003.3</v>
      </c>
      <c r="L383">
        <v>240016.5</v>
      </c>
      <c r="M383">
        <v>2000</v>
      </c>
      <c r="N383" t="s">
        <v>1160</v>
      </c>
      <c r="O383" t="s">
        <v>1164</v>
      </c>
      <c r="P383" s="2">
        <v>45674</v>
      </c>
      <c r="Q383" t="s">
        <v>1165</v>
      </c>
      <c r="R383" t="s">
        <v>1168</v>
      </c>
    </row>
    <row r="384" spans="1:18" x14ac:dyDescent="0.3">
      <c r="A384" s="2">
        <v>45692</v>
      </c>
      <c r="B384" t="s">
        <v>400</v>
      </c>
      <c r="C384" t="s">
        <v>1132</v>
      </c>
      <c r="D384" t="s">
        <v>1134</v>
      </c>
      <c r="E384" t="s">
        <v>1139</v>
      </c>
      <c r="F384" t="s">
        <v>1150</v>
      </c>
      <c r="G384" t="s">
        <v>1154</v>
      </c>
      <c r="H384">
        <v>2</v>
      </c>
      <c r="I384">
        <v>58247</v>
      </c>
      <c r="J384">
        <v>5</v>
      </c>
      <c r="K384">
        <v>55334.65</v>
      </c>
      <c r="L384">
        <v>110669.3</v>
      </c>
      <c r="M384">
        <v>2000</v>
      </c>
      <c r="N384" t="s">
        <v>1161</v>
      </c>
      <c r="O384" t="s">
        <v>1164</v>
      </c>
      <c r="P384" s="2">
        <v>45702</v>
      </c>
      <c r="Q384">
        <v>5</v>
      </c>
      <c r="R384" t="s">
        <v>1169</v>
      </c>
    </row>
    <row r="385" spans="1:18" x14ac:dyDescent="0.3">
      <c r="A385" s="2">
        <v>45750</v>
      </c>
      <c r="B385" t="s">
        <v>401</v>
      </c>
      <c r="C385" t="s">
        <v>1117</v>
      </c>
      <c r="D385" t="s">
        <v>1133</v>
      </c>
      <c r="E385" t="s">
        <v>1147</v>
      </c>
      <c r="F385" t="s">
        <v>1150</v>
      </c>
      <c r="G385" t="s">
        <v>1156</v>
      </c>
      <c r="H385">
        <v>3</v>
      </c>
      <c r="I385">
        <v>27787</v>
      </c>
      <c r="J385">
        <v>10</v>
      </c>
      <c r="K385">
        <v>25008.3</v>
      </c>
      <c r="L385">
        <v>75024.899999999994</v>
      </c>
      <c r="M385">
        <v>1500</v>
      </c>
      <c r="N385" t="s">
        <v>1160</v>
      </c>
      <c r="O385" t="s">
        <v>1162</v>
      </c>
      <c r="Q385">
        <v>1</v>
      </c>
      <c r="R385" t="s">
        <v>1170</v>
      </c>
    </row>
    <row r="386" spans="1:18" x14ac:dyDescent="0.3">
      <c r="A386" s="2">
        <v>45769</v>
      </c>
      <c r="B386" t="s">
        <v>402</v>
      </c>
      <c r="C386" t="s">
        <v>1131</v>
      </c>
      <c r="D386" t="s">
        <v>1136</v>
      </c>
      <c r="E386" t="s">
        <v>1137</v>
      </c>
      <c r="F386" t="s">
        <v>1149</v>
      </c>
      <c r="G386" t="s">
        <v>1152</v>
      </c>
      <c r="H386">
        <v>4</v>
      </c>
      <c r="I386">
        <v>72733</v>
      </c>
      <c r="J386">
        <v>15</v>
      </c>
      <c r="K386">
        <v>61823.05</v>
      </c>
      <c r="L386">
        <v>247292.2</v>
      </c>
      <c r="M386">
        <v>2000</v>
      </c>
      <c r="N386" t="s">
        <v>1160</v>
      </c>
      <c r="O386" t="s">
        <v>1163</v>
      </c>
      <c r="R386" t="s">
        <v>1166</v>
      </c>
    </row>
    <row r="387" spans="1:18" x14ac:dyDescent="0.3">
      <c r="A387" s="2">
        <v>45836</v>
      </c>
      <c r="B387" t="s">
        <v>88</v>
      </c>
      <c r="C387" t="s">
        <v>1120</v>
      </c>
      <c r="D387" t="s">
        <v>1135</v>
      </c>
      <c r="E387" t="s">
        <v>1140</v>
      </c>
      <c r="F387" t="s">
        <v>1150</v>
      </c>
      <c r="G387" t="s">
        <v>1154</v>
      </c>
      <c r="H387">
        <v>5</v>
      </c>
      <c r="I387">
        <v>23231</v>
      </c>
      <c r="J387">
        <v>0</v>
      </c>
      <c r="K387">
        <v>23231</v>
      </c>
      <c r="L387">
        <v>116155</v>
      </c>
      <c r="M387">
        <v>2000</v>
      </c>
      <c r="N387" t="s">
        <v>1161</v>
      </c>
      <c r="O387" t="s">
        <v>1162</v>
      </c>
      <c r="Q387">
        <v>3</v>
      </c>
      <c r="R387" t="s">
        <v>1169</v>
      </c>
    </row>
    <row r="388" spans="1:18" x14ac:dyDescent="0.3">
      <c r="A388" s="2">
        <v>45685</v>
      </c>
      <c r="B388" t="s">
        <v>403</v>
      </c>
      <c r="C388" t="s">
        <v>1132</v>
      </c>
      <c r="D388" t="s">
        <v>1134</v>
      </c>
      <c r="E388" t="s">
        <v>1145</v>
      </c>
      <c r="F388" t="s">
        <v>1149</v>
      </c>
      <c r="G388" t="s">
        <v>1153</v>
      </c>
      <c r="H388">
        <v>5</v>
      </c>
      <c r="I388">
        <v>7519</v>
      </c>
      <c r="J388">
        <v>20</v>
      </c>
      <c r="K388">
        <v>6015.2</v>
      </c>
      <c r="L388">
        <v>30076</v>
      </c>
      <c r="M388">
        <v>1000</v>
      </c>
      <c r="N388" t="s">
        <v>1159</v>
      </c>
      <c r="O388" t="s">
        <v>1164</v>
      </c>
      <c r="P388" s="2">
        <v>45695</v>
      </c>
      <c r="R388" t="s">
        <v>1168</v>
      </c>
    </row>
    <row r="389" spans="1:18" x14ac:dyDescent="0.3">
      <c r="A389" s="2">
        <v>45837</v>
      </c>
      <c r="B389" t="s">
        <v>404</v>
      </c>
      <c r="C389" t="s">
        <v>1127</v>
      </c>
      <c r="D389" t="s">
        <v>1134</v>
      </c>
      <c r="E389" t="s">
        <v>1137</v>
      </c>
      <c r="F389" t="s">
        <v>1149</v>
      </c>
      <c r="G389" t="s">
        <v>1152</v>
      </c>
      <c r="H389">
        <v>2</v>
      </c>
      <c r="I389">
        <v>35596</v>
      </c>
      <c r="J389">
        <v>5</v>
      </c>
      <c r="K389">
        <v>33816.199999999997</v>
      </c>
      <c r="L389">
        <v>67632.399999999994</v>
      </c>
      <c r="M389">
        <v>2000</v>
      </c>
      <c r="N389" t="s">
        <v>1159</v>
      </c>
      <c r="O389" t="s">
        <v>1162</v>
      </c>
      <c r="Q389">
        <v>3</v>
      </c>
      <c r="R389" t="s">
        <v>1166</v>
      </c>
    </row>
    <row r="390" spans="1:18" x14ac:dyDescent="0.3">
      <c r="A390" s="2">
        <v>45799</v>
      </c>
      <c r="B390" t="s">
        <v>405</v>
      </c>
      <c r="C390" t="s">
        <v>1130</v>
      </c>
      <c r="D390" t="s">
        <v>1136</v>
      </c>
      <c r="E390" t="s">
        <v>1140</v>
      </c>
      <c r="F390" t="s">
        <v>1150</v>
      </c>
      <c r="G390" t="s">
        <v>1154</v>
      </c>
      <c r="H390">
        <v>5</v>
      </c>
      <c r="I390">
        <v>41146</v>
      </c>
      <c r="J390">
        <v>5</v>
      </c>
      <c r="K390">
        <v>39088.699999999997</v>
      </c>
      <c r="L390">
        <v>195443.5</v>
      </c>
      <c r="M390">
        <v>1500</v>
      </c>
      <c r="N390" t="s">
        <v>1161</v>
      </c>
      <c r="O390" t="s">
        <v>1163</v>
      </c>
      <c r="Q390">
        <v>3</v>
      </c>
      <c r="R390" t="s">
        <v>1170</v>
      </c>
    </row>
    <row r="391" spans="1:18" x14ac:dyDescent="0.3">
      <c r="A391" s="2">
        <v>45734</v>
      </c>
      <c r="B391" t="s">
        <v>406</v>
      </c>
      <c r="C391" t="s">
        <v>1125</v>
      </c>
      <c r="D391" t="s">
        <v>1133</v>
      </c>
      <c r="E391" t="s">
        <v>1143</v>
      </c>
      <c r="F391" t="s">
        <v>1151</v>
      </c>
      <c r="G391" t="s">
        <v>1157</v>
      </c>
      <c r="H391">
        <v>2</v>
      </c>
      <c r="I391">
        <v>20171</v>
      </c>
      <c r="J391">
        <v>10</v>
      </c>
      <c r="K391">
        <v>18153.900000000001</v>
      </c>
      <c r="L391">
        <v>36307.800000000003</v>
      </c>
      <c r="M391">
        <v>1500</v>
      </c>
      <c r="N391" t="s">
        <v>1161</v>
      </c>
      <c r="O391" t="s">
        <v>1162</v>
      </c>
      <c r="Q391">
        <v>5</v>
      </c>
    </row>
    <row r="392" spans="1:18" x14ac:dyDescent="0.3">
      <c r="A392" s="2">
        <v>45680</v>
      </c>
      <c r="B392" t="s">
        <v>407</v>
      </c>
      <c r="C392" t="s">
        <v>1123</v>
      </c>
      <c r="D392" t="s">
        <v>1135</v>
      </c>
      <c r="E392" t="s">
        <v>1138</v>
      </c>
      <c r="F392" t="s">
        <v>1149</v>
      </c>
      <c r="G392" t="s">
        <v>1153</v>
      </c>
      <c r="H392">
        <v>5</v>
      </c>
      <c r="I392">
        <v>24385</v>
      </c>
      <c r="J392">
        <v>0</v>
      </c>
      <c r="K392">
        <v>24385</v>
      </c>
      <c r="L392">
        <v>121925</v>
      </c>
      <c r="M392">
        <v>2000</v>
      </c>
      <c r="N392" t="s">
        <v>1159</v>
      </c>
      <c r="O392" t="s">
        <v>1163</v>
      </c>
      <c r="R392" t="s">
        <v>1168</v>
      </c>
    </row>
    <row r="393" spans="1:18" x14ac:dyDescent="0.3">
      <c r="A393" s="2">
        <v>45824</v>
      </c>
      <c r="B393" t="s">
        <v>408</v>
      </c>
      <c r="C393" t="s">
        <v>1131</v>
      </c>
      <c r="D393" t="s">
        <v>1136</v>
      </c>
      <c r="E393" t="s">
        <v>1146</v>
      </c>
      <c r="F393" t="s">
        <v>1151</v>
      </c>
      <c r="G393" t="s">
        <v>1155</v>
      </c>
      <c r="H393">
        <v>3</v>
      </c>
      <c r="I393">
        <v>17275</v>
      </c>
      <c r="J393">
        <v>5</v>
      </c>
      <c r="K393">
        <v>16411.25</v>
      </c>
      <c r="L393">
        <v>49233.75</v>
      </c>
      <c r="M393">
        <v>1500</v>
      </c>
      <c r="N393" t="s">
        <v>1159</v>
      </c>
      <c r="O393" t="s">
        <v>1164</v>
      </c>
      <c r="P393" s="2">
        <v>45830</v>
      </c>
      <c r="Q393">
        <v>4</v>
      </c>
      <c r="R393" t="s">
        <v>1170</v>
      </c>
    </row>
    <row r="394" spans="1:18" x14ac:dyDescent="0.3">
      <c r="A394" s="2">
        <v>45689</v>
      </c>
      <c r="B394" t="s">
        <v>409</v>
      </c>
      <c r="C394" t="s">
        <v>1130</v>
      </c>
      <c r="D394" t="s">
        <v>1136</v>
      </c>
      <c r="E394" t="s">
        <v>1147</v>
      </c>
      <c r="F394" t="s">
        <v>1150</v>
      </c>
      <c r="G394" t="s">
        <v>1156</v>
      </c>
      <c r="H394">
        <v>1</v>
      </c>
      <c r="I394">
        <v>32511</v>
      </c>
      <c r="J394">
        <v>15</v>
      </c>
      <c r="K394">
        <v>27634.35</v>
      </c>
      <c r="L394">
        <v>27634.35</v>
      </c>
      <c r="M394">
        <v>2000</v>
      </c>
      <c r="N394" t="s">
        <v>1161</v>
      </c>
      <c r="O394" t="s">
        <v>1164</v>
      </c>
      <c r="P394" s="2">
        <v>45695</v>
      </c>
      <c r="Q394">
        <v>5</v>
      </c>
    </row>
    <row r="395" spans="1:18" x14ac:dyDescent="0.3">
      <c r="A395" s="2">
        <v>45750</v>
      </c>
      <c r="B395" t="s">
        <v>410</v>
      </c>
      <c r="C395" t="s">
        <v>1120</v>
      </c>
      <c r="D395" t="s">
        <v>1135</v>
      </c>
      <c r="E395" t="s">
        <v>1144</v>
      </c>
      <c r="F395" t="s">
        <v>1151</v>
      </c>
      <c r="G395" t="s">
        <v>1157</v>
      </c>
      <c r="H395">
        <v>3</v>
      </c>
      <c r="I395">
        <v>33390</v>
      </c>
      <c r="J395">
        <v>10</v>
      </c>
      <c r="K395">
        <v>30051</v>
      </c>
      <c r="L395">
        <v>90153</v>
      </c>
      <c r="M395">
        <v>1000</v>
      </c>
      <c r="N395" t="s">
        <v>1159</v>
      </c>
      <c r="O395" t="s">
        <v>1163</v>
      </c>
      <c r="Q395">
        <v>1</v>
      </c>
      <c r="R395" t="s">
        <v>1169</v>
      </c>
    </row>
    <row r="396" spans="1:18" x14ac:dyDescent="0.3">
      <c r="A396" s="2">
        <v>45745</v>
      </c>
      <c r="B396" t="s">
        <v>411</v>
      </c>
      <c r="C396" t="s">
        <v>1122</v>
      </c>
      <c r="D396" t="s">
        <v>1136</v>
      </c>
      <c r="E396" t="s">
        <v>1137</v>
      </c>
      <c r="F396" t="s">
        <v>1149</v>
      </c>
      <c r="G396" t="s">
        <v>1152</v>
      </c>
      <c r="H396">
        <v>4</v>
      </c>
      <c r="I396">
        <v>44332</v>
      </c>
      <c r="J396">
        <v>10</v>
      </c>
      <c r="K396">
        <v>39898.800000000003</v>
      </c>
      <c r="L396">
        <v>159595.20000000001</v>
      </c>
      <c r="M396">
        <v>1500</v>
      </c>
      <c r="N396" t="s">
        <v>1159</v>
      </c>
      <c r="O396" t="s">
        <v>1164</v>
      </c>
      <c r="P396" s="2">
        <v>45751</v>
      </c>
      <c r="Q396">
        <v>3</v>
      </c>
      <c r="R396" t="s">
        <v>1169</v>
      </c>
    </row>
    <row r="397" spans="1:18" x14ac:dyDescent="0.3">
      <c r="A397" s="2">
        <v>45669</v>
      </c>
      <c r="B397" t="s">
        <v>412</v>
      </c>
      <c r="C397" t="s">
        <v>1125</v>
      </c>
      <c r="D397" t="s">
        <v>1133</v>
      </c>
      <c r="E397" t="s">
        <v>1147</v>
      </c>
      <c r="F397" t="s">
        <v>1150</v>
      </c>
      <c r="G397" t="s">
        <v>1156</v>
      </c>
      <c r="H397">
        <v>5</v>
      </c>
      <c r="I397">
        <v>22801</v>
      </c>
      <c r="J397">
        <v>0</v>
      </c>
      <c r="K397">
        <v>22801</v>
      </c>
      <c r="L397">
        <v>114005</v>
      </c>
      <c r="M397">
        <v>1000</v>
      </c>
      <c r="N397" t="s">
        <v>1161</v>
      </c>
      <c r="O397" t="s">
        <v>1164</v>
      </c>
      <c r="P397" s="2">
        <v>45683</v>
      </c>
      <c r="Q397">
        <v>2</v>
      </c>
      <c r="R397" t="s">
        <v>1170</v>
      </c>
    </row>
    <row r="398" spans="1:18" x14ac:dyDescent="0.3">
      <c r="A398" s="2">
        <v>45807</v>
      </c>
      <c r="B398" t="s">
        <v>413</v>
      </c>
      <c r="C398" t="s">
        <v>1127</v>
      </c>
      <c r="D398" t="s">
        <v>1134</v>
      </c>
      <c r="E398" t="s">
        <v>1147</v>
      </c>
      <c r="F398" t="s">
        <v>1150</v>
      </c>
      <c r="G398" t="s">
        <v>1156</v>
      </c>
      <c r="H398">
        <v>2</v>
      </c>
      <c r="I398">
        <v>74416</v>
      </c>
      <c r="J398">
        <v>10</v>
      </c>
      <c r="K398">
        <v>66974.399999999994</v>
      </c>
      <c r="L398">
        <v>133948.79999999999</v>
      </c>
      <c r="M398">
        <v>2000</v>
      </c>
      <c r="N398" t="s">
        <v>1161</v>
      </c>
      <c r="O398" t="s">
        <v>1162</v>
      </c>
      <c r="Q398">
        <v>3</v>
      </c>
      <c r="R398" t="s">
        <v>1167</v>
      </c>
    </row>
    <row r="399" spans="1:18" x14ac:dyDescent="0.3">
      <c r="A399" s="2">
        <v>45819</v>
      </c>
      <c r="B399" t="s">
        <v>414</v>
      </c>
      <c r="C399" t="s">
        <v>1129</v>
      </c>
      <c r="D399" t="s">
        <v>1133</v>
      </c>
      <c r="E399" t="s">
        <v>1146</v>
      </c>
      <c r="F399" t="s">
        <v>1151</v>
      </c>
      <c r="G399" t="s">
        <v>1155</v>
      </c>
      <c r="H399">
        <v>2</v>
      </c>
      <c r="I399">
        <v>56635</v>
      </c>
      <c r="J399">
        <v>0</v>
      </c>
      <c r="K399">
        <v>56635</v>
      </c>
      <c r="L399">
        <v>113270</v>
      </c>
      <c r="M399">
        <v>2000</v>
      </c>
      <c r="N399" t="s">
        <v>1159</v>
      </c>
      <c r="O399" t="s">
        <v>1162</v>
      </c>
      <c r="Q399">
        <v>2</v>
      </c>
      <c r="R399" t="s">
        <v>1170</v>
      </c>
    </row>
    <row r="400" spans="1:18" x14ac:dyDescent="0.3">
      <c r="A400" s="2">
        <v>45732</v>
      </c>
      <c r="B400" t="s">
        <v>415</v>
      </c>
      <c r="C400" t="s">
        <v>1124</v>
      </c>
      <c r="D400" t="s">
        <v>1135</v>
      </c>
      <c r="E400" t="s">
        <v>1144</v>
      </c>
      <c r="F400" t="s">
        <v>1151</v>
      </c>
      <c r="G400" t="s">
        <v>1157</v>
      </c>
      <c r="H400">
        <v>4</v>
      </c>
      <c r="I400">
        <v>37063</v>
      </c>
      <c r="J400">
        <v>20</v>
      </c>
      <c r="K400">
        <v>29650.400000000001</v>
      </c>
      <c r="L400">
        <v>118601.60000000001</v>
      </c>
      <c r="M400">
        <v>2000</v>
      </c>
      <c r="N400" t="s">
        <v>1159</v>
      </c>
      <c r="O400" t="s">
        <v>1162</v>
      </c>
      <c r="Q400">
        <v>4</v>
      </c>
    </row>
    <row r="401" spans="1:18" x14ac:dyDescent="0.3">
      <c r="A401" s="2">
        <v>45780</v>
      </c>
      <c r="B401" t="s">
        <v>416</v>
      </c>
      <c r="C401" t="s">
        <v>1119</v>
      </c>
      <c r="D401" t="s">
        <v>1134</v>
      </c>
      <c r="E401" t="s">
        <v>1137</v>
      </c>
      <c r="F401" t="s">
        <v>1149</v>
      </c>
      <c r="G401" t="s">
        <v>1152</v>
      </c>
      <c r="H401">
        <v>5</v>
      </c>
      <c r="I401">
        <v>16026</v>
      </c>
      <c r="J401">
        <v>5</v>
      </c>
      <c r="K401">
        <v>15224.7</v>
      </c>
      <c r="L401">
        <v>76123.5</v>
      </c>
      <c r="M401">
        <v>1000</v>
      </c>
      <c r="N401" t="s">
        <v>1161</v>
      </c>
      <c r="O401" t="s">
        <v>1163</v>
      </c>
      <c r="Q401">
        <v>2</v>
      </c>
      <c r="R401" t="s">
        <v>1167</v>
      </c>
    </row>
    <row r="402" spans="1:18" x14ac:dyDescent="0.3">
      <c r="A402" s="2">
        <v>45808</v>
      </c>
      <c r="B402" t="s">
        <v>417</v>
      </c>
      <c r="C402" t="s">
        <v>1124</v>
      </c>
      <c r="D402" t="s">
        <v>1135</v>
      </c>
      <c r="E402" t="s">
        <v>1142</v>
      </c>
      <c r="F402" t="s">
        <v>1150</v>
      </c>
      <c r="G402" t="s">
        <v>1156</v>
      </c>
      <c r="H402">
        <v>2</v>
      </c>
      <c r="I402">
        <v>34793</v>
      </c>
      <c r="J402">
        <v>0</v>
      </c>
      <c r="K402">
        <v>34793</v>
      </c>
      <c r="L402">
        <v>69586</v>
      </c>
      <c r="M402">
        <v>1500</v>
      </c>
      <c r="N402" t="s">
        <v>1161</v>
      </c>
      <c r="O402" t="s">
        <v>1162</v>
      </c>
      <c r="Q402">
        <v>3</v>
      </c>
      <c r="R402" t="s">
        <v>1166</v>
      </c>
    </row>
    <row r="403" spans="1:18" x14ac:dyDescent="0.3">
      <c r="A403" s="2">
        <v>45668</v>
      </c>
      <c r="B403" t="s">
        <v>418</v>
      </c>
      <c r="C403" t="s">
        <v>1122</v>
      </c>
      <c r="D403" t="s">
        <v>1136</v>
      </c>
      <c r="E403" t="s">
        <v>1145</v>
      </c>
      <c r="F403" t="s">
        <v>1149</v>
      </c>
      <c r="G403" t="s">
        <v>1153</v>
      </c>
      <c r="H403">
        <v>2</v>
      </c>
      <c r="I403">
        <v>49001</v>
      </c>
      <c r="J403">
        <v>10</v>
      </c>
      <c r="K403">
        <v>44100.9</v>
      </c>
      <c r="L403">
        <v>88201.8</v>
      </c>
      <c r="M403">
        <v>1500</v>
      </c>
      <c r="N403" t="s">
        <v>1159</v>
      </c>
      <c r="O403" t="s">
        <v>1164</v>
      </c>
      <c r="P403" s="2">
        <v>45674</v>
      </c>
      <c r="Q403">
        <v>5</v>
      </c>
      <c r="R403" t="s">
        <v>1167</v>
      </c>
    </row>
    <row r="404" spans="1:18" x14ac:dyDescent="0.3">
      <c r="A404" s="2">
        <v>45679</v>
      </c>
      <c r="B404" t="s">
        <v>419</v>
      </c>
      <c r="C404" t="s">
        <v>1127</v>
      </c>
      <c r="D404" t="s">
        <v>1134</v>
      </c>
      <c r="E404" t="s">
        <v>1141</v>
      </c>
      <c r="F404" t="s">
        <v>1151</v>
      </c>
      <c r="G404" t="s">
        <v>1155</v>
      </c>
      <c r="H404">
        <v>3</v>
      </c>
      <c r="I404">
        <v>59516</v>
      </c>
      <c r="J404">
        <v>20</v>
      </c>
      <c r="K404">
        <v>47612.800000000003</v>
      </c>
      <c r="L404">
        <v>142838.39999999999</v>
      </c>
      <c r="M404">
        <v>2000</v>
      </c>
      <c r="N404" t="s">
        <v>1161</v>
      </c>
      <c r="O404" t="s">
        <v>1162</v>
      </c>
    </row>
    <row r="405" spans="1:18" x14ac:dyDescent="0.3">
      <c r="A405" s="2">
        <v>45720</v>
      </c>
      <c r="B405" t="s">
        <v>420</v>
      </c>
      <c r="C405" t="s">
        <v>1127</v>
      </c>
      <c r="D405" t="s">
        <v>1134</v>
      </c>
      <c r="E405" t="s">
        <v>1145</v>
      </c>
      <c r="F405" t="s">
        <v>1149</v>
      </c>
      <c r="G405" t="s">
        <v>1153</v>
      </c>
      <c r="H405">
        <v>3</v>
      </c>
      <c r="I405">
        <v>73779</v>
      </c>
      <c r="J405">
        <v>10</v>
      </c>
      <c r="K405">
        <v>66401.100000000006</v>
      </c>
      <c r="L405">
        <v>199203.3</v>
      </c>
      <c r="M405">
        <v>1500</v>
      </c>
      <c r="N405" t="s">
        <v>1159</v>
      </c>
      <c r="O405" t="s">
        <v>1162</v>
      </c>
      <c r="Q405">
        <v>3</v>
      </c>
    </row>
    <row r="406" spans="1:18" x14ac:dyDescent="0.3">
      <c r="A406" s="2">
        <v>45784</v>
      </c>
      <c r="B406" t="s">
        <v>421</v>
      </c>
      <c r="C406" t="s">
        <v>1122</v>
      </c>
      <c r="D406" t="s">
        <v>1136</v>
      </c>
      <c r="E406" t="s">
        <v>1144</v>
      </c>
      <c r="F406" t="s">
        <v>1151</v>
      </c>
      <c r="G406" t="s">
        <v>1157</v>
      </c>
      <c r="H406">
        <v>2</v>
      </c>
      <c r="I406">
        <v>44654</v>
      </c>
      <c r="J406">
        <v>20</v>
      </c>
      <c r="K406">
        <v>35723.199999999997</v>
      </c>
      <c r="L406">
        <v>71446.399999999994</v>
      </c>
      <c r="M406">
        <v>1000</v>
      </c>
      <c r="N406" t="s">
        <v>1159</v>
      </c>
      <c r="O406" t="s">
        <v>1163</v>
      </c>
      <c r="Q406">
        <v>1</v>
      </c>
      <c r="R406" t="s">
        <v>1170</v>
      </c>
    </row>
    <row r="407" spans="1:18" x14ac:dyDescent="0.3">
      <c r="A407" s="2">
        <v>45793</v>
      </c>
      <c r="B407" t="s">
        <v>422</v>
      </c>
      <c r="C407" t="s">
        <v>1124</v>
      </c>
      <c r="D407" t="s">
        <v>1135</v>
      </c>
      <c r="E407" t="s">
        <v>1137</v>
      </c>
      <c r="F407" t="s">
        <v>1149</v>
      </c>
      <c r="G407" t="s">
        <v>1152</v>
      </c>
      <c r="H407">
        <v>4</v>
      </c>
      <c r="I407">
        <v>34979</v>
      </c>
      <c r="J407">
        <v>5</v>
      </c>
      <c r="K407">
        <v>33230.050000000003</v>
      </c>
      <c r="L407">
        <v>132920.20000000001</v>
      </c>
      <c r="M407">
        <v>2000</v>
      </c>
      <c r="N407" t="s">
        <v>1159</v>
      </c>
      <c r="O407" t="s">
        <v>1164</v>
      </c>
      <c r="P407" s="2">
        <v>45795</v>
      </c>
      <c r="Q407">
        <v>4</v>
      </c>
      <c r="R407" t="s">
        <v>1169</v>
      </c>
    </row>
    <row r="408" spans="1:18" x14ac:dyDescent="0.3">
      <c r="A408" s="2">
        <v>45686</v>
      </c>
      <c r="B408" t="s">
        <v>423</v>
      </c>
      <c r="C408" t="s">
        <v>1130</v>
      </c>
      <c r="D408" t="s">
        <v>1136</v>
      </c>
      <c r="E408" t="s">
        <v>1148</v>
      </c>
      <c r="F408" t="s">
        <v>1149</v>
      </c>
      <c r="G408" t="s">
        <v>1152</v>
      </c>
      <c r="H408">
        <v>4</v>
      </c>
      <c r="I408">
        <v>24822</v>
      </c>
      <c r="J408">
        <v>5</v>
      </c>
      <c r="K408">
        <v>23580.9</v>
      </c>
      <c r="L408">
        <v>94323.6</v>
      </c>
      <c r="M408">
        <v>1000</v>
      </c>
      <c r="N408" t="s">
        <v>1161</v>
      </c>
      <c r="O408" t="s">
        <v>1162</v>
      </c>
      <c r="R408" t="s">
        <v>1169</v>
      </c>
    </row>
    <row r="409" spans="1:18" x14ac:dyDescent="0.3">
      <c r="A409" s="2">
        <v>45788</v>
      </c>
      <c r="B409" t="s">
        <v>424</v>
      </c>
      <c r="C409" t="s">
        <v>1127</v>
      </c>
      <c r="D409" t="s">
        <v>1134</v>
      </c>
      <c r="E409" t="s">
        <v>1141</v>
      </c>
      <c r="F409" t="s">
        <v>1151</v>
      </c>
      <c r="G409" t="s">
        <v>1155</v>
      </c>
      <c r="H409">
        <v>4</v>
      </c>
      <c r="I409">
        <v>73072</v>
      </c>
      <c r="J409">
        <v>10</v>
      </c>
      <c r="K409">
        <v>65764.800000000003</v>
      </c>
      <c r="L409">
        <v>263059.20000000001</v>
      </c>
      <c r="M409">
        <v>1500</v>
      </c>
      <c r="N409" t="s">
        <v>1160</v>
      </c>
      <c r="O409" t="s">
        <v>1164</v>
      </c>
      <c r="P409" s="2">
        <v>45798</v>
      </c>
      <c r="Q409">
        <v>4</v>
      </c>
    </row>
    <row r="410" spans="1:18" x14ac:dyDescent="0.3">
      <c r="A410" s="2">
        <v>45702</v>
      </c>
      <c r="B410" t="s">
        <v>425</v>
      </c>
      <c r="C410" t="s">
        <v>1131</v>
      </c>
      <c r="D410" t="s">
        <v>1136</v>
      </c>
      <c r="E410" t="s">
        <v>1141</v>
      </c>
      <c r="F410" t="s">
        <v>1151</v>
      </c>
      <c r="G410" t="s">
        <v>1155</v>
      </c>
      <c r="H410">
        <v>1</v>
      </c>
      <c r="I410">
        <v>10714</v>
      </c>
      <c r="J410">
        <v>20</v>
      </c>
      <c r="K410">
        <v>8571.2000000000007</v>
      </c>
      <c r="L410">
        <v>8571.2000000000007</v>
      </c>
      <c r="M410">
        <v>1500</v>
      </c>
      <c r="N410" t="s">
        <v>1161</v>
      </c>
      <c r="O410" t="s">
        <v>1163</v>
      </c>
      <c r="Q410">
        <v>5</v>
      </c>
      <c r="R410" t="s">
        <v>1168</v>
      </c>
    </row>
    <row r="411" spans="1:18" x14ac:dyDescent="0.3">
      <c r="A411" s="2">
        <v>45703</v>
      </c>
      <c r="B411" t="s">
        <v>426</v>
      </c>
      <c r="C411" t="s">
        <v>1129</v>
      </c>
      <c r="D411" t="s">
        <v>1133</v>
      </c>
      <c r="E411" t="s">
        <v>1148</v>
      </c>
      <c r="F411" t="s">
        <v>1149</v>
      </c>
      <c r="G411" t="s">
        <v>1152</v>
      </c>
      <c r="H411">
        <v>4</v>
      </c>
      <c r="I411">
        <v>26523</v>
      </c>
      <c r="J411">
        <v>15</v>
      </c>
      <c r="K411">
        <v>22544.55</v>
      </c>
      <c r="L411">
        <v>90178.2</v>
      </c>
      <c r="M411">
        <v>1000</v>
      </c>
      <c r="N411" t="s">
        <v>1161</v>
      </c>
      <c r="O411" t="s">
        <v>1164</v>
      </c>
      <c r="P411" s="2">
        <v>45708</v>
      </c>
      <c r="Q411">
        <v>5</v>
      </c>
      <c r="R411" t="s">
        <v>1170</v>
      </c>
    </row>
    <row r="412" spans="1:18" x14ac:dyDescent="0.3">
      <c r="A412" s="2">
        <v>45729</v>
      </c>
      <c r="B412" t="s">
        <v>427</v>
      </c>
      <c r="C412" t="s">
        <v>1121</v>
      </c>
      <c r="D412" t="s">
        <v>1136</v>
      </c>
      <c r="E412" t="s">
        <v>1141</v>
      </c>
      <c r="F412" t="s">
        <v>1151</v>
      </c>
      <c r="G412" t="s">
        <v>1155</v>
      </c>
      <c r="H412">
        <v>5</v>
      </c>
      <c r="I412">
        <v>73733</v>
      </c>
      <c r="J412">
        <v>5</v>
      </c>
      <c r="K412">
        <v>70046.350000000006</v>
      </c>
      <c r="L412">
        <v>350231.75</v>
      </c>
      <c r="M412">
        <v>2000</v>
      </c>
      <c r="N412" t="s">
        <v>1160</v>
      </c>
      <c r="O412" t="s">
        <v>1164</v>
      </c>
      <c r="P412" s="2">
        <v>45738</v>
      </c>
      <c r="Q412">
        <v>4</v>
      </c>
      <c r="R412" t="s">
        <v>1169</v>
      </c>
    </row>
    <row r="413" spans="1:18" x14ac:dyDescent="0.3">
      <c r="A413" s="2">
        <v>45770</v>
      </c>
      <c r="B413" t="s">
        <v>428</v>
      </c>
      <c r="C413" t="s">
        <v>1126</v>
      </c>
      <c r="D413" t="s">
        <v>1133</v>
      </c>
      <c r="E413" t="s">
        <v>1137</v>
      </c>
      <c r="F413" t="s">
        <v>1149</v>
      </c>
      <c r="G413" t="s">
        <v>1152</v>
      </c>
      <c r="H413">
        <v>2</v>
      </c>
      <c r="I413">
        <v>66551</v>
      </c>
      <c r="J413">
        <v>0</v>
      </c>
      <c r="K413">
        <v>66551</v>
      </c>
      <c r="L413">
        <v>133102</v>
      </c>
      <c r="M413">
        <v>1000</v>
      </c>
      <c r="N413" t="s">
        <v>1160</v>
      </c>
      <c r="O413" t="s">
        <v>1162</v>
      </c>
    </row>
    <row r="414" spans="1:18" x14ac:dyDescent="0.3">
      <c r="A414" s="2">
        <v>45747</v>
      </c>
      <c r="B414" t="s">
        <v>429</v>
      </c>
      <c r="C414" t="s">
        <v>1131</v>
      </c>
      <c r="D414" t="s">
        <v>1136</v>
      </c>
      <c r="E414" t="s">
        <v>1144</v>
      </c>
      <c r="F414" t="s">
        <v>1151</v>
      </c>
      <c r="G414" t="s">
        <v>1157</v>
      </c>
      <c r="H414">
        <v>2</v>
      </c>
      <c r="I414">
        <v>65552</v>
      </c>
      <c r="J414">
        <v>20</v>
      </c>
      <c r="K414">
        <v>52441.599999999999</v>
      </c>
      <c r="L414">
        <v>104883.2</v>
      </c>
      <c r="M414">
        <v>1500</v>
      </c>
      <c r="N414" t="s">
        <v>1159</v>
      </c>
      <c r="O414" t="s">
        <v>1164</v>
      </c>
      <c r="P414" s="2">
        <v>45750</v>
      </c>
      <c r="Q414">
        <v>4</v>
      </c>
      <c r="R414" t="s">
        <v>1169</v>
      </c>
    </row>
    <row r="415" spans="1:18" x14ac:dyDescent="0.3">
      <c r="A415" s="2">
        <v>45834</v>
      </c>
      <c r="B415" t="s">
        <v>430</v>
      </c>
      <c r="C415" t="s">
        <v>1121</v>
      </c>
      <c r="D415" t="s">
        <v>1136</v>
      </c>
      <c r="E415" t="s">
        <v>1142</v>
      </c>
      <c r="F415" t="s">
        <v>1150</v>
      </c>
      <c r="G415" t="s">
        <v>1156</v>
      </c>
      <c r="H415">
        <v>3</v>
      </c>
      <c r="I415">
        <v>47893</v>
      </c>
      <c r="J415">
        <v>0</v>
      </c>
      <c r="K415">
        <v>47893</v>
      </c>
      <c r="L415">
        <v>143679</v>
      </c>
      <c r="M415">
        <v>2000</v>
      </c>
      <c r="N415" t="s">
        <v>1159</v>
      </c>
      <c r="O415" t="s">
        <v>1162</v>
      </c>
      <c r="Q415">
        <v>2</v>
      </c>
      <c r="R415" t="s">
        <v>1170</v>
      </c>
    </row>
    <row r="416" spans="1:18" x14ac:dyDescent="0.3">
      <c r="A416" s="2">
        <v>45657</v>
      </c>
      <c r="B416" t="s">
        <v>431</v>
      </c>
      <c r="C416" t="s">
        <v>1124</v>
      </c>
      <c r="D416" t="s">
        <v>1135</v>
      </c>
      <c r="E416" t="s">
        <v>1137</v>
      </c>
      <c r="F416" t="s">
        <v>1149</v>
      </c>
      <c r="G416" t="s">
        <v>1152</v>
      </c>
      <c r="H416">
        <v>5</v>
      </c>
      <c r="I416">
        <v>11922</v>
      </c>
      <c r="J416">
        <v>15</v>
      </c>
      <c r="K416">
        <v>10133.700000000001</v>
      </c>
      <c r="L416">
        <v>50668.5</v>
      </c>
      <c r="M416">
        <v>2000</v>
      </c>
      <c r="N416" t="s">
        <v>1159</v>
      </c>
      <c r="O416" t="s">
        <v>1164</v>
      </c>
      <c r="P416" s="2">
        <v>45660</v>
      </c>
      <c r="Q416">
        <v>3</v>
      </c>
    </row>
    <row r="417" spans="1:18" x14ac:dyDescent="0.3">
      <c r="A417" s="2">
        <v>45780</v>
      </c>
      <c r="B417" t="s">
        <v>432</v>
      </c>
      <c r="C417" t="s">
        <v>1125</v>
      </c>
      <c r="D417" t="s">
        <v>1133</v>
      </c>
      <c r="E417" t="s">
        <v>1142</v>
      </c>
      <c r="F417" t="s">
        <v>1150</v>
      </c>
      <c r="G417" t="s">
        <v>1156</v>
      </c>
      <c r="H417">
        <v>4</v>
      </c>
      <c r="I417">
        <v>43171</v>
      </c>
      <c r="J417">
        <v>10</v>
      </c>
      <c r="K417">
        <v>38853.9</v>
      </c>
      <c r="L417">
        <v>155415.6</v>
      </c>
      <c r="M417">
        <v>1000</v>
      </c>
      <c r="N417" t="s">
        <v>1160</v>
      </c>
      <c r="O417" t="s">
        <v>1164</v>
      </c>
      <c r="P417" s="2">
        <v>45793</v>
      </c>
      <c r="Q417">
        <v>4</v>
      </c>
    </row>
    <row r="418" spans="1:18" x14ac:dyDescent="0.3">
      <c r="A418" s="2">
        <v>45668</v>
      </c>
      <c r="B418" t="s">
        <v>433</v>
      </c>
      <c r="C418" t="s">
        <v>1129</v>
      </c>
      <c r="D418" t="s">
        <v>1133</v>
      </c>
      <c r="E418" t="s">
        <v>1140</v>
      </c>
      <c r="F418" t="s">
        <v>1150</v>
      </c>
      <c r="G418" t="s">
        <v>1154</v>
      </c>
      <c r="H418">
        <v>2</v>
      </c>
      <c r="I418">
        <v>40721</v>
      </c>
      <c r="J418">
        <v>5</v>
      </c>
      <c r="K418">
        <v>38684.949999999997</v>
      </c>
      <c r="L418">
        <v>77369.899999999994</v>
      </c>
      <c r="M418">
        <v>1000</v>
      </c>
      <c r="N418" t="s">
        <v>1159</v>
      </c>
      <c r="O418" t="s">
        <v>1163</v>
      </c>
      <c r="Q418">
        <v>2</v>
      </c>
      <c r="R418" t="s">
        <v>1166</v>
      </c>
    </row>
    <row r="419" spans="1:18" x14ac:dyDescent="0.3">
      <c r="A419" s="2">
        <v>45774</v>
      </c>
      <c r="B419" t="s">
        <v>434</v>
      </c>
      <c r="C419" t="s">
        <v>1119</v>
      </c>
      <c r="D419" t="s">
        <v>1134</v>
      </c>
      <c r="E419" t="s">
        <v>1141</v>
      </c>
      <c r="F419" t="s">
        <v>1151</v>
      </c>
      <c r="G419" t="s">
        <v>1155</v>
      </c>
      <c r="H419">
        <v>1</v>
      </c>
      <c r="I419">
        <v>48284</v>
      </c>
      <c r="J419">
        <v>20</v>
      </c>
      <c r="K419">
        <v>38627.199999999997</v>
      </c>
      <c r="L419">
        <v>38627.199999999997</v>
      </c>
      <c r="M419">
        <v>2000</v>
      </c>
      <c r="N419" t="s">
        <v>1161</v>
      </c>
      <c r="O419" t="s">
        <v>1163</v>
      </c>
      <c r="Q419">
        <v>3</v>
      </c>
      <c r="R419" t="s">
        <v>1166</v>
      </c>
    </row>
    <row r="420" spans="1:18" x14ac:dyDescent="0.3">
      <c r="A420" s="2">
        <v>45739</v>
      </c>
      <c r="B420" t="s">
        <v>435</v>
      </c>
      <c r="C420" t="s">
        <v>1128</v>
      </c>
      <c r="D420" t="s">
        <v>1135</v>
      </c>
      <c r="E420" t="s">
        <v>1144</v>
      </c>
      <c r="F420" t="s">
        <v>1151</v>
      </c>
      <c r="G420" t="s">
        <v>1157</v>
      </c>
      <c r="H420">
        <v>4</v>
      </c>
      <c r="I420">
        <v>71840</v>
      </c>
      <c r="J420">
        <v>10</v>
      </c>
      <c r="K420">
        <v>64656</v>
      </c>
      <c r="L420">
        <v>258624</v>
      </c>
      <c r="M420">
        <v>1000</v>
      </c>
      <c r="N420" t="s">
        <v>1160</v>
      </c>
      <c r="O420" t="s">
        <v>1164</v>
      </c>
      <c r="P420" s="2">
        <v>45743</v>
      </c>
      <c r="Q420" t="s">
        <v>1165</v>
      </c>
    </row>
    <row r="421" spans="1:18" x14ac:dyDescent="0.3">
      <c r="A421" s="2">
        <v>45798</v>
      </c>
      <c r="B421" t="s">
        <v>436</v>
      </c>
      <c r="C421" t="s">
        <v>1127</v>
      </c>
      <c r="D421" t="s">
        <v>1134</v>
      </c>
      <c r="E421" t="s">
        <v>1139</v>
      </c>
      <c r="F421" t="s">
        <v>1150</v>
      </c>
      <c r="G421" t="s">
        <v>1154</v>
      </c>
      <c r="H421">
        <v>4</v>
      </c>
      <c r="I421">
        <v>51899</v>
      </c>
      <c r="J421">
        <v>5</v>
      </c>
      <c r="K421">
        <v>49304.05</v>
      </c>
      <c r="L421">
        <v>197216.2</v>
      </c>
      <c r="M421">
        <v>2000</v>
      </c>
      <c r="N421" t="s">
        <v>1159</v>
      </c>
      <c r="O421" t="s">
        <v>1164</v>
      </c>
      <c r="P421" s="2">
        <v>45812</v>
      </c>
      <c r="R421" t="s">
        <v>1166</v>
      </c>
    </row>
    <row r="422" spans="1:18" x14ac:dyDescent="0.3">
      <c r="A422" s="2">
        <v>45757</v>
      </c>
      <c r="B422" t="s">
        <v>437</v>
      </c>
      <c r="C422" t="s">
        <v>1130</v>
      </c>
      <c r="D422" t="s">
        <v>1136</v>
      </c>
      <c r="E422" t="s">
        <v>1142</v>
      </c>
      <c r="F422" t="s">
        <v>1150</v>
      </c>
      <c r="G422" t="s">
        <v>1156</v>
      </c>
      <c r="H422">
        <v>5</v>
      </c>
      <c r="I422">
        <v>73032</v>
      </c>
      <c r="J422" t="s">
        <v>1158</v>
      </c>
      <c r="K422">
        <v>65728.800000000003</v>
      </c>
      <c r="L422">
        <v>328644</v>
      </c>
      <c r="M422">
        <v>1500</v>
      </c>
      <c r="N422" t="s">
        <v>1159</v>
      </c>
      <c r="O422" t="s">
        <v>1164</v>
      </c>
      <c r="P422" s="2">
        <v>45769</v>
      </c>
      <c r="R422" t="s">
        <v>1169</v>
      </c>
    </row>
    <row r="423" spans="1:18" x14ac:dyDescent="0.3">
      <c r="A423" s="2">
        <v>45810</v>
      </c>
      <c r="B423" t="s">
        <v>438</v>
      </c>
      <c r="C423" t="s">
        <v>1124</v>
      </c>
      <c r="D423" t="s">
        <v>1135</v>
      </c>
      <c r="E423" t="s">
        <v>1148</v>
      </c>
      <c r="F423" t="s">
        <v>1149</v>
      </c>
      <c r="G423" t="s">
        <v>1152</v>
      </c>
      <c r="H423">
        <v>5</v>
      </c>
      <c r="I423">
        <v>50512</v>
      </c>
      <c r="J423">
        <v>5</v>
      </c>
      <c r="K423">
        <v>47986.400000000001</v>
      </c>
      <c r="L423">
        <v>239932</v>
      </c>
      <c r="M423">
        <v>1000</v>
      </c>
      <c r="N423" t="s">
        <v>1161</v>
      </c>
      <c r="O423" t="s">
        <v>1163</v>
      </c>
      <c r="Q423">
        <v>5</v>
      </c>
      <c r="R423" t="s">
        <v>1170</v>
      </c>
    </row>
    <row r="424" spans="1:18" x14ac:dyDescent="0.3">
      <c r="A424" s="2">
        <v>45707</v>
      </c>
      <c r="B424" t="s">
        <v>439</v>
      </c>
      <c r="C424" t="s">
        <v>1129</v>
      </c>
      <c r="D424" t="s">
        <v>1133</v>
      </c>
      <c r="E424" t="s">
        <v>1141</v>
      </c>
      <c r="F424" t="s">
        <v>1151</v>
      </c>
      <c r="G424" t="s">
        <v>1155</v>
      </c>
      <c r="H424">
        <v>1</v>
      </c>
      <c r="I424">
        <v>5093</v>
      </c>
      <c r="J424">
        <v>10</v>
      </c>
      <c r="K424">
        <v>4583.7</v>
      </c>
      <c r="L424">
        <v>4583.7</v>
      </c>
      <c r="M424">
        <v>1500</v>
      </c>
      <c r="N424" t="s">
        <v>1159</v>
      </c>
      <c r="O424" t="s">
        <v>1163</v>
      </c>
      <c r="Q424">
        <v>4</v>
      </c>
      <c r="R424" t="s">
        <v>1170</v>
      </c>
    </row>
    <row r="425" spans="1:18" x14ac:dyDescent="0.3">
      <c r="A425" s="2">
        <v>45804</v>
      </c>
      <c r="B425" t="s">
        <v>440</v>
      </c>
      <c r="C425" t="s">
        <v>1125</v>
      </c>
      <c r="D425" t="s">
        <v>1133</v>
      </c>
      <c r="E425" t="s">
        <v>1141</v>
      </c>
      <c r="F425" t="s">
        <v>1151</v>
      </c>
      <c r="G425" t="s">
        <v>1155</v>
      </c>
      <c r="H425">
        <v>5</v>
      </c>
      <c r="I425">
        <v>28183</v>
      </c>
      <c r="J425">
        <v>0</v>
      </c>
      <c r="K425">
        <v>28183</v>
      </c>
      <c r="L425">
        <v>140915</v>
      </c>
      <c r="M425">
        <v>1500</v>
      </c>
      <c r="N425" t="s">
        <v>1159</v>
      </c>
      <c r="O425" t="s">
        <v>1162</v>
      </c>
      <c r="R425" t="s">
        <v>1166</v>
      </c>
    </row>
    <row r="426" spans="1:18" x14ac:dyDescent="0.3">
      <c r="A426" s="2">
        <v>45772</v>
      </c>
      <c r="B426" t="s">
        <v>441</v>
      </c>
      <c r="C426" t="s">
        <v>1117</v>
      </c>
      <c r="D426" t="s">
        <v>1133</v>
      </c>
      <c r="E426" t="s">
        <v>1146</v>
      </c>
      <c r="F426" t="s">
        <v>1151</v>
      </c>
      <c r="G426" t="s">
        <v>1155</v>
      </c>
      <c r="H426">
        <v>1</v>
      </c>
      <c r="I426">
        <v>49479</v>
      </c>
      <c r="J426">
        <v>20</v>
      </c>
      <c r="K426">
        <v>39583.199999999997</v>
      </c>
      <c r="L426">
        <v>39583.199999999997</v>
      </c>
      <c r="M426">
        <v>2000</v>
      </c>
      <c r="N426" t="s">
        <v>1161</v>
      </c>
      <c r="O426" t="s">
        <v>1164</v>
      </c>
      <c r="P426" s="2">
        <v>45777</v>
      </c>
      <c r="Q426">
        <v>2</v>
      </c>
      <c r="R426" t="s">
        <v>1170</v>
      </c>
    </row>
    <row r="427" spans="1:18" x14ac:dyDescent="0.3">
      <c r="A427" s="2">
        <v>45692</v>
      </c>
      <c r="B427" t="s">
        <v>442</v>
      </c>
      <c r="C427" t="s">
        <v>1117</v>
      </c>
      <c r="D427" t="s">
        <v>1133</v>
      </c>
      <c r="E427" t="s">
        <v>1142</v>
      </c>
      <c r="F427" t="s">
        <v>1150</v>
      </c>
      <c r="G427" t="s">
        <v>1156</v>
      </c>
      <c r="H427">
        <v>3</v>
      </c>
      <c r="I427">
        <v>76845</v>
      </c>
      <c r="J427">
        <v>20</v>
      </c>
      <c r="K427">
        <v>61476</v>
      </c>
      <c r="L427">
        <v>184428</v>
      </c>
      <c r="M427">
        <v>1500</v>
      </c>
      <c r="N427" t="s">
        <v>1160</v>
      </c>
      <c r="O427" t="s">
        <v>1164</v>
      </c>
      <c r="P427" s="2">
        <v>45706</v>
      </c>
      <c r="Q427">
        <v>1</v>
      </c>
      <c r="R427" t="s">
        <v>1166</v>
      </c>
    </row>
    <row r="428" spans="1:18" x14ac:dyDescent="0.3">
      <c r="A428" s="2">
        <v>45837</v>
      </c>
      <c r="B428" t="s">
        <v>443</v>
      </c>
      <c r="C428" t="s">
        <v>1127</v>
      </c>
      <c r="D428" t="s">
        <v>1134</v>
      </c>
      <c r="E428" t="s">
        <v>1140</v>
      </c>
      <c r="F428" t="s">
        <v>1150</v>
      </c>
      <c r="G428" t="s">
        <v>1154</v>
      </c>
      <c r="H428">
        <v>5</v>
      </c>
      <c r="I428">
        <v>47159</v>
      </c>
      <c r="J428">
        <v>20</v>
      </c>
      <c r="K428">
        <v>37727.199999999997</v>
      </c>
      <c r="L428">
        <v>188636</v>
      </c>
      <c r="M428">
        <v>1000</v>
      </c>
      <c r="N428" t="s">
        <v>1160</v>
      </c>
      <c r="O428" t="s">
        <v>1164</v>
      </c>
      <c r="P428" s="2">
        <v>45840</v>
      </c>
      <c r="R428" t="s">
        <v>1169</v>
      </c>
    </row>
    <row r="429" spans="1:18" x14ac:dyDescent="0.3">
      <c r="A429" s="2">
        <v>45777</v>
      </c>
      <c r="B429" t="s">
        <v>444</v>
      </c>
      <c r="C429" t="s">
        <v>1125</v>
      </c>
      <c r="D429" t="s">
        <v>1133</v>
      </c>
      <c r="E429" t="s">
        <v>1141</v>
      </c>
      <c r="F429" t="s">
        <v>1151</v>
      </c>
      <c r="G429" t="s">
        <v>1155</v>
      </c>
      <c r="H429">
        <v>1</v>
      </c>
      <c r="I429">
        <v>44310</v>
      </c>
      <c r="J429">
        <v>10</v>
      </c>
      <c r="K429">
        <v>39879</v>
      </c>
      <c r="L429">
        <v>39879</v>
      </c>
      <c r="M429">
        <v>1000</v>
      </c>
      <c r="N429" t="s">
        <v>1161</v>
      </c>
      <c r="O429" t="s">
        <v>1163</v>
      </c>
      <c r="Q429">
        <v>3</v>
      </c>
      <c r="R429" t="s">
        <v>1168</v>
      </c>
    </row>
    <row r="430" spans="1:18" x14ac:dyDescent="0.3">
      <c r="A430" s="2">
        <v>45733</v>
      </c>
      <c r="B430" t="s">
        <v>445</v>
      </c>
      <c r="C430" t="s">
        <v>1126</v>
      </c>
      <c r="D430" t="s">
        <v>1133</v>
      </c>
      <c r="E430" t="s">
        <v>1148</v>
      </c>
      <c r="F430" t="s">
        <v>1149</v>
      </c>
      <c r="G430" t="s">
        <v>1152</v>
      </c>
      <c r="H430">
        <v>5</v>
      </c>
      <c r="I430">
        <v>56899</v>
      </c>
      <c r="J430">
        <v>15</v>
      </c>
      <c r="K430">
        <v>48364.15</v>
      </c>
      <c r="L430">
        <v>241820.75</v>
      </c>
      <c r="M430">
        <v>1000</v>
      </c>
      <c r="N430" t="s">
        <v>1159</v>
      </c>
      <c r="O430" t="s">
        <v>1162</v>
      </c>
      <c r="Q430">
        <v>2</v>
      </c>
      <c r="R430" t="s">
        <v>1166</v>
      </c>
    </row>
    <row r="431" spans="1:18" x14ac:dyDescent="0.3">
      <c r="A431" s="2">
        <v>45753</v>
      </c>
      <c r="B431" t="s">
        <v>446</v>
      </c>
      <c r="C431" t="s">
        <v>1127</v>
      </c>
      <c r="D431" t="s">
        <v>1134</v>
      </c>
      <c r="E431" t="s">
        <v>1138</v>
      </c>
      <c r="F431" t="s">
        <v>1149</v>
      </c>
      <c r="G431" t="s">
        <v>1153</v>
      </c>
      <c r="H431">
        <v>5</v>
      </c>
      <c r="I431">
        <v>43067</v>
      </c>
      <c r="J431">
        <v>5</v>
      </c>
      <c r="K431">
        <v>40913.65</v>
      </c>
      <c r="L431">
        <v>204568.25</v>
      </c>
      <c r="M431">
        <v>1500</v>
      </c>
      <c r="N431" t="s">
        <v>1160</v>
      </c>
      <c r="O431" t="s">
        <v>1163</v>
      </c>
      <c r="Q431">
        <v>3</v>
      </c>
      <c r="R431" t="s">
        <v>1170</v>
      </c>
    </row>
    <row r="432" spans="1:18" x14ac:dyDescent="0.3">
      <c r="A432" s="2">
        <v>45665</v>
      </c>
      <c r="B432" t="s">
        <v>447</v>
      </c>
      <c r="C432" t="s">
        <v>1132</v>
      </c>
      <c r="D432" t="s">
        <v>1134</v>
      </c>
      <c r="E432" t="s">
        <v>1148</v>
      </c>
      <c r="F432" t="s">
        <v>1149</v>
      </c>
      <c r="G432" t="s">
        <v>1152</v>
      </c>
      <c r="H432">
        <v>5</v>
      </c>
      <c r="I432">
        <v>32938</v>
      </c>
      <c r="J432">
        <v>15</v>
      </c>
      <c r="K432">
        <v>27997.3</v>
      </c>
      <c r="L432">
        <v>139986.5</v>
      </c>
      <c r="M432">
        <v>1000</v>
      </c>
      <c r="N432" t="s">
        <v>1159</v>
      </c>
      <c r="O432" t="s">
        <v>1164</v>
      </c>
      <c r="P432" s="2">
        <v>45675</v>
      </c>
      <c r="Q432">
        <v>4</v>
      </c>
    </row>
    <row r="433" spans="1:18" x14ac:dyDescent="0.3">
      <c r="A433" s="2">
        <v>45776</v>
      </c>
      <c r="B433" t="s">
        <v>448</v>
      </c>
      <c r="C433" t="s">
        <v>1123</v>
      </c>
      <c r="D433" t="s">
        <v>1135</v>
      </c>
      <c r="E433" t="s">
        <v>1148</v>
      </c>
      <c r="F433" t="s">
        <v>1149</v>
      </c>
      <c r="G433" t="s">
        <v>1152</v>
      </c>
      <c r="H433">
        <v>5</v>
      </c>
      <c r="I433">
        <v>41140</v>
      </c>
      <c r="J433">
        <v>5</v>
      </c>
      <c r="K433">
        <v>39083</v>
      </c>
      <c r="L433">
        <v>195415</v>
      </c>
      <c r="M433">
        <v>1000</v>
      </c>
      <c r="N433" t="s">
        <v>1159</v>
      </c>
      <c r="O433" t="s">
        <v>1164</v>
      </c>
      <c r="P433" s="2">
        <v>45786</v>
      </c>
      <c r="R433" t="s">
        <v>1167</v>
      </c>
    </row>
    <row r="434" spans="1:18" x14ac:dyDescent="0.3">
      <c r="A434" s="2">
        <v>45740</v>
      </c>
      <c r="B434" t="s">
        <v>449</v>
      </c>
      <c r="C434" t="s">
        <v>1119</v>
      </c>
      <c r="D434" t="s">
        <v>1134</v>
      </c>
      <c r="E434" t="s">
        <v>1148</v>
      </c>
      <c r="F434" t="s">
        <v>1149</v>
      </c>
      <c r="G434" t="s">
        <v>1152</v>
      </c>
      <c r="H434">
        <v>2</v>
      </c>
      <c r="I434">
        <v>63059</v>
      </c>
      <c r="J434">
        <v>5</v>
      </c>
      <c r="K434">
        <v>59906.05</v>
      </c>
      <c r="L434">
        <v>119812.1</v>
      </c>
      <c r="M434">
        <v>2000</v>
      </c>
      <c r="N434" t="s">
        <v>1159</v>
      </c>
      <c r="O434" t="s">
        <v>1164</v>
      </c>
      <c r="P434" s="2">
        <v>45745</v>
      </c>
      <c r="Q434">
        <v>5</v>
      </c>
      <c r="R434" t="s">
        <v>1170</v>
      </c>
    </row>
    <row r="435" spans="1:18" x14ac:dyDescent="0.3">
      <c r="A435" s="2">
        <v>45814</v>
      </c>
      <c r="B435" t="s">
        <v>450</v>
      </c>
      <c r="C435" t="s">
        <v>1120</v>
      </c>
      <c r="D435" t="s">
        <v>1135</v>
      </c>
      <c r="E435" t="s">
        <v>1140</v>
      </c>
      <c r="F435" t="s">
        <v>1150</v>
      </c>
      <c r="G435" t="s">
        <v>1154</v>
      </c>
      <c r="H435">
        <v>5</v>
      </c>
      <c r="I435">
        <v>18820</v>
      </c>
      <c r="J435">
        <v>0</v>
      </c>
      <c r="K435">
        <v>18820</v>
      </c>
      <c r="L435">
        <v>94100</v>
      </c>
      <c r="M435">
        <v>1000</v>
      </c>
      <c r="N435" t="s">
        <v>1160</v>
      </c>
      <c r="O435" t="s">
        <v>1164</v>
      </c>
      <c r="P435" s="2">
        <v>45828</v>
      </c>
      <c r="Q435" t="s">
        <v>1165</v>
      </c>
      <c r="R435" t="s">
        <v>1170</v>
      </c>
    </row>
    <row r="436" spans="1:18" x14ac:dyDescent="0.3">
      <c r="A436" s="2">
        <v>45745</v>
      </c>
      <c r="B436" t="s">
        <v>451</v>
      </c>
      <c r="C436" t="s">
        <v>1131</v>
      </c>
      <c r="D436" t="s">
        <v>1136</v>
      </c>
      <c r="E436" t="s">
        <v>1146</v>
      </c>
      <c r="F436" t="s">
        <v>1151</v>
      </c>
      <c r="G436" t="s">
        <v>1155</v>
      </c>
      <c r="H436">
        <v>5</v>
      </c>
      <c r="I436">
        <v>42251</v>
      </c>
      <c r="J436">
        <v>10</v>
      </c>
      <c r="K436">
        <v>38025.9</v>
      </c>
      <c r="L436">
        <v>190129.5</v>
      </c>
      <c r="M436">
        <v>2000</v>
      </c>
      <c r="N436" t="s">
        <v>1160</v>
      </c>
      <c r="O436" t="s">
        <v>1163</v>
      </c>
      <c r="Q436">
        <v>4</v>
      </c>
      <c r="R436" t="s">
        <v>1166</v>
      </c>
    </row>
    <row r="437" spans="1:18" x14ac:dyDescent="0.3">
      <c r="A437" s="2">
        <v>45799</v>
      </c>
      <c r="B437" t="s">
        <v>452</v>
      </c>
      <c r="C437" t="s">
        <v>1129</v>
      </c>
      <c r="D437" t="s">
        <v>1133</v>
      </c>
      <c r="E437" t="s">
        <v>1141</v>
      </c>
      <c r="F437" t="s">
        <v>1151</v>
      </c>
      <c r="G437" t="s">
        <v>1155</v>
      </c>
      <c r="H437">
        <v>2</v>
      </c>
      <c r="I437">
        <v>57138</v>
      </c>
      <c r="J437">
        <v>5</v>
      </c>
      <c r="K437">
        <v>54281.1</v>
      </c>
      <c r="L437">
        <v>108562.2</v>
      </c>
      <c r="M437">
        <v>1000</v>
      </c>
      <c r="N437" t="s">
        <v>1160</v>
      </c>
      <c r="O437" t="s">
        <v>1162</v>
      </c>
      <c r="Q437">
        <v>3</v>
      </c>
    </row>
    <row r="438" spans="1:18" x14ac:dyDescent="0.3">
      <c r="A438" s="2">
        <v>45683</v>
      </c>
      <c r="B438" t="s">
        <v>453</v>
      </c>
      <c r="C438" t="s">
        <v>1128</v>
      </c>
      <c r="D438" t="s">
        <v>1135</v>
      </c>
      <c r="E438" t="s">
        <v>1141</v>
      </c>
      <c r="F438" t="s">
        <v>1151</v>
      </c>
      <c r="G438" t="s">
        <v>1155</v>
      </c>
      <c r="H438">
        <v>2</v>
      </c>
      <c r="I438">
        <v>51465</v>
      </c>
      <c r="J438">
        <v>20</v>
      </c>
      <c r="K438">
        <v>41172</v>
      </c>
      <c r="L438">
        <v>82344</v>
      </c>
      <c r="M438">
        <v>1000</v>
      </c>
      <c r="N438" t="s">
        <v>1160</v>
      </c>
      <c r="O438" t="s">
        <v>1162</v>
      </c>
      <c r="Q438">
        <v>5</v>
      </c>
      <c r="R438" t="s">
        <v>1166</v>
      </c>
    </row>
    <row r="439" spans="1:18" x14ac:dyDescent="0.3">
      <c r="A439" s="2">
        <v>45811</v>
      </c>
      <c r="B439" t="s">
        <v>454</v>
      </c>
      <c r="C439" t="s">
        <v>1130</v>
      </c>
      <c r="D439" t="s">
        <v>1136</v>
      </c>
      <c r="E439" t="s">
        <v>1148</v>
      </c>
      <c r="F439" t="s">
        <v>1149</v>
      </c>
      <c r="G439" t="s">
        <v>1152</v>
      </c>
      <c r="H439">
        <v>4</v>
      </c>
      <c r="I439">
        <v>33963</v>
      </c>
      <c r="J439">
        <v>0</v>
      </c>
      <c r="K439">
        <v>33963</v>
      </c>
      <c r="L439">
        <v>135852</v>
      </c>
      <c r="M439">
        <v>2000</v>
      </c>
      <c r="N439" t="s">
        <v>1159</v>
      </c>
      <c r="O439" t="s">
        <v>1163</v>
      </c>
      <c r="R439" t="s">
        <v>1169</v>
      </c>
    </row>
    <row r="440" spans="1:18" x14ac:dyDescent="0.3">
      <c r="A440" s="2">
        <v>45755</v>
      </c>
      <c r="B440" t="s">
        <v>455</v>
      </c>
      <c r="C440" t="s">
        <v>1121</v>
      </c>
      <c r="D440" t="s">
        <v>1136</v>
      </c>
      <c r="E440" t="s">
        <v>1140</v>
      </c>
      <c r="F440" t="s">
        <v>1150</v>
      </c>
      <c r="G440" t="s">
        <v>1154</v>
      </c>
      <c r="H440">
        <v>5</v>
      </c>
      <c r="I440">
        <v>24185</v>
      </c>
      <c r="J440">
        <v>0</v>
      </c>
      <c r="K440">
        <v>24185</v>
      </c>
      <c r="L440">
        <v>120925</v>
      </c>
      <c r="M440">
        <v>1500</v>
      </c>
      <c r="N440" t="s">
        <v>1161</v>
      </c>
      <c r="O440" t="s">
        <v>1162</v>
      </c>
      <c r="Q440">
        <v>5</v>
      </c>
      <c r="R440" t="s">
        <v>1166</v>
      </c>
    </row>
    <row r="441" spans="1:18" x14ac:dyDescent="0.3">
      <c r="A441" s="2">
        <v>45756</v>
      </c>
      <c r="B441" t="s">
        <v>456</v>
      </c>
      <c r="C441" t="s">
        <v>1121</v>
      </c>
      <c r="D441" t="s">
        <v>1136</v>
      </c>
      <c r="E441" t="s">
        <v>1141</v>
      </c>
      <c r="F441" t="s">
        <v>1151</v>
      </c>
      <c r="G441" t="s">
        <v>1155</v>
      </c>
      <c r="H441">
        <v>3</v>
      </c>
      <c r="I441">
        <v>9845</v>
      </c>
      <c r="J441">
        <v>0</v>
      </c>
      <c r="K441">
        <v>9845</v>
      </c>
      <c r="L441">
        <v>29535</v>
      </c>
      <c r="M441">
        <v>2000</v>
      </c>
      <c r="N441" t="s">
        <v>1159</v>
      </c>
      <c r="O441" t="s">
        <v>1162</v>
      </c>
      <c r="Q441">
        <v>5</v>
      </c>
      <c r="R441" t="s">
        <v>1169</v>
      </c>
    </row>
    <row r="442" spans="1:18" x14ac:dyDescent="0.3">
      <c r="A442" s="2">
        <v>45679</v>
      </c>
      <c r="B442" t="s">
        <v>457</v>
      </c>
      <c r="C442" t="s">
        <v>1123</v>
      </c>
      <c r="D442" t="s">
        <v>1135</v>
      </c>
      <c r="E442" t="s">
        <v>1148</v>
      </c>
      <c r="F442" t="s">
        <v>1149</v>
      </c>
      <c r="G442" t="s">
        <v>1152</v>
      </c>
      <c r="H442">
        <v>2</v>
      </c>
      <c r="I442">
        <v>68667</v>
      </c>
      <c r="J442">
        <v>20</v>
      </c>
      <c r="K442">
        <v>54933.599999999999</v>
      </c>
      <c r="L442">
        <v>109867.2</v>
      </c>
      <c r="M442">
        <v>1500</v>
      </c>
      <c r="N442" t="s">
        <v>1161</v>
      </c>
      <c r="O442" t="s">
        <v>1164</v>
      </c>
      <c r="P442" s="2">
        <v>45685</v>
      </c>
      <c r="R442" t="s">
        <v>1168</v>
      </c>
    </row>
    <row r="443" spans="1:18" x14ac:dyDescent="0.3">
      <c r="A443" s="2">
        <v>45682</v>
      </c>
      <c r="B443" t="s">
        <v>458</v>
      </c>
      <c r="C443" t="s">
        <v>1132</v>
      </c>
      <c r="D443" t="s">
        <v>1134</v>
      </c>
      <c r="E443" t="s">
        <v>1138</v>
      </c>
      <c r="F443" t="s">
        <v>1149</v>
      </c>
      <c r="G443" t="s">
        <v>1153</v>
      </c>
      <c r="H443">
        <v>1</v>
      </c>
      <c r="I443">
        <v>53253</v>
      </c>
      <c r="J443">
        <v>10</v>
      </c>
      <c r="K443">
        <v>47927.7</v>
      </c>
      <c r="L443">
        <v>47927.7</v>
      </c>
      <c r="M443">
        <v>1000</v>
      </c>
      <c r="N443" t="s">
        <v>1161</v>
      </c>
      <c r="O443" t="s">
        <v>1162</v>
      </c>
      <c r="Q443">
        <v>2</v>
      </c>
      <c r="R443" t="s">
        <v>1170</v>
      </c>
    </row>
    <row r="444" spans="1:18" x14ac:dyDescent="0.3">
      <c r="A444" s="2">
        <v>45689</v>
      </c>
      <c r="B444" t="s">
        <v>459</v>
      </c>
      <c r="C444" t="s">
        <v>1128</v>
      </c>
      <c r="D444" t="s">
        <v>1135</v>
      </c>
      <c r="E444" t="s">
        <v>1144</v>
      </c>
      <c r="F444" t="s">
        <v>1151</v>
      </c>
      <c r="G444" t="s">
        <v>1157</v>
      </c>
      <c r="H444">
        <v>1</v>
      </c>
      <c r="I444">
        <v>69589</v>
      </c>
      <c r="J444">
        <v>0</v>
      </c>
      <c r="K444">
        <v>69589</v>
      </c>
      <c r="L444">
        <v>69589</v>
      </c>
      <c r="M444">
        <v>1000</v>
      </c>
      <c r="N444" t="s">
        <v>1161</v>
      </c>
      <c r="O444" t="s">
        <v>1162</v>
      </c>
      <c r="Q444">
        <v>3</v>
      </c>
      <c r="R444" t="s">
        <v>1168</v>
      </c>
    </row>
    <row r="445" spans="1:18" x14ac:dyDescent="0.3">
      <c r="A445" s="2">
        <v>45798</v>
      </c>
      <c r="B445" t="s">
        <v>460</v>
      </c>
      <c r="C445" t="s">
        <v>1122</v>
      </c>
      <c r="D445" t="s">
        <v>1136</v>
      </c>
      <c r="E445" t="s">
        <v>1143</v>
      </c>
      <c r="F445" t="s">
        <v>1151</v>
      </c>
      <c r="G445" t="s">
        <v>1157</v>
      </c>
      <c r="H445">
        <v>5</v>
      </c>
      <c r="I445">
        <v>7660</v>
      </c>
      <c r="J445">
        <v>15</v>
      </c>
      <c r="K445">
        <v>6511</v>
      </c>
      <c r="L445">
        <v>32555</v>
      </c>
      <c r="M445">
        <v>1500</v>
      </c>
      <c r="N445" t="s">
        <v>1161</v>
      </c>
      <c r="O445" t="s">
        <v>1163</v>
      </c>
      <c r="Q445">
        <v>3</v>
      </c>
      <c r="R445" t="s">
        <v>1167</v>
      </c>
    </row>
    <row r="446" spans="1:18" x14ac:dyDescent="0.3">
      <c r="A446" s="2">
        <v>45801</v>
      </c>
      <c r="B446" t="s">
        <v>461</v>
      </c>
      <c r="C446" t="s">
        <v>1120</v>
      </c>
      <c r="D446" t="s">
        <v>1135</v>
      </c>
      <c r="E446" t="s">
        <v>1137</v>
      </c>
      <c r="F446" t="s">
        <v>1149</v>
      </c>
      <c r="G446" t="s">
        <v>1152</v>
      </c>
      <c r="H446">
        <v>3</v>
      </c>
      <c r="I446">
        <v>26279</v>
      </c>
      <c r="J446">
        <v>15</v>
      </c>
      <c r="K446">
        <v>22337.15</v>
      </c>
      <c r="L446">
        <v>67011.450000000012</v>
      </c>
      <c r="M446">
        <v>1500</v>
      </c>
      <c r="N446" t="s">
        <v>1161</v>
      </c>
      <c r="O446" t="s">
        <v>1164</v>
      </c>
      <c r="P446" s="2">
        <v>45803</v>
      </c>
      <c r="Q446">
        <v>2</v>
      </c>
    </row>
    <row r="447" spans="1:18" x14ac:dyDescent="0.3">
      <c r="A447" s="2">
        <v>45675</v>
      </c>
      <c r="B447" t="s">
        <v>462</v>
      </c>
      <c r="C447" t="s">
        <v>1121</v>
      </c>
      <c r="D447" t="s">
        <v>1136</v>
      </c>
      <c r="E447" t="s">
        <v>1142</v>
      </c>
      <c r="F447" t="s">
        <v>1150</v>
      </c>
      <c r="G447" t="s">
        <v>1156</v>
      </c>
      <c r="H447">
        <v>2</v>
      </c>
      <c r="I447">
        <v>44316</v>
      </c>
      <c r="J447">
        <v>0</v>
      </c>
      <c r="K447">
        <v>44316</v>
      </c>
      <c r="L447">
        <v>88632</v>
      </c>
      <c r="M447">
        <v>2000</v>
      </c>
      <c r="N447" t="s">
        <v>1159</v>
      </c>
      <c r="O447" t="s">
        <v>1164</v>
      </c>
      <c r="P447" s="2">
        <v>45677</v>
      </c>
      <c r="Q447">
        <v>4</v>
      </c>
      <c r="R447" t="s">
        <v>1167</v>
      </c>
    </row>
    <row r="448" spans="1:18" x14ac:dyDescent="0.3">
      <c r="A448" s="2">
        <v>45804</v>
      </c>
      <c r="B448" t="s">
        <v>463</v>
      </c>
      <c r="C448" t="s">
        <v>1132</v>
      </c>
      <c r="D448" t="s">
        <v>1134</v>
      </c>
      <c r="E448" t="s">
        <v>1138</v>
      </c>
      <c r="F448" t="s">
        <v>1149</v>
      </c>
      <c r="G448" t="s">
        <v>1153</v>
      </c>
      <c r="H448">
        <v>5</v>
      </c>
      <c r="I448">
        <v>20910</v>
      </c>
      <c r="J448">
        <v>0</v>
      </c>
      <c r="K448">
        <v>20910</v>
      </c>
      <c r="L448">
        <v>104550</v>
      </c>
      <c r="M448">
        <v>2000</v>
      </c>
      <c r="N448" t="s">
        <v>1159</v>
      </c>
      <c r="O448" t="s">
        <v>1164</v>
      </c>
      <c r="P448" s="2">
        <v>45815</v>
      </c>
      <c r="Q448">
        <v>4</v>
      </c>
      <c r="R448" t="s">
        <v>1168</v>
      </c>
    </row>
    <row r="449" spans="1:18" x14ac:dyDescent="0.3">
      <c r="A449" s="2">
        <v>45671</v>
      </c>
      <c r="B449" t="s">
        <v>464</v>
      </c>
      <c r="C449" t="s">
        <v>1125</v>
      </c>
      <c r="D449" t="s">
        <v>1133</v>
      </c>
      <c r="E449" t="s">
        <v>1137</v>
      </c>
      <c r="F449" t="s">
        <v>1149</v>
      </c>
      <c r="G449" t="s">
        <v>1152</v>
      </c>
      <c r="H449">
        <v>1</v>
      </c>
      <c r="I449">
        <v>48608</v>
      </c>
      <c r="J449">
        <v>5</v>
      </c>
      <c r="K449">
        <v>46177.599999999999</v>
      </c>
      <c r="L449">
        <v>46177.599999999999</v>
      </c>
      <c r="M449">
        <v>1000</v>
      </c>
      <c r="N449" t="s">
        <v>1160</v>
      </c>
      <c r="O449" t="s">
        <v>1163</v>
      </c>
      <c r="Q449" t="s">
        <v>1165</v>
      </c>
    </row>
    <row r="450" spans="1:18" x14ac:dyDescent="0.3">
      <c r="A450" s="2">
        <v>45730</v>
      </c>
      <c r="B450" t="s">
        <v>465</v>
      </c>
      <c r="C450" t="s">
        <v>1124</v>
      </c>
      <c r="D450" t="s">
        <v>1135</v>
      </c>
      <c r="E450" t="s">
        <v>1146</v>
      </c>
      <c r="F450" t="s">
        <v>1151</v>
      </c>
      <c r="G450" t="s">
        <v>1155</v>
      </c>
      <c r="H450">
        <v>5</v>
      </c>
      <c r="I450">
        <v>76390</v>
      </c>
      <c r="J450">
        <v>0</v>
      </c>
      <c r="K450">
        <v>76390</v>
      </c>
      <c r="L450">
        <v>381950</v>
      </c>
      <c r="M450">
        <v>1000</v>
      </c>
      <c r="N450" t="s">
        <v>1159</v>
      </c>
      <c r="O450" t="s">
        <v>1164</v>
      </c>
      <c r="P450" s="2">
        <v>45737</v>
      </c>
      <c r="Q450">
        <v>3</v>
      </c>
      <c r="R450" t="s">
        <v>1170</v>
      </c>
    </row>
    <row r="451" spans="1:18" x14ac:dyDescent="0.3">
      <c r="A451" s="2">
        <v>45729</v>
      </c>
      <c r="B451" t="s">
        <v>466</v>
      </c>
      <c r="C451" t="s">
        <v>1130</v>
      </c>
      <c r="D451" t="s">
        <v>1136</v>
      </c>
      <c r="E451" t="s">
        <v>1139</v>
      </c>
      <c r="F451" t="s">
        <v>1150</v>
      </c>
      <c r="G451" t="s">
        <v>1154</v>
      </c>
      <c r="H451">
        <v>1</v>
      </c>
      <c r="I451">
        <v>32733</v>
      </c>
      <c r="J451" t="s">
        <v>1158</v>
      </c>
      <c r="K451">
        <v>26186.400000000001</v>
      </c>
      <c r="L451">
        <v>26186.400000000001</v>
      </c>
      <c r="M451">
        <v>1500</v>
      </c>
      <c r="N451" t="s">
        <v>1161</v>
      </c>
      <c r="O451" t="s">
        <v>1163</v>
      </c>
      <c r="Q451">
        <v>3</v>
      </c>
      <c r="R451" t="s">
        <v>1167</v>
      </c>
    </row>
    <row r="452" spans="1:18" x14ac:dyDescent="0.3">
      <c r="A452" s="2">
        <v>45770</v>
      </c>
      <c r="B452" t="s">
        <v>467</v>
      </c>
      <c r="C452" t="s">
        <v>1132</v>
      </c>
      <c r="D452" t="s">
        <v>1134</v>
      </c>
      <c r="E452" t="s">
        <v>1142</v>
      </c>
      <c r="F452" t="s">
        <v>1150</v>
      </c>
      <c r="G452" t="s">
        <v>1156</v>
      </c>
      <c r="H452">
        <v>1</v>
      </c>
      <c r="I452">
        <v>75004</v>
      </c>
      <c r="J452">
        <v>10</v>
      </c>
      <c r="K452">
        <v>67503.600000000006</v>
      </c>
      <c r="L452">
        <v>67503.600000000006</v>
      </c>
      <c r="M452">
        <v>1000</v>
      </c>
      <c r="N452" t="s">
        <v>1159</v>
      </c>
      <c r="O452" t="s">
        <v>1164</v>
      </c>
      <c r="P452" s="2">
        <v>45772</v>
      </c>
      <c r="Q452">
        <v>3</v>
      </c>
    </row>
    <row r="453" spans="1:18" x14ac:dyDescent="0.3">
      <c r="A453" s="2">
        <v>45728</v>
      </c>
      <c r="B453" t="s">
        <v>468</v>
      </c>
      <c r="C453" t="s">
        <v>1121</v>
      </c>
      <c r="D453" t="s">
        <v>1136</v>
      </c>
      <c r="E453" t="s">
        <v>1139</v>
      </c>
      <c r="F453" t="s">
        <v>1150</v>
      </c>
      <c r="G453" t="s">
        <v>1154</v>
      </c>
      <c r="H453">
        <v>4</v>
      </c>
      <c r="I453">
        <v>70713</v>
      </c>
      <c r="J453">
        <v>5</v>
      </c>
      <c r="K453">
        <v>67177.350000000006</v>
      </c>
      <c r="L453">
        <v>268709.40000000002</v>
      </c>
      <c r="M453">
        <v>1500</v>
      </c>
      <c r="N453" t="s">
        <v>1160</v>
      </c>
      <c r="O453" t="s">
        <v>1162</v>
      </c>
      <c r="Q453">
        <v>2</v>
      </c>
      <c r="R453" t="s">
        <v>1170</v>
      </c>
    </row>
    <row r="454" spans="1:18" x14ac:dyDescent="0.3">
      <c r="A454" s="2">
        <v>45671</v>
      </c>
      <c r="B454" t="s">
        <v>469</v>
      </c>
      <c r="C454" t="s">
        <v>1125</v>
      </c>
      <c r="D454" t="s">
        <v>1133</v>
      </c>
      <c r="E454" t="s">
        <v>1147</v>
      </c>
      <c r="F454" t="s">
        <v>1150</v>
      </c>
      <c r="G454" t="s">
        <v>1156</v>
      </c>
      <c r="H454">
        <v>5</v>
      </c>
      <c r="I454">
        <v>53147</v>
      </c>
      <c r="J454">
        <v>15</v>
      </c>
      <c r="K454">
        <v>45174.95</v>
      </c>
      <c r="L454">
        <v>225874.75</v>
      </c>
      <c r="M454">
        <v>2000</v>
      </c>
      <c r="N454" t="s">
        <v>1161</v>
      </c>
      <c r="O454" t="s">
        <v>1162</v>
      </c>
      <c r="Q454">
        <v>1</v>
      </c>
      <c r="R454" t="s">
        <v>1168</v>
      </c>
    </row>
    <row r="455" spans="1:18" x14ac:dyDescent="0.3">
      <c r="A455" s="2">
        <v>45668</v>
      </c>
      <c r="B455" t="s">
        <v>470</v>
      </c>
      <c r="C455" t="s">
        <v>1124</v>
      </c>
      <c r="D455" t="s">
        <v>1135</v>
      </c>
      <c r="E455" t="s">
        <v>1147</v>
      </c>
      <c r="F455" t="s">
        <v>1150</v>
      </c>
      <c r="G455" t="s">
        <v>1156</v>
      </c>
      <c r="H455">
        <v>3</v>
      </c>
      <c r="I455">
        <v>35489</v>
      </c>
      <c r="J455">
        <v>20</v>
      </c>
      <c r="K455">
        <v>28391.200000000001</v>
      </c>
      <c r="L455">
        <v>85173.6</v>
      </c>
      <c r="M455">
        <v>1000</v>
      </c>
      <c r="N455" t="s">
        <v>1160</v>
      </c>
      <c r="O455" t="s">
        <v>1164</v>
      </c>
      <c r="P455" s="2">
        <v>45677</v>
      </c>
      <c r="Q455">
        <v>4</v>
      </c>
    </row>
    <row r="456" spans="1:18" x14ac:dyDescent="0.3">
      <c r="A456" s="2">
        <v>45836</v>
      </c>
      <c r="B456" t="s">
        <v>471</v>
      </c>
      <c r="C456" t="s">
        <v>1131</v>
      </c>
      <c r="D456" t="s">
        <v>1136</v>
      </c>
      <c r="E456" t="s">
        <v>1139</v>
      </c>
      <c r="F456" t="s">
        <v>1150</v>
      </c>
      <c r="G456" t="s">
        <v>1154</v>
      </c>
      <c r="H456">
        <v>2</v>
      </c>
      <c r="I456">
        <v>4560</v>
      </c>
      <c r="J456">
        <v>20</v>
      </c>
      <c r="K456">
        <v>3648</v>
      </c>
      <c r="L456">
        <v>7296</v>
      </c>
      <c r="M456">
        <v>1500</v>
      </c>
      <c r="N456" t="s">
        <v>1159</v>
      </c>
      <c r="O456" t="s">
        <v>1163</v>
      </c>
      <c r="Q456">
        <v>4</v>
      </c>
      <c r="R456" t="s">
        <v>1169</v>
      </c>
    </row>
    <row r="457" spans="1:18" x14ac:dyDescent="0.3">
      <c r="A457" s="2">
        <v>45695</v>
      </c>
      <c r="B457" t="s">
        <v>472</v>
      </c>
      <c r="C457" t="s">
        <v>1118</v>
      </c>
      <c r="D457" t="s">
        <v>1134</v>
      </c>
      <c r="E457" t="s">
        <v>1145</v>
      </c>
      <c r="F457" t="s">
        <v>1149</v>
      </c>
      <c r="G457" t="s">
        <v>1153</v>
      </c>
      <c r="H457">
        <v>3</v>
      </c>
      <c r="I457">
        <v>51134</v>
      </c>
      <c r="J457">
        <v>5</v>
      </c>
      <c r="K457">
        <v>48577.3</v>
      </c>
      <c r="L457">
        <v>145731.9</v>
      </c>
      <c r="M457">
        <v>1000</v>
      </c>
      <c r="N457" t="s">
        <v>1160</v>
      </c>
      <c r="O457" t="s">
        <v>1162</v>
      </c>
      <c r="Q457">
        <v>2</v>
      </c>
      <c r="R457" t="s">
        <v>1170</v>
      </c>
    </row>
    <row r="458" spans="1:18" x14ac:dyDescent="0.3">
      <c r="A458" s="2">
        <v>45826</v>
      </c>
      <c r="B458" t="s">
        <v>473</v>
      </c>
      <c r="C458" t="s">
        <v>1122</v>
      </c>
      <c r="D458" t="s">
        <v>1136</v>
      </c>
      <c r="E458" t="s">
        <v>1147</v>
      </c>
      <c r="F458" t="s">
        <v>1150</v>
      </c>
      <c r="G458" t="s">
        <v>1156</v>
      </c>
      <c r="H458">
        <v>4</v>
      </c>
      <c r="I458">
        <v>11016</v>
      </c>
      <c r="J458">
        <v>0</v>
      </c>
      <c r="K458">
        <v>11016</v>
      </c>
      <c r="L458">
        <v>44064</v>
      </c>
      <c r="M458">
        <v>1500</v>
      </c>
      <c r="N458" t="s">
        <v>1159</v>
      </c>
      <c r="O458" t="s">
        <v>1162</v>
      </c>
      <c r="Q458">
        <v>1</v>
      </c>
      <c r="R458" t="s">
        <v>1168</v>
      </c>
    </row>
    <row r="459" spans="1:18" x14ac:dyDescent="0.3">
      <c r="A459" s="2">
        <v>45826</v>
      </c>
      <c r="B459" t="s">
        <v>474</v>
      </c>
      <c r="C459" t="s">
        <v>1117</v>
      </c>
      <c r="D459" t="s">
        <v>1133</v>
      </c>
      <c r="E459" t="s">
        <v>1137</v>
      </c>
      <c r="F459" t="s">
        <v>1149</v>
      </c>
      <c r="G459" t="s">
        <v>1152</v>
      </c>
      <c r="H459">
        <v>3</v>
      </c>
      <c r="I459">
        <v>78228</v>
      </c>
      <c r="J459">
        <v>10</v>
      </c>
      <c r="K459">
        <v>70405.2</v>
      </c>
      <c r="L459">
        <v>211215.6</v>
      </c>
      <c r="M459">
        <v>1500</v>
      </c>
      <c r="N459" t="s">
        <v>1159</v>
      </c>
      <c r="O459" t="s">
        <v>1164</v>
      </c>
      <c r="P459" s="2">
        <v>45833</v>
      </c>
      <c r="Q459">
        <v>1</v>
      </c>
      <c r="R459" t="s">
        <v>1170</v>
      </c>
    </row>
    <row r="460" spans="1:18" x14ac:dyDescent="0.3">
      <c r="A460" s="2">
        <v>45714</v>
      </c>
      <c r="B460" t="s">
        <v>475</v>
      </c>
      <c r="C460" t="s">
        <v>1121</v>
      </c>
      <c r="D460" t="s">
        <v>1136</v>
      </c>
      <c r="E460" t="s">
        <v>1144</v>
      </c>
      <c r="F460" t="s">
        <v>1151</v>
      </c>
      <c r="G460" t="s">
        <v>1157</v>
      </c>
      <c r="H460">
        <v>3</v>
      </c>
      <c r="I460">
        <v>9041</v>
      </c>
      <c r="J460">
        <v>20</v>
      </c>
      <c r="K460">
        <v>7232.8</v>
      </c>
      <c r="L460">
        <v>21698.400000000001</v>
      </c>
      <c r="M460">
        <v>1500</v>
      </c>
      <c r="N460" t="s">
        <v>1160</v>
      </c>
      <c r="O460" t="s">
        <v>1163</v>
      </c>
      <c r="Q460">
        <v>3</v>
      </c>
      <c r="R460" t="s">
        <v>1169</v>
      </c>
    </row>
    <row r="461" spans="1:18" x14ac:dyDescent="0.3">
      <c r="A461" s="2">
        <v>45814</v>
      </c>
      <c r="B461" t="s">
        <v>476</v>
      </c>
      <c r="C461" t="s">
        <v>1119</v>
      </c>
      <c r="D461" t="s">
        <v>1134</v>
      </c>
      <c r="E461" t="s">
        <v>1143</v>
      </c>
      <c r="F461" t="s">
        <v>1151</v>
      </c>
      <c r="G461" t="s">
        <v>1157</v>
      </c>
      <c r="H461">
        <v>1</v>
      </c>
      <c r="I461">
        <v>2660</v>
      </c>
      <c r="J461">
        <v>0</v>
      </c>
      <c r="K461">
        <v>2660</v>
      </c>
      <c r="L461">
        <v>2660</v>
      </c>
      <c r="M461">
        <v>2000</v>
      </c>
      <c r="N461" t="s">
        <v>1159</v>
      </c>
      <c r="O461" t="s">
        <v>1163</v>
      </c>
      <c r="Q461">
        <v>4</v>
      </c>
    </row>
    <row r="462" spans="1:18" x14ac:dyDescent="0.3">
      <c r="A462" s="2">
        <v>45810</v>
      </c>
      <c r="B462" t="s">
        <v>477</v>
      </c>
      <c r="C462" t="s">
        <v>1131</v>
      </c>
      <c r="D462" t="s">
        <v>1136</v>
      </c>
      <c r="E462" t="s">
        <v>1143</v>
      </c>
      <c r="F462" t="s">
        <v>1151</v>
      </c>
      <c r="G462" t="s">
        <v>1157</v>
      </c>
      <c r="H462">
        <v>1</v>
      </c>
      <c r="I462">
        <v>32404</v>
      </c>
      <c r="J462">
        <v>5</v>
      </c>
      <c r="K462">
        <v>30783.8</v>
      </c>
      <c r="L462">
        <v>30783.8</v>
      </c>
      <c r="M462">
        <v>1000</v>
      </c>
      <c r="N462" t="s">
        <v>1161</v>
      </c>
      <c r="O462" t="s">
        <v>1162</v>
      </c>
      <c r="Q462">
        <v>1</v>
      </c>
      <c r="R462" t="s">
        <v>1168</v>
      </c>
    </row>
    <row r="463" spans="1:18" x14ac:dyDescent="0.3">
      <c r="A463" s="2">
        <v>45807</v>
      </c>
      <c r="B463" t="s">
        <v>478</v>
      </c>
      <c r="C463" t="s">
        <v>1118</v>
      </c>
      <c r="D463" t="s">
        <v>1134</v>
      </c>
      <c r="E463" t="s">
        <v>1143</v>
      </c>
      <c r="F463" t="s">
        <v>1151</v>
      </c>
      <c r="G463" t="s">
        <v>1157</v>
      </c>
      <c r="H463">
        <v>3</v>
      </c>
      <c r="I463">
        <v>28761</v>
      </c>
      <c r="J463">
        <v>10</v>
      </c>
      <c r="K463">
        <v>25884.9</v>
      </c>
      <c r="L463">
        <v>77654.700000000012</v>
      </c>
      <c r="M463">
        <v>2000</v>
      </c>
      <c r="N463" t="s">
        <v>1161</v>
      </c>
      <c r="O463" t="s">
        <v>1164</v>
      </c>
      <c r="P463" s="2">
        <v>45819</v>
      </c>
      <c r="Q463">
        <v>5</v>
      </c>
      <c r="R463" t="s">
        <v>1167</v>
      </c>
    </row>
    <row r="464" spans="1:18" x14ac:dyDescent="0.3">
      <c r="A464" s="2">
        <v>45693</v>
      </c>
      <c r="B464" t="s">
        <v>479</v>
      </c>
      <c r="C464" t="s">
        <v>1129</v>
      </c>
      <c r="D464" t="s">
        <v>1133</v>
      </c>
      <c r="E464" t="s">
        <v>1146</v>
      </c>
      <c r="F464" t="s">
        <v>1151</v>
      </c>
      <c r="G464" t="s">
        <v>1155</v>
      </c>
      <c r="H464">
        <v>3</v>
      </c>
      <c r="I464">
        <v>49655</v>
      </c>
      <c r="J464">
        <v>20</v>
      </c>
      <c r="K464">
        <v>39724</v>
      </c>
      <c r="L464">
        <v>119172</v>
      </c>
      <c r="M464">
        <v>2000</v>
      </c>
      <c r="N464" t="s">
        <v>1161</v>
      </c>
      <c r="O464" t="s">
        <v>1164</v>
      </c>
      <c r="P464" s="2">
        <v>45700</v>
      </c>
      <c r="Q464">
        <v>3</v>
      </c>
      <c r="R464" t="s">
        <v>1170</v>
      </c>
    </row>
    <row r="465" spans="1:18" x14ac:dyDescent="0.3">
      <c r="A465" s="2">
        <v>45674</v>
      </c>
      <c r="B465" t="s">
        <v>480</v>
      </c>
      <c r="C465" t="s">
        <v>1127</v>
      </c>
      <c r="D465" t="s">
        <v>1134</v>
      </c>
      <c r="E465" t="s">
        <v>1138</v>
      </c>
      <c r="F465" t="s">
        <v>1149</v>
      </c>
      <c r="G465" t="s">
        <v>1153</v>
      </c>
      <c r="H465">
        <v>4</v>
      </c>
      <c r="I465">
        <v>11992</v>
      </c>
      <c r="J465">
        <v>20</v>
      </c>
      <c r="K465">
        <v>9593.6</v>
      </c>
      <c r="L465">
        <v>38374.400000000001</v>
      </c>
      <c r="M465">
        <v>2000</v>
      </c>
      <c r="N465" t="s">
        <v>1160</v>
      </c>
      <c r="O465" t="s">
        <v>1162</v>
      </c>
      <c r="Q465">
        <v>4</v>
      </c>
      <c r="R465" t="s">
        <v>1170</v>
      </c>
    </row>
    <row r="466" spans="1:18" x14ac:dyDescent="0.3">
      <c r="A466" s="2">
        <v>45832</v>
      </c>
      <c r="B466" t="s">
        <v>481</v>
      </c>
      <c r="C466" t="s">
        <v>1127</v>
      </c>
      <c r="D466" t="s">
        <v>1134</v>
      </c>
      <c r="E466" t="s">
        <v>1144</v>
      </c>
      <c r="F466" t="s">
        <v>1151</v>
      </c>
      <c r="G466" t="s">
        <v>1157</v>
      </c>
      <c r="H466">
        <v>2</v>
      </c>
      <c r="I466">
        <v>64290</v>
      </c>
      <c r="J466">
        <v>0</v>
      </c>
      <c r="K466">
        <v>64290</v>
      </c>
      <c r="L466">
        <v>128580</v>
      </c>
      <c r="M466">
        <v>1000</v>
      </c>
      <c r="N466" t="s">
        <v>1160</v>
      </c>
      <c r="O466" t="s">
        <v>1163</v>
      </c>
      <c r="Q466">
        <v>3</v>
      </c>
      <c r="R466" t="s">
        <v>1167</v>
      </c>
    </row>
    <row r="467" spans="1:18" x14ac:dyDescent="0.3">
      <c r="A467" s="2">
        <v>45785</v>
      </c>
      <c r="B467" t="s">
        <v>482</v>
      </c>
      <c r="C467" t="s">
        <v>1130</v>
      </c>
      <c r="D467" t="s">
        <v>1136</v>
      </c>
      <c r="E467" t="s">
        <v>1139</v>
      </c>
      <c r="F467" t="s">
        <v>1150</v>
      </c>
      <c r="G467" t="s">
        <v>1154</v>
      </c>
      <c r="H467">
        <v>2</v>
      </c>
      <c r="I467">
        <v>17986</v>
      </c>
      <c r="J467">
        <v>5</v>
      </c>
      <c r="K467">
        <v>17086.7</v>
      </c>
      <c r="L467">
        <v>34173.4</v>
      </c>
      <c r="M467">
        <v>2000</v>
      </c>
      <c r="N467" t="s">
        <v>1159</v>
      </c>
      <c r="O467" t="s">
        <v>1164</v>
      </c>
      <c r="P467" s="2">
        <v>45790</v>
      </c>
      <c r="Q467">
        <v>1</v>
      </c>
    </row>
    <row r="468" spans="1:18" x14ac:dyDescent="0.3">
      <c r="A468" s="2">
        <v>45807</v>
      </c>
      <c r="B468" t="s">
        <v>483</v>
      </c>
      <c r="C468" t="s">
        <v>1125</v>
      </c>
      <c r="D468" t="s">
        <v>1133</v>
      </c>
      <c r="E468" t="s">
        <v>1141</v>
      </c>
      <c r="F468" t="s">
        <v>1151</v>
      </c>
      <c r="G468" t="s">
        <v>1155</v>
      </c>
      <c r="H468">
        <v>2</v>
      </c>
      <c r="I468">
        <v>61042</v>
      </c>
      <c r="J468">
        <v>10</v>
      </c>
      <c r="K468">
        <v>54937.8</v>
      </c>
      <c r="L468">
        <v>109875.6</v>
      </c>
      <c r="M468">
        <v>2000</v>
      </c>
      <c r="N468" t="s">
        <v>1160</v>
      </c>
      <c r="O468" t="s">
        <v>1164</v>
      </c>
      <c r="P468" s="2">
        <v>45818</v>
      </c>
      <c r="R468" t="s">
        <v>1167</v>
      </c>
    </row>
    <row r="469" spans="1:18" x14ac:dyDescent="0.3">
      <c r="A469" s="2">
        <v>45822</v>
      </c>
      <c r="B469" t="s">
        <v>484</v>
      </c>
      <c r="C469" t="s">
        <v>1126</v>
      </c>
      <c r="D469" t="s">
        <v>1133</v>
      </c>
      <c r="E469" t="s">
        <v>1142</v>
      </c>
      <c r="F469" t="s">
        <v>1150</v>
      </c>
      <c r="G469" t="s">
        <v>1156</v>
      </c>
      <c r="H469">
        <v>2</v>
      </c>
      <c r="I469">
        <v>32961</v>
      </c>
      <c r="J469">
        <v>10</v>
      </c>
      <c r="K469">
        <v>29664.9</v>
      </c>
      <c r="L469">
        <v>59329.8</v>
      </c>
      <c r="M469">
        <v>1500</v>
      </c>
      <c r="N469" t="s">
        <v>1160</v>
      </c>
      <c r="O469" t="s">
        <v>1163</v>
      </c>
      <c r="Q469">
        <v>3</v>
      </c>
      <c r="R469" t="s">
        <v>1166</v>
      </c>
    </row>
    <row r="470" spans="1:18" x14ac:dyDescent="0.3">
      <c r="A470" s="2">
        <v>45725</v>
      </c>
      <c r="B470" t="s">
        <v>485</v>
      </c>
      <c r="C470" t="s">
        <v>1117</v>
      </c>
      <c r="D470" t="s">
        <v>1133</v>
      </c>
      <c r="E470" t="s">
        <v>1142</v>
      </c>
      <c r="F470" t="s">
        <v>1150</v>
      </c>
      <c r="G470" t="s">
        <v>1156</v>
      </c>
      <c r="H470">
        <v>3</v>
      </c>
      <c r="I470">
        <v>69489</v>
      </c>
      <c r="J470">
        <v>10</v>
      </c>
      <c r="K470">
        <v>62540.1</v>
      </c>
      <c r="L470">
        <v>187620.3</v>
      </c>
      <c r="M470">
        <v>1000</v>
      </c>
      <c r="N470" t="s">
        <v>1160</v>
      </c>
      <c r="O470" t="s">
        <v>1163</v>
      </c>
      <c r="Q470">
        <v>2</v>
      </c>
    </row>
    <row r="471" spans="1:18" x14ac:dyDescent="0.3">
      <c r="A471" s="2">
        <v>45680</v>
      </c>
      <c r="B471" t="s">
        <v>486</v>
      </c>
      <c r="C471" t="s">
        <v>1125</v>
      </c>
      <c r="D471" t="s">
        <v>1133</v>
      </c>
      <c r="E471" t="s">
        <v>1146</v>
      </c>
      <c r="F471" t="s">
        <v>1151</v>
      </c>
      <c r="G471" t="s">
        <v>1155</v>
      </c>
      <c r="H471">
        <v>1</v>
      </c>
      <c r="I471">
        <v>14725</v>
      </c>
      <c r="J471">
        <v>10</v>
      </c>
      <c r="K471">
        <v>13252.5</v>
      </c>
      <c r="L471">
        <v>13252.5</v>
      </c>
      <c r="M471">
        <v>1500</v>
      </c>
      <c r="N471" t="s">
        <v>1161</v>
      </c>
      <c r="O471" t="s">
        <v>1162</v>
      </c>
      <c r="Q471">
        <v>3</v>
      </c>
      <c r="R471" t="s">
        <v>1170</v>
      </c>
    </row>
    <row r="472" spans="1:18" x14ac:dyDescent="0.3">
      <c r="A472" s="2">
        <v>45746</v>
      </c>
      <c r="B472" t="s">
        <v>487</v>
      </c>
      <c r="C472" t="s">
        <v>1121</v>
      </c>
      <c r="D472" t="s">
        <v>1136</v>
      </c>
      <c r="E472" t="s">
        <v>1144</v>
      </c>
      <c r="F472" t="s">
        <v>1151</v>
      </c>
      <c r="G472" t="s">
        <v>1157</v>
      </c>
      <c r="H472">
        <v>5</v>
      </c>
      <c r="I472">
        <v>9632</v>
      </c>
      <c r="J472">
        <v>15</v>
      </c>
      <c r="K472">
        <v>8187.2</v>
      </c>
      <c r="L472">
        <v>40936</v>
      </c>
      <c r="M472">
        <v>1500</v>
      </c>
      <c r="N472" t="s">
        <v>1161</v>
      </c>
      <c r="O472" t="s">
        <v>1163</v>
      </c>
      <c r="Q472">
        <v>4</v>
      </c>
      <c r="R472" t="s">
        <v>1170</v>
      </c>
    </row>
    <row r="473" spans="1:18" x14ac:dyDescent="0.3">
      <c r="A473" s="2">
        <v>45756</v>
      </c>
      <c r="B473" t="s">
        <v>488</v>
      </c>
      <c r="C473" t="s">
        <v>1128</v>
      </c>
      <c r="D473" t="s">
        <v>1135</v>
      </c>
      <c r="E473" t="s">
        <v>1144</v>
      </c>
      <c r="F473" t="s">
        <v>1151</v>
      </c>
      <c r="G473" t="s">
        <v>1157</v>
      </c>
      <c r="H473">
        <v>2</v>
      </c>
      <c r="I473">
        <v>71706</v>
      </c>
      <c r="J473">
        <v>5</v>
      </c>
      <c r="K473">
        <v>68120.7</v>
      </c>
      <c r="L473">
        <v>136241.4</v>
      </c>
      <c r="M473">
        <v>1500</v>
      </c>
      <c r="N473" t="s">
        <v>1159</v>
      </c>
      <c r="O473" t="s">
        <v>1163</v>
      </c>
      <c r="R473" t="s">
        <v>1169</v>
      </c>
    </row>
    <row r="474" spans="1:18" x14ac:dyDescent="0.3">
      <c r="A474" s="2">
        <v>45775</v>
      </c>
      <c r="B474" t="s">
        <v>489</v>
      </c>
      <c r="C474" t="s">
        <v>1121</v>
      </c>
      <c r="D474" t="s">
        <v>1136</v>
      </c>
      <c r="E474" t="s">
        <v>1139</v>
      </c>
      <c r="F474" t="s">
        <v>1150</v>
      </c>
      <c r="G474" t="s">
        <v>1154</v>
      </c>
      <c r="H474">
        <v>2</v>
      </c>
      <c r="I474">
        <v>54808</v>
      </c>
      <c r="J474">
        <v>0</v>
      </c>
      <c r="K474">
        <v>54808</v>
      </c>
      <c r="L474">
        <v>109616</v>
      </c>
      <c r="M474">
        <v>1000</v>
      </c>
      <c r="N474" t="s">
        <v>1160</v>
      </c>
      <c r="O474" t="s">
        <v>1162</v>
      </c>
      <c r="Q474">
        <v>3</v>
      </c>
      <c r="R474" t="s">
        <v>1168</v>
      </c>
    </row>
    <row r="475" spans="1:18" x14ac:dyDescent="0.3">
      <c r="A475" s="2">
        <v>45790</v>
      </c>
      <c r="B475" t="s">
        <v>490</v>
      </c>
      <c r="C475" t="s">
        <v>1130</v>
      </c>
      <c r="D475" t="s">
        <v>1136</v>
      </c>
      <c r="E475" t="s">
        <v>1141</v>
      </c>
      <c r="F475" t="s">
        <v>1151</v>
      </c>
      <c r="G475" t="s">
        <v>1155</v>
      </c>
      <c r="H475">
        <v>1</v>
      </c>
      <c r="I475">
        <v>60805</v>
      </c>
      <c r="J475">
        <v>20</v>
      </c>
      <c r="K475">
        <v>48644</v>
      </c>
      <c r="L475">
        <v>48644</v>
      </c>
      <c r="M475">
        <v>1500</v>
      </c>
      <c r="N475" t="s">
        <v>1160</v>
      </c>
      <c r="O475" t="s">
        <v>1163</v>
      </c>
      <c r="Q475">
        <v>4</v>
      </c>
      <c r="R475" t="s">
        <v>1168</v>
      </c>
    </row>
    <row r="476" spans="1:18" x14ac:dyDescent="0.3">
      <c r="A476" s="2">
        <v>45747</v>
      </c>
      <c r="B476" t="s">
        <v>491</v>
      </c>
      <c r="C476" t="s">
        <v>1130</v>
      </c>
      <c r="D476" t="s">
        <v>1136</v>
      </c>
      <c r="E476" t="s">
        <v>1138</v>
      </c>
      <c r="F476" t="s">
        <v>1149</v>
      </c>
      <c r="G476" t="s">
        <v>1153</v>
      </c>
      <c r="H476">
        <v>5</v>
      </c>
      <c r="I476">
        <v>48122</v>
      </c>
      <c r="J476">
        <v>5</v>
      </c>
      <c r="K476">
        <v>45715.9</v>
      </c>
      <c r="L476">
        <v>228579.5</v>
      </c>
      <c r="M476">
        <v>2000</v>
      </c>
      <c r="N476" t="s">
        <v>1161</v>
      </c>
      <c r="O476" t="s">
        <v>1164</v>
      </c>
      <c r="P476" s="2">
        <v>45749</v>
      </c>
      <c r="Q476">
        <v>2</v>
      </c>
      <c r="R476" t="s">
        <v>1166</v>
      </c>
    </row>
    <row r="477" spans="1:18" x14ac:dyDescent="0.3">
      <c r="A477" s="2">
        <v>45676</v>
      </c>
      <c r="B477" t="s">
        <v>492</v>
      </c>
      <c r="C477" t="s">
        <v>1123</v>
      </c>
      <c r="D477" t="s">
        <v>1135</v>
      </c>
      <c r="E477" t="s">
        <v>1138</v>
      </c>
      <c r="F477" t="s">
        <v>1149</v>
      </c>
      <c r="G477" t="s">
        <v>1153</v>
      </c>
      <c r="H477">
        <v>1</v>
      </c>
      <c r="I477">
        <v>2111</v>
      </c>
      <c r="J477">
        <v>0</v>
      </c>
      <c r="K477">
        <v>2111</v>
      </c>
      <c r="L477">
        <v>2111</v>
      </c>
      <c r="M477">
        <v>2000</v>
      </c>
      <c r="N477" t="s">
        <v>1161</v>
      </c>
      <c r="O477" t="s">
        <v>1164</v>
      </c>
      <c r="P477" s="2">
        <v>45688</v>
      </c>
      <c r="Q477">
        <v>4</v>
      </c>
    </row>
    <row r="478" spans="1:18" x14ac:dyDescent="0.3">
      <c r="A478" s="2">
        <v>45817</v>
      </c>
      <c r="B478" t="s">
        <v>493</v>
      </c>
      <c r="C478" t="s">
        <v>1130</v>
      </c>
      <c r="D478" t="s">
        <v>1136</v>
      </c>
      <c r="E478" t="s">
        <v>1143</v>
      </c>
      <c r="F478" t="s">
        <v>1151</v>
      </c>
      <c r="G478" t="s">
        <v>1157</v>
      </c>
      <c r="H478">
        <v>4</v>
      </c>
      <c r="I478">
        <v>57315</v>
      </c>
      <c r="J478">
        <v>20</v>
      </c>
      <c r="K478">
        <v>45852</v>
      </c>
      <c r="L478">
        <v>183408</v>
      </c>
      <c r="M478">
        <v>1000</v>
      </c>
      <c r="N478" t="s">
        <v>1161</v>
      </c>
      <c r="O478" t="s">
        <v>1164</v>
      </c>
      <c r="P478" s="2">
        <v>45820</v>
      </c>
      <c r="Q478">
        <v>1</v>
      </c>
    </row>
    <row r="479" spans="1:18" x14ac:dyDescent="0.3">
      <c r="A479" s="2">
        <v>45675</v>
      </c>
      <c r="B479" t="s">
        <v>494</v>
      </c>
      <c r="C479" t="s">
        <v>1121</v>
      </c>
      <c r="D479" t="s">
        <v>1136</v>
      </c>
      <c r="E479" t="s">
        <v>1142</v>
      </c>
      <c r="F479" t="s">
        <v>1150</v>
      </c>
      <c r="G479" t="s">
        <v>1156</v>
      </c>
      <c r="H479">
        <v>5</v>
      </c>
      <c r="I479">
        <v>5237</v>
      </c>
      <c r="J479">
        <v>0</v>
      </c>
      <c r="K479">
        <v>5237</v>
      </c>
      <c r="L479">
        <v>26185</v>
      </c>
      <c r="M479">
        <v>2000</v>
      </c>
      <c r="N479" t="s">
        <v>1160</v>
      </c>
      <c r="O479" t="s">
        <v>1164</v>
      </c>
      <c r="P479" s="2">
        <v>45689</v>
      </c>
      <c r="Q479">
        <v>1</v>
      </c>
      <c r="R479" t="s">
        <v>1169</v>
      </c>
    </row>
    <row r="480" spans="1:18" x14ac:dyDescent="0.3">
      <c r="A480" s="2">
        <v>45831</v>
      </c>
      <c r="B480" t="s">
        <v>495</v>
      </c>
      <c r="C480" t="s">
        <v>1129</v>
      </c>
      <c r="D480" t="s">
        <v>1133</v>
      </c>
      <c r="E480" t="s">
        <v>1139</v>
      </c>
      <c r="F480" t="s">
        <v>1150</v>
      </c>
      <c r="G480" t="s">
        <v>1154</v>
      </c>
      <c r="H480">
        <v>5</v>
      </c>
      <c r="I480">
        <v>56002</v>
      </c>
      <c r="J480">
        <v>15</v>
      </c>
      <c r="K480">
        <v>47601.7</v>
      </c>
      <c r="L480">
        <v>238008.5</v>
      </c>
      <c r="M480">
        <v>1000</v>
      </c>
      <c r="N480" t="s">
        <v>1159</v>
      </c>
      <c r="O480" t="s">
        <v>1162</v>
      </c>
      <c r="Q480">
        <v>1</v>
      </c>
      <c r="R480" t="s">
        <v>1170</v>
      </c>
    </row>
    <row r="481" spans="1:18" x14ac:dyDescent="0.3">
      <c r="A481" s="2">
        <v>45743</v>
      </c>
      <c r="B481" t="s">
        <v>496</v>
      </c>
      <c r="C481" t="s">
        <v>1123</v>
      </c>
      <c r="D481" t="s">
        <v>1135</v>
      </c>
      <c r="E481" t="s">
        <v>1141</v>
      </c>
      <c r="F481" t="s">
        <v>1151</v>
      </c>
      <c r="G481" t="s">
        <v>1155</v>
      </c>
      <c r="H481">
        <v>1</v>
      </c>
      <c r="I481">
        <v>21313</v>
      </c>
      <c r="J481" t="s">
        <v>1158</v>
      </c>
      <c r="K481">
        <v>19181.7</v>
      </c>
      <c r="L481">
        <v>19181.7</v>
      </c>
      <c r="M481">
        <v>1000</v>
      </c>
      <c r="N481" t="s">
        <v>1161</v>
      </c>
      <c r="O481" t="s">
        <v>1163</v>
      </c>
      <c r="Q481">
        <v>1</v>
      </c>
      <c r="R481" t="s">
        <v>1169</v>
      </c>
    </row>
    <row r="482" spans="1:18" x14ac:dyDescent="0.3">
      <c r="A482" s="2">
        <v>45771</v>
      </c>
      <c r="B482" t="s">
        <v>497</v>
      </c>
      <c r="C482" t="s">
        <v>1122</v>
      </c>
      <c r="D482" t="s">
        <v>1136</v>
      </c>
      <c r="E482" t="s">
        <v>1148</v>
      </c>
      <c r="F482" t="s">
        <v>1149</v>
      </c>
      <c r="G482" t="s">
        <v>1152</v>
      </c>
      <c r="H482">
        <v>3</v>
      </c>
      <c r="I482">
        <v>5486</v>
      </c>
      <c r="J482">
        <v>5</v>
      </c>
      <c r="K482">
        <v>5211.7</v>
      </c>
      <c r="L482">
        <v>15635.1</v>
      </c>
      <c r="M482">
        <v>1000</v>
      </c>
      <c r="N482" t="s">
        <v>1159</v>
      </c>
      <c r="O482" t="s">
        <v>1162</v>
      </c>
      <c r="Q482">
        <v>2</v>
      </c>
      <c r="R482" t="s">
        <v>1169</v>
      </c>
    </row>
    <row r="483" spans="1:18" x14ac:dyDescent="0.3">
      <c r="A483" s="2">
        <v>45796</v>
      </c>
      <c r="B483" t="s">
        <v>498</v>
      </c>
      <c r="C483" t="s">
        <v>1122</v>
      </c>
      <c r="D483" t="s">
        <v>1136</v>
      </c>
      <c r="E483" t="s">
        <v>1144</v>
      </c>
      <c r="F483" t="s">
        <v>1151</v>
      </c>
      <c r="G483" t="s">
        <v>1157</v>
      </c>
      <c r="H483">
        <v>3</v>
      </c>
      <c r="I483">
        <v>79382</v>
      </c>
      <c r="J483">
        <v>5</v>
      </c>
      <c r="K483">
        <v>75412.899999999994</v>
      </c>
      <c r="L483">
        <v>226238.7</v>
      </c>
      <c r="M483">
        <v>2000</v>
      </c>
      <c r="N483" t="s">
        <v>1159</v>
      </c>
      <c r="O483" t="s">
        <v>1162</v>
      </c>
      <c r="R483" t="s">
        <v>1168</v>
      </c>
    </row>
    <row r="484" spans="1:18" x14ac:dyDescent="0.3">
      <c r="A484" s="2">
        <v>45794</v>
      </c>
      <c r="B484" t="s">
        <v>499</v>
      </c>
      <c r="C484" t="s">
        <v>1132</v>
      </c>
      <c r="D484" t="s">
        <v>1134</v>
      </c>
      <c r="E484" t="s">
        <v>1147</v>
      </c>
      <c r="F484" t="s">
        <v>1150</v>
      </c>
      <c r="G484" t="s">
        <v>1156</v>
      </c>
      <c r="H484">
        <v>4</v>
      </c>
      <c r="I484">
        <v>54582</v>
      </c>
      <c r="J484">
        <v>15</v>
      </c>
      <c r="K484">
        <v>46394.7</v>
      </c>
      <c r="L484">
        <v>185578.8</v>
      </c>
      <c r="M484">
        <v>1000</v>
      </c>
      <c r="N484" t="s">
        <v>1160</v>
      </c>
      <c r="O484" t="s">
        <v>1163</v>
      </c>
      <c r="Q484">
        <v>4</v>
      </c>
      <c r="R484" t="s">
        <v>1166</v>
      </c>
    </row>
    <row r="485" spans="1:18" x14ac:dyDescent="0.3">
      <c r="A485" s="2">
        <v>45658</v>
      </c>
      <c r="B485" t="s">
        <v>500</v>
      </c>
      <c r="C485" t="s">
        <v>1125</v>
      </c>
      <c r="D485" t="s">
        <v>1133</v>
      </c>
      <c r="E485" t="s">
        <v>1141</v>
      </c>
      <c r="F485" t="s">
        <v>1151</v>
      </c>
      <c r="G485" t="s">
        <v>1155</v>
      </c>
      <c r="H485">
        <v>4</v>
      </c>
      <c r="I485">
        <v>3163</v>
      </c>
      <c r="J485">
        <v>10</v>
      </c>
      <c r="K485">
        <v>2846.7</v>
      </c>
      <c r="L485">
        <v>11386.8</v>
      </c>
      <c r="M485">
        <v>1000</v>
      </c>
      <c r="N485" t="s">
        <v>1160</v>
      </c>
      <c r="O485" t="s">
        <v>1162</v>
      </c>
      <c r="Q485">
        <v>4</v>
      </c>
    </row>
    <row r="486" spans="1:18" x14ac:dyDescent="0.3">
      <c r="A486" s="2">
        <v>45747</v>
      </c>
      <c r="B486" t="s">
        <v>501</v>
      </c>
      <c r="C486" t="s">
        <v>1119</v>
      </c>
      <c r="D486" t="s">
        <v>1134</v>
      </c>
      <c r="E486" t="s">
        <v>1145</v>
      </c>
      <c r="F486" t="s">
        <v>1149</v>
      </c>
      <c r="G486" t="s">
        <v>1153</v>
      </c>
      <c r="H486">
        <v>2</v>
      </c>
      <c r="I486">
        <v>64732</v>
      </c>
      <c r="J486">
        <v>0</v>
      </c>
      <c r="K486">
        <v>64732</v>
      </c>
      <c r="L486">
        <v>129464</v>
      </c>
      <c r="M486">
        <v>2000</v>
      </c>
      <c r="N486" t="s">
        <v>1161</v>
      </c>
      <c r="O486" t="s">
        <v>1162</v>
      </c>
      <c r="Q486">
        <v>2</v>
      </c>
      <c r="R486" t="s">
        <v>1166</v>
      </c>
    </row>
    <row r="487" spans="1:18" x14ac:dyDescent="0.3">
      <c r="A487" s="2">
        <v>45731</v>
      </c>
      <c r="B487" t="s">
        <v>502</v>
      </c>
      <c r="C487" t="s">
        <v>1128</v>
      </c>
      <c r="D487" t="s">
        <v>1135</v>
      </c>
      <c r="E487" t="s">
        <v>1143</v>
      </c>
      <c r="F487" t="s">
        <v>1151</v>
      </c>
      <c r="G487" t="s">
        <v>1157</v>
      </c>
      <c r="H487">
        <v>1</v>
      </c>
      <c r="I487">
        <v>57149</v>
      </c>
      <c r="J487">
        <v>0</v>
      </c>
      <c r="K487">
        <v>57149</v>
      </c>
      <c r="L487">
        <v>57149</v>
      </c>
      <c r="M487">
        <v>1500</v>
      </c>
      <c r="N487" t="s">
        <v>1160</v>
      </c>
      <c r="O487" t="s">
        <v>1162</v>
      </c>
      <c r="Q487">
        <v>5</v>
      </c>
      <c r="R487" t="s">
        <v>1169</v>
      </c>
    </row>
    <row r="488" spans="1:18" x14ac:dyDescent="0.3">
      <c r="A488" s="2">
        <v>45837</v>
      </c>
      <c r="B488" t="s">
        <v>503</v>
      </c>
      <c r="C488" t="s">
        <v>1132</v>
      </c>
      <c r="D488" t="s">
        <v>1134</v>
      </c>
      <c r="E488" t="s">
        <v>1143</v>
      </c>
      <c r="F488" t="s">
        <v>1151</v>
      </c>
      <c r="G488" t="s">
        <v>1157</v>
      </c>
      <c r="H488">
        <v>2</v>
      </c>
      <c r="I488">
        <v>22204</v>
      </c>
      <c r="J488">
        <v>15</v>
      </c>
      <c r="K488">
        <v>18873.400000000001</v>
      </c>
      <c r="L488">
        <v>37746.800000000003</v>
      </c>
      <c r="M488">
        <v>1500</v>
      </c>
      <c r="N488" t="s">
        <v>1159</v>
      </c>
      <c r="O488" t="s">
        <v>1162</v>
      </c>
      <c r="Q488">
        <v>2</v>
      </c>
    </row>
    <row r="489" spans="1:18" x14ac:dyDescent="0.3">
      <c r="A489" s="2">
        <v>45753</v>
      </c>
      <c r="B489" t="s">
        <v>504</v>
      </c>
      <c r="C489" t="s">
        <v>1120</v>
      </c>
      <c r="D489" t="s">
        <v>1135</v>
      </c>
      <c r="E489" t="s">
        <v>1145</v>
      </c>
      <c r="F489" t="s">
        <v>1149</v>
      </c>
      <c r="G489" t="s">
        <v>1153</v>
      </c>
      <c r="H489">
        <v>2</v>
      </c>
      <c r="I489">
        <v>15209</v>
      </c>
      <c r="J489">
        <v>10</v>
      </c>
      <c r="K489">
        <v>13688.1</v>
      </c>
      <c r="L489">
        <v>27376.2</v>
      </c>
      <c r="M489">
        <v>2000</v>
      </c>
      <c r="N489" t="s">
        <v>1160</v>
      </c>
      <c r="O489" t="s">
        <v>1164</v>
      </c>
      <c r="P489" s="2">
        <v>45755</v>
      </c>
      <c r="Q489">
        <v>1</v>
      </c>
      <c r="R489" t="s">
        <v>1168</v>
      </c>
    </row>
    <row r="490" spans="1:18" x14ac:dyDescent="0.3">
      <c r="A490" s="2">
        <v>45726</v>
      </c>
      <c r="B490" t="s">
        <v>505</v>
      </c>
      <c r="C490" t="s">
        <v>1127</v>
      </c>
      <c r="D490" t="s">
        <v>1134</v>
      </c>
      <c r="E490" t="s">
        <v>1139</v>
      </c>
      <c r="F490" t="s">
        <v>1150</v>
      </c>
      <c r="G490" t="s">
        <v>1154</v>
      </c>
      <c r="H490">
        <v>4</v>
      </c>
      <c r="I490">
        <v>61758</v>
      </c>
      <c r="J490">
        <v>0</v>
      </c>
      <c r="K490">
        <v>61758</v>
      </c>
      <c r="L490">
        <v>247032</v>
      </c>
      <c r="M490">
        <v>2000</v>
      </c>
      <c r="N490" t="s">
        <v>1160</v>
      </c>
      <c r="O490" t="s">
        <v>1162</v>
      </c>
      <c r="Q490">
        <v>5</v>
      </c>
    </row>
    <row r="491" spans="1:18" x14ac:dyDescent="0.3">
      <c r="A491" s="2">
        <v>45744</v>
      </c>
      <c r="B491" t="s">
        <v>506</v>
      </c>
      <c r="C491" t="s">
        <v>1128</v>
      </c>
      <c r="D491" t="s">
        <v>1135</v>
      </c>
      <c r="E491" t="s">
        <v>1144</v>
      </c>
      <c r="F491" t="s">
        <v>1151</v>
      </c>
      <c r="G491" t="s">
        <v>1157</v>
      </c>
      <c r="H491">
        <v>5</v>
      </c>
      <c r="I491">
        <v>47076</v>
      </c>
      <c r="J491">
        <v>0</v>
      </c>
      <c r="K491">
        <v>47076</v>
      </c>
      <c r="L491">
        <v>235380</v>
      </c>
      <c r="M491">
        <v>1000</v>
      </c>
      <c r="N491" t="s">
        <v>1160</v>
      </c>
      <c r="O491" t="s">
        <v>1163</v>
      </c>
      <c r="Q491">
        <v>1</v>
      </c>
      <c r="R491" t="s">
        <v>1167</v>
      </c>
    </row>
    <row r="492" spans="1:18" x14ac:dyDescent="0.3">
      <c r="A492" s="2">
        <v>45667</v>
      </c>
      <c r="B492" t="s">
        <v>507</v>
      </c>
      <c r="C492" t="s">
        <v>1121</v>
      </c>
      <c r="D492" t="s">
        <v>1136</v>
      </c>
      <c r="E492" t="s">
        <v>1145</v>
      </c>
      <c r="F492" t="s">
        <v>1149</v>
      </c>
      <c r="G492" t="s">
        <v>1153</v>
      </c>
      <c r="H492">
        <v>1</v>
      </c>
      <c r="I492">
        <v>6023</v>
      </c>
      <c r="J492">
        <v>15</v>
      </c>
      <c r="K492">
        <v>5119.55</v>
      </c>
      <c r="L492">
        <v>5119.55</v>
      </c>
      <c r="M492">
        <v>1000</v>
      </c>
      <c r="N492" t="s">
        <v>1160</v>
      </c>
      <c r="O492" t="s">
        <v>1162</v>
      </c>
      <c r="Q492">
        <v>5</v>
      </c>
      <c r="R492" t="s">
        <v>1169</v>
      </c>
    </row>
    <row r="493" spans="1:18" x14ac:dyDescent="0.3">
      <c r="A493" s="2">
        <v>45809</v>
      </c>
      <c r="B493" t="s">
        <v>508</v>
      </c>
      <c r="C493" t="s">
        <v>1123</v>
      </c>
      <c r="D493" t="s">
        <v>1135</v>
      </c>
      <c r="E493" t="s">
        <v>1140</v>
      </c>
      <c r="F493" t="s">
        <v>1150</v>
      </c>
      <c r="G493" t="s">
        <v>1154</v>
      </c>
      <c r="H493">
        <v>4</v>
      </c>
      <c r="I493">
        <v>68218</v>
      </c>
      <c r="J493">
        <v>15</v>
      </c>
      <c r="K493">
        <v>57985.3</v>
      </c>
      <c r="L493">
        <v>231941.2</v>
      </c>
      <c r="M493">
        <v>2000</v>
      </c>
      <c r="N493" t="s">
        <v>1161</v>
      </c>
      <c r="O493" t="s">
        <v>1162</v>
      </c>
      <c r="Q493">
        <v>4</v>
      </c>
      <c r="R493" t="s">
        <v>1166</v>
      </c>
    </row>
    <row r="494" spans="1:18" x14ac:dyDescent="0.3">
      <c r="A494" s="2">
        <v>45824</v>
      </c>
      <c r="B494" t="s">
        <v>509</v>
      </c>
      <c r="C494" t="s">
        <v>1123</v>
      </c>
      <c r="D494" t="s">
        <v>1135</v>
      </c>
      <c r="E494" t="s">
        <v>1147</v>
      </c>
      <c r="F494" t="s">
        <v>1150</v>
      </c>
      <c r="G494" t="s">
        <v>1156</v>
      </c>
      <c r="H494">
        <v>1</v>
      </c>
      <c r="I494">
        <v>68285</v>
      </c>
      <c r="J494">
        <v>5</v>
      </c>
      <c r="K494">
        <v>64870.75</v>
      </c>
      <c r="L494">
        <v>64870.75</v>
      </c>
      <c r="M494">
        <v>1500</v>
      </c>
      <c r="N494" t="s">
        <v>1160</v>
      </c>
      <c r="O494" t="s">
        <v>1162</v>
      </c>
    </row>
    <row r="495" spans="1:18" x14ac:dyDescent="0.3">
      <c r="A495" s="2">
        <v>45670</v>
      </c>
      <c r="B495" t="s">
        <v>510</v>
      </c>
      <c r="C495" t="s">
        <v>1125</v>
      </c>
      <c r="D495" t="s">
        <v>1133</v>
      </c>
      <c r="E495" t="s">
        <v>1140</v>
      </c>
      <c r="F495" t="s">
        <v>1150</v>
      </c>
      <c r="G495" t="s">
        <v>1154</v>
      </c>
      <c r="H495">
        <v>5</v>
      </c>
      <c r="I495">
        <v>43196</v>
      </c>
      <c r="J495">
        <v>0</v>
      </c>
      <c r="K495">
        <v>43196</v>
      </c>
      <c r="L495">
        <v>215980</v>
      </c>
      <c r="M495">
        <v>2000</v>
      </c>
      <c r="N495" t="s">
        <v>1160</v>
      </c>
      <c r="O495" t="s">
        <v>1163</v>
      </c>
      <c r="Q495">
        <v>2</v>
      </c>
      <c r="R495" t="s">
        <v>1168</v>
      </c>
    </row>
    <row r="496" spans="1:18" x14ac:dyDescent="0.3">
      <c r="A496" s="2">
        <v>45789</v>
      </c>
      <c r="B496" t="s">
        <v>511</v>
      </c>
      <c r="C496" t="s">
        <v>1126</v>
      </c>
      <c r="D496" t="s">
        <v>1133</v>
      </c>
      <c r="E496" t="s">
        <v>1140</v>
      </c>
      <c r="F496" t="s">
        <v>1150</v>
      </c>
      <c r="G496" t="s">
        <v>1154</v>
      </c>
      <c r="H496">
        <v>4</v>
      </c>
      <c r="I496">
        <v>23289</v>
      </c>
      <c r="J496">
        <v>0</v>
      </c>
      <c r="K496">
        <v>23289</v>
      </c>
      <c r="L496">
        <v>93156</v>
      </c>
      <c r="M496">
        <v>2000</v>
      </c>
      <c r="N496" t="s">
        <v>1160</v>
      </c>
      <c r="O496" t="s">
        <v>1163</v>
      </c>
      <c r="Q496">
        <v>5</v>
      </c>
      <c r="R496" t="s">
        <v>1167</v>
      </c>
    </row>
    <row r="497" spans="1:18" x14ac:dyDescent="0.3">
      <c r="A497" s="2">
        <v>45791</v>
      </c>
      <c r="B497" t="s">
        <v>512</v>
      </c>
      <c r="C497" t="s">
        <v>1122</v>
      </c>
      <c r="D497" t="s">
        <v>1136</v>
      </c>
      <c r="E497" t="s">
        <v>1144</v>
      </c>
      <c r="F497" t="s">
        <v>1151</v>
      </c>
      <c r="G497" t="s">
        <v>1157</v>
      </c>
      <c r="H497">
        <v>1</v>
      </c>
      <c r="I497">
        <v>22954</v>
      </c>
      <c r="J497">
        <v>0</v>
      </c>
      <c r="K497">
        <v>22954</v>
      </c>
      <c r="L497">
        <v>22954</v>
      </c>
      <c r="M497">
        <v>1500</v>
      </c>
      <c r="N497" t="s">
        <v>1160</v>
      </c>
      <c r="O497" t="s">
        <v>1164</v>
      </c>
      <c r="P497" s="2">
        <v>45801</v>
      </c>
      <c r="Q497">
        <v>5</v>
      </c>
      <c r="R497" t="s">
        <v>1169</v>
      </c>
    </row>
    <row r="498" spans="1:18" x14ac:dyDescent="0.3">
      <c r="A498" s="2">
        <v>45784</v>
      </c>
      <c r="B498" t="s">
        <v>513</v>
      </c>
      <c r="C498" t="s">
        <v>1126</v>
      </c>
      <c r="D498" t="s">
        <v>1133</v>
      </c>
      <c r="E498" t="s">
        <v>1139</v>
      </c>
      <c r="F498" t="s">
        <v>1150</v>
      </c>
      <c r="G498" t="s">
        <v>1154</v>
      </c>
      <c r="H498">
        <v>3</v>
      </c>
      <c r="I498">
        <v>43142</v>
      </c>
      <c r="J498">
        <v>0</v>
      </c>
      <c r="K498">
        <v>43142</v>
      </c>
      <c r="L498">
        <v>129426</v>
      </c>
      <c r="M498">
        <v>2000</v>
      </c>
      <c r="N498" t="s">
        <v>1160</v>
      </c>
      <c r="O498" t="s">
        <v>1164</v>
      </c>
      <c r="P498" s="2">
        <v>45788</v>
      </c>
      <c r="R498" t="s">
        <v>1167</v>
      </c>
    </row>
    <row r="499" spans="1:18" x14ac:dyDescent="0.3">
      <c r="A499" s="2">
        <v>45834</v>
      </c>
      <c r="B499" t="s">
        <v>514</v>
      </c>
      <c r="C499" t="s">
        <v>1125</v>
      </c>
      <c r="D499" t="s">
        <v>1133</v>
      </c>
      <c r="E499" t="s">
        <v>1146</v>
      </c>
      <c r="F499" t="s">
        <v>1151</v>
      </c>
      <c r="G499" t="s">
        <v>1155</v>
      </c>
      <c r="H499">
        <v>2</v>
      </c>
      <c r="I499">
        <v>40611</v>
      </c>
      <c r="J499">
        <v>10</v>
      </c>
      <c r="K499">
        <v>36549.9</v>
      </c>
      <c r="L499">
        <v>73099.8</v>
      </c>
      <c r="M499">
        <v>1000</v>
      </c>
      <c r="N499" t="s">
        <v>1160</v>
      </c>
      <c r="O499" t="s">
        <v>1164</v>
      </c>
      <c r="P499" s="2">
        <v>45845</v>
      </c>
      <c r="Q499">
        <v>5</v>
      </c>
      <c r="R499" t="s">
        <v>1166</v>
      </c>
    </row>
    <row r="500" spans="1:18" x14ac:dyDescent="0.3">
      <c r="A500" s="2">
        <v>45796</v>
      </c>
      <c r="B500" t="s">
        <v>515</v>
      </c>
      <c r="C500" t="s">
        <v>1120</v>
      </c>
      <c r="D500" t="s">
        <v>1135</v>
      </c>
      <c r="E500" t="s">
        <v>1145</v>
      </c>
      <c r="F500" t="s">
        <v>1149</v>
      </c>
      <c r="G500" t="s">
        <v>1153</v>
      </c>
      <c r="H500">
        <v>5</v>
      </c>
      <c r="I500">
        <v>19980</v>
      </c>
      <c r="J500">
        <v>0</v>
      </c>
      <c r="K500">
        <v>19980</v>
      </c>
      <c r="L500">
        <v>99900</v>
      </c>
      <c r="M500">
        <v>2000</v>
      </c>
      <c r="N500" t="s">
        <v>1161</v>
      </c>
      <c r="O500" t="s">
        <v>1164</v>
      </c>
      <c r="P500" s="2">
        <v>45805</v>
      </c>
      <c r="Q500">
        <v>2</v>
      </c>
    </row>
    <row r="501" spans="1:18" x14ac:dyDescent="0.3">
      <c r="A501" s="2">
        <v>45712</v>
      </c>
      <c r="B501" t="s">
        <v>516</v>
      </c>
      <c r="C501" t="s">
        <v>1131</v>
      </c>
      <c r="D501" t="s">
        <v>1136</v>
      </c>
      <c r="E501" t="s">
        <v>1148</v>
      </c>
      <c r="F501" t="s">
        <v>1149</v>
      </c>
      <c r="G501" t="s">
        <v>1152</v>
      </c>
      <c r="H501">
        <v>3</v>
      </c>
      <c r="I501">
        <v>79654</v>
      </c>
      <c r="J501">
        <v>5</v>
      </c>
      <c r="K501">
        <v>75671.3</v>
      </c>
      <c r="L501">
        <v>227013.9</v>
      </c>
      <c r="M501">
        <v>1500</v>
      </c>
      <c r="N501" t="s">
        <v>1160</v>
      </c>
      <c r="O501" t="s">
        <v>1164</v>
      </c>
      <c r="P501" s="2">
        <v>45725</v>
      </c>
      <c r="Q501">
        <v>3</v>
      </c>
      <c r="R501" t="s">
        <v>1166</v>
      </c>
    </row>
    <row r="502" spans="1:18" x14ac:dyDescent="0.3">
      <c r="A502" s="2">
        <v>45759</v>
      </c>
      <c r="B502" t="s">
        <v>517</v>
      </c>
      <c r="C502" t="s">
        <v>1122</v>
      </c>
      <c r="D502" t="s">
        <v>1136</v>
      </c>
      <c r="E502" t="s">
        <v>1140</v>
      </c>
      <c r="F502" t="s">
        <v>1150</v>
      </c>
      <c r="G502" t="s">
        <v>1154</v>
      </c>
      <c r="H502">
        <v>3</v>
      </c>
      <c r="I502">
        <v>71378</v>
      </c>
      <c r="J502">
        <v>20</v>
      </c>
      <c r="K502">
        <v>57102.400000000001</v>
      </c>
      <c r="L502">
        <v>171307.2</v>
      </c>
      <c r="M502">
        <v>2000</v>
      </c>
      <c r="N502" t="s">
        <v>1159</v>
      </c>
      <c r="O502" t="s">
        <v>1163</v>
      </c>
      <c r="Q502">
        <v>4</v>
      </c>
      <c r="R502" t="s">
        <v>1166</v>
      </c>
    </row>
    <row r="503" spans="1:18" x14ac:dyDescent="0.3">
      <c r="A503" s="2">
        <v>45826</v>
      </c>
      <c r="B503" t="s">
        <v>518</v>
      </c>
      <c r="C503" t="s">
        <v>1119</v>
      </c>
      <c r="D503" t="s">
        <v>1134</v>
      </c>
      <c r="E503" t="s">
        <v>1141</v>
      </c>
      <c r="F503" t="s">
        <v>1151</v>
      </c>
      <c r="G503" t="s">
        <v>1155</v>
      </c>
      <c r="H503">
        <v>1</v>
      </c>
      <c r="I503">
        <v>46777</v>
      </c>
      <c r="J503">
        <v>15</v>
      </c>
      <c r="K503">
        <v>39760.449999999997</v>
      </c>
      <c r="L503">
        <v>39760.449999999997</v>
      </c>
      <c r="M503">
        <v>2000</v>
      </c>
      <c r="N503" t="s">
        <v>1159</v>
      </c>
      <c r="O503" t="s">
        <v>1163</v>
      </c>
      <c r="Q503">
        <v>2</v>
      </c>
      <c r="R503" t="s">
        <v>1169</v>
      </c>
    </row>
    <row r="504" spans="1:18" x14ac:dyDescent="0.3">
      <c r="A504" s="2">
        <v>45762</v>
      </c>
      <c r="B504" t="s">
        <v>519</v>
      </c>
      <c r="C504" t="s">
        <v>1123</v>
      </c>
      <c r="D504" t="s">
        <v>1135</v>
      </c>
      <c r="E504" t="s">
        <v>1137</v>
      </c>
      <c r="F504" t="s">
        <v>1149</v>
      </c>
      <c r="G504" t="s">
        <v>1152</v>
      </c>
      <c r="H504">
        <v>4</v>
      </c>
      <c r="I504">
        <v>44735</v>
      </c>
      <c r="J504">
        <v>5</v>
      </c>
      <c r="K504">
        <v>42498.25</v>
      </c>
      <c r="L504">
        <v>169993</v>
      </c>
      <c r="M504">
        <v>1500</v>
      </c>
      <c r="N504" t="s">
        <v>1160</v>
      </c>
      <c r="O504" t="s">
        <v>1163</v>
      </c>
      <c r="Q504">
        <v>1</v>
      </c>
      <c r="R504" t="s">
        <v>1170</v>
      </c>
    </row>
    <row r="505" spans="1:18" x14ac:dyDescent="0.3">
      <c r="A505" s="2">
        <v>45812</v>
      </c>
      <c r="B505" t="s">
        <v>520</v>
      </c>
      <c r="C505" t="s">
        <v>1125</v>
      </c>
      <c r="D505" t="s">
        <v>1133</v>
      </c>
      <c r="E505" t="s">
        <v>1147</v>
      </c>
      <c r="F505" t="s">
        <v>1150</v>
      </c>
      <c r="G505" t="s">
        <v>1156</v>
      </c>
      <c r="H505">
        <v>1</v>
      </c>
      <c r="I505">
        <v>22517</v>
      </c>
      <c r="J505">
        <v>5</v>
      </c>
      <c r="K505">
        <v>21391.15</v>
      </c>
      <c r="L505">
        <v>21391.15</v>
      </c>
      <c r="M505">
        <v>2000</v>
      </c>
      <c r="N505" t="s">
        <v>1161</v>
      </c>
      <c r="O505" t="s">
        <v>1164</v>
      </c>
      <c r="P505" s="2">
        <v>45823</v>
      </c>
      <c r="Q505">
        <v>4</v>
      </c>
      <c r="R505" t="s">
        <v>1168</v>
      </c>
    </row>
    <row r="506" spans="1:18" x14ac:dyDescent="0.3">
      <c r="A506" s="2">
        <v>45660</v>
      </c>
      <c r="B506" t="s">
        <v>521</v>
      </c>
      <c r="C506" t="s">
        <v>1117</v>
      </c>
      <c r="D506" t="s">
        <v>1133</v>
      </c>
      <c r="E506" t="s">
        <v>1141</v>
      </c>
      <c r="F506" t="s">
        <v>1151</v>
      </c>
      <c r="G506" t="s">
        <v>1155</v>
      </c>
      <c r="H506">
        <v>1</v>
      </c>
      <c r="I506">
        <v>7543</v>
      </c>
      <c r="J506">
        <v>20</v>
      </c>
      <c r="K506">
        <v>6034.4</v>
      </c>
      <c r="L506">
        <v>6034.4</v>
      </c>
      <c r="M506">
        <v>1000</v>
      </c>
      <c r="N506" t="s">
        <v>1161</v>
      </c>
      <c r="O506" t="s">
        <v>1164</v>
      </c>
      <c r="P506" s="2">
        <v>45673</v>
      </c>
      <c r="Q506">
        <v>2</v>
      </c>
      <c r="R506" t="s">
        <v>1170</v>
      </c>
    </row>
    <row r="507" spans="1:18" x14ac:dyDescent="0.3">
      <c r="A507" s="2">
        <v>45742</v>
      </c>
      <c r="B507" t="s">
        <v>522</v>
      </c>
      <c r="C507" t="s">
        <v>1123</v>
      </c>
      <c r="D507" t="s">
        <v>1135</v>
      </c>
      <c r="E507" t="s">
        <v>1144</v>
      </c>
      <c r="F507" t="s">
        <v>1151</v>
      </c>
      <c r="G507" t="s">
        <v>1157</v>
      </c>
      <c r="H507">
        <v>5</v>
      </c>
      <c r="I507">
        <v>61853</v>
      </c>
      <c r="J507">
        <v>10</v>
      </c>
      <c r="K507">
        <v>55667.7</v>
      </c>
      <c r="L507">
        <v>278338.5</v>
      </c>
      <c r="M507">
        <v>1500</v>
      </c>
      <c r="N507" t="s">
        <v>1159</v>
      </c>
      <c r="O507" t="s">
        <v>1162</v>
      </c>
      <c r="Q507">
        <v>5</v>
      </c>
      <c r="R507" t="s">
        <v>1170</v>
      </c>
    </row>
    <row r="508" spans="1:18" x14ac:dyDescent="0.3">
      <c r="A508" s="2">
        <v>45701</v>
      </c>
      <c r="B508" t="s">
        <v>523</v>
      </c>
      <c r="C508" t="s">
        <v>1127</v>
      </c>
      <c r="D508" t="s">
        <v>1134</v>
      </c>
      <c r="E508" t="s">
        <v>1140</v>
      </c>
      <c r="F508" t="s">
        <v>1150</v>
      </c>
      <c r="G508" t="s">
        <v>1154</v>
      </c>
      <c r="H508">
        <v>1</v>
      </c>
      <c r="I508">
        <v>23555</v>
      </c>
      <c r="J508">
        <v>10</v>
      </c>
      <c r="K508">
        <v>21199.5</v>
      </c>
      <c r="L508">
        <v>21199.5</v>
      </c>
      <c r="M508">
        <v>1500</v>
      </c>
      <c r="N508" t="s">
        <v>1161</v>
      </c>
      <c r="O508" t="s">
        <v>1164</v>
      </c>
      <c r="P508" s="2">
        <v>45703</v>
      </c>
      <c r="Q508">
        <v>2</v>
      </c>
      <c r="R508" t="s">
        <v>1167</v>
      </c>
    </row>
    <row r="509" spans="1:18" x14ac:dyDescent="0.3">
      <c r="A509" s="2">
        <v>45671</v>
      </c>
      <c r="B509" t="s">
        <v>524</v>
      </c>
      <c r="C509" t="s">
        <v>1124</v>
      </c>
      <c r="D509" t="s">
        <v>1135</v>
      </c>
      <c r="E509" t="s">
        <v>1139</v>
      </c>
      <c r="F509" t="s">
        <v>1150</v>
      </c>
      <c r="G509" t="s">
        <v>1154</v>
      </c>
      <c r="H509">
        <v>4</v>
      </c>
      <c r="I509">
        <v>70640</v>
      </c>
      <c r="J509">
        <v>0</v>
      </c>
      <c r="K509">
        <v>70640</v>
      </c>
      <c r="L509">
        <v>282560</v>
      </c>
      <c r="M509">
        <v>1000</v>
      </c>
      <c r="N509" t="s">
        <v>1161</v>
      </c>
      <c r="O509" t="s">
        <v>1164</v>
      </c>
      <c r="P509" s="2">
        <v>45675</v>
      </c>
      <c r="Q509">
        <v>5</v>
      </c>
      <c r="R509" t="s">
        <v>1170</v>
      </c>
    </row>
    <row r="510" spans="1:18" x14ac:dyDescent="0.3">
      <c r="A510" s="2">
        <v>45723</v>
      </c>
      <c r="B510" t="s">
        <v>525</v>
      </c>
      <c r="C510" t="s">
        <v>1129</v>
      </c>
      <c r="D510" t="s">
        <v>1133</v>
      </c>
      <c r="E510" t="s">
        <v>1147</v>
      </c>
      <c r="F510" t="s">
        <v>1150</v>
      </c>
      <c r="G510" t="s">
        <v>1156</v>
      </c>
      <c r="H510">
        <v>3</v>
      </c>
      <c r="I510">
        <v>78465</v>
      </c>
      <c r="J510">
        <v>5</v>
      </c>
      <c r="K510">
        <v>74541.75</v>
      </c>
      <c r="L510">
        <v>223625.25</v>
      </c>
      <c r="M510">
        <v>1500</v>
      </c>
      <c r="N510" t="s">
        <v>1159</v>
      </c>
      <c r="O510" t="s">
        <v>1164</v>
      </c>
      <c r="P510" s="2">
        <v>45729</v>
      </c>
      <c r="Q510">
        <v>2</v>
      </c>
      <c r="R510" t="s">
        <v>1168</v>
      </c>
    </row>
    <row r="511" spans="1:18" x14ac:dyDescent="0.3">
      <c r="A511" s="2">
        <v>45721</v>
      </c>
      <c r="B511" t="s">
        <v>526</v>
      </c>
      <c r="C511" t="s">
        <v>1125</v>
      </c>
      <c r="D511" t="s">
        <v>1133</v>
      </c>
      <c r="E511" t="s">
        <v>1141</v>
      </c>
      <c r="F511" t="s">
        <v>1151</v>
      </c>
      <c r="G511" t="s">
        <v>1155</v>
      </c>
      <c r="H511">
        <v>4</v>
      </c>
      <c r="I511">
        <v>53347</v>
      </c>
      <c r="J511">
        <v>15</v>
      </c>
      <c r="K511">
        <v>45344.95</v>
      </c>
      <c r="L511">
        <v>181379.8</v>
      </c>
      <c r="M511">
        <v>1500</v>
      </c>
      <c r="N511" t="s">
        <v>1160</v>
      </c>
      <c r="O511" t="s">
        <v>1162</v>
      </c>
      <c r="Q511">
        <v>3</v>
      </c>
    </row>
    <row r="512" spans="1:18" x14ac:dyDescent="0.3">
      <c r="A512" s="2">
        <v>45679</v>
      </c>
      <c r="B512" t="s">
        <v>527</v>
      </c>
      <c r="C512" t="s">
        <v>1123</v>
      </c>
      <c r="D512" t="s">
        <v>1135</v>
      </c>
      <c r="E512" t="s">
        <v>1147</v>
      </c>
      <c r="F512" t="s">
        <v>1150</v>
      </c>
      <c r="G512" t="s">
        <v>1156</v>
      </c>
      <c r="H512">
        <v>2</v>
      </c>
      <c r="I512">
        <v>50162</v>
      </c>
      <c r="J512">
        <v>20</v>
      </c>
      <c r="K512">
        <v>40129.599999999999</v>
      </c>
      <c r="L512">
        <v>80259.199999999997</v>
      </c>
      <c r="M512">
        <v>1500</v>
      </c>
      <c r="N512" t="s">
        <v>1161</v>
      </c>
      <c r="O512" t="s">
        <v>1162</v>
      </c>
      <c r="Q512">
        <v>2</v>
      </c>
    </row>
    <row r="513" spans="1:18" x14ac:dyDescent="0.3">
      <c r="A513" s="2">
        <v>45823</v>
      </c>
      <c r="B513" t="s">
        <v>528</v>
      </c>
      <c r="C513" t="s">
        <v>1128</v>
      </c>
      <c r="D513" t="s">
        <v>1135</v>
      </c>
      <c r="E513" t="s">
        <v>1146</v>
      </c>
      <c r="F513" t="s">
        <v>1151</v>
      </c>
      <c r="G513" t="s">
        <v>1155</v>
      </c>
      <c r="H513">
        <v>4</v>
      </c>
      <c r="I513">
        <v>4083</v>
      </c>
      <c r="J513">
        <v>20</v>
      </c>
      <c r="K513">
        <v>3266.4</v>
      </c>
      <c r="L513">
        <v>13065.6</v>
      </c>
      <c r="M513">
        <v>1500</v>
      </c>
      <c r="N513" t="s">
        <v>1160</v>
      </c>
      <c r="O513" t="s">
        <v>1162</v>
      </c>
      <c r="Q513">
        <v>2</v>
      </c>
      <c r="R513" t="s">
        <v>1170</v>
      </c>
    </row>
    <row r="514" spans="1:18" x14ac:dyDescent="0.3">
      <c r="A514" s="2">
        <v>45805</v>
      </c>
      <c r="B514" t="s">
        <v>529</v>
      </c>
      <c r="C514" t="s">
        <v>1120</v>
      </c>
      <c r="D514" t="s">
        <v>1135</v>
      </c>
      <c r="E514" t="s">
        <v>1144</v>
      </c>
      <c r="F514" t="s">
        <v>1151</v>
      </c>
      <c r="G514" t="s">
        <v>1157</v>
      </c>
      <c r="H514">
        <v>2</v>
      </c>
      <c r="I514">
        <v>47691</v>
      </c>
      <c r="J514">
        <v>15</v>
      </c>
      <c r="K514">
        <v>40537.35</v>
      </c>
      <c r="L514">
        <v>81074.7</v>
      </c>
      <c r="M514">
        <v>2000</v>
      </c>
      <c r="N514" t="s">
        <v>1159</v>
      </c>
      <c r="O514" t="s">
        <v>1162</v>
      </c>
      <c r="Q514">
        <v>1</v>
      </c>
      <c r="R514" t="s">
        <v>1169</v>
      </c>
    </row>
    <row r="515" spans="1:18" x14ac:dyDescent="0.3">
      <c r="A515" s="2">
        <v>45698</v>
      </c>
      <c r="B515" t="s">
        <v>530</v>
      </c>
      <c r="C515" t="s">
        <v>1131</v>
      </c>
      <c r="D515" t="s">
        <v>1136</v>
      </c>
      <c r="E515" t="s">
        <v>1145</v>
      </c>
      <c r="F515" t="s">
        <v>1149</v>
      </c>
      <c r="G515" t="s">
        <v>1153</v>
      </c>
      <c r="H515">
        <v>2</v>
      </c>
      <c r="I515">
        <v>7890</v>
      </c>
      <c r="J515">
        <v>20</v>
      </c>
      <c r="K515">
        <v>6312</v>
      </c>
      <c r="L515">
        <v>12624</v>
      </c>
      <c r="M515">
        <v>2000</v>
      </c>
      <c r="N515" t="s">
        <v>1160</v>
      </c>
      <c r="O515" t="s">
        <v>1163</v>
      </c>
      <c r="Q515">
        <v>5</v>
      </c>
      <c r="R515" t="s">
        <v>1167</v>
      </c>
    </row>
    <row r="516" spans="1:18" x14ac:dyDescent="0.3">
      <c r="A516" s="2">
        <v>45716</v>
      </c>
      <c r="B516" t="s">
        <v>531</v>
      </c>
      <c r="C516" t="s">
        <v>1124</v>
      </c>
      <c r="D516" t="s">
        <v>1135</v>
      </c>
      <c r="E516" t="s">
        <v>1148</v>
      </c>
      <c r="F516" t="s">
        <v>1149</v>
      </c>
      <c r="G516" t="s">
        <v>1152</v>
      </c>
      <c r="H516">
        <v>1</v>
      </c>
      <c r="I516">
        <v>26695</v>
      </c>
      <c r="J516">
        <v>0</v>
      </c>
      <c r="K516">
        <v>26695</v>
      </c>
      <c r="L516">
        <v>26695</v>
      </c>
      <c r="M516">
        <v>1000</v>
      </c>
      <c r="N516" t="s">
        <v>1159</v>
      </c>
      <c r="O516" t="s">
        <v>1164</v>
      </c>
      <c r="P516" s="2">
        <v>45728</v>
      </c>
      <c r="Q516">
        <v>2</v>
      </c>
      <c r="R516" t="s">
        <v>1168</v>
      </c>
    </row>
    <row r="517" spans="1:18" x14ac:dyDescent="0.3">
      <c r="A517" s="2">
        <v>45693</v>
      </c>
      <c r="B517" t="s">
        <v>532</v>
      </c>
      <c r="C517" t="s">
        <v>1124</v>
      </c>
      <c r="D517" t="s">
        <v>1135</v>
      </c>
      <c r="E517" t="s">
        <v>1144</v>
      </c>
      <c r="F517" t="s">
        <v>1151</v>
      </c>
      <c r="G517" t="s">
        <v>1157</v>
      </c>
      <c r="H517">
        <v>5</v>
      </c>
      <c r="I517">
        <v>30823</v>
      </c>
      <c r="J517">
        <v>5</v>
      </c>
      <c r="K517">
        <v>29281.85</v>
      </c>
      <c r="L517">
        <v>146409.25</v>
      </c>
      <c r="M517">
        <v>2000</v>
      </c>
      <c r="N517" t="s">
        <v>1159</v>
      </c>
      <c r="O517" t="s">
        <v>1163</v>
      </c>
      <c r="R517" t="s">
        <v>1169</v>
      </c>
    </row>
    <row r="518" spans="1:18" x14ac:dyDescent="0.3">
      <c r="A518" s="2">
        <v>45707</v>
      </c>
      <c r="B518" t="s">
        <v>533</v>
      </c>
      <c r="C518" t="s">
        <v>1119</v>
      </c>
      <c r="D518" t="s">
        <v>1134</v>
      </c>
      <c r="E518" t="s">
        <v>1140</v>
      </c>
      <c r="F518" t="s">
        <v>1150</v>
      </c>
      <c r="G518" t="s">
        <v>1154</v>
      </c>
      <c r="H518">
        <v>4</v>
      </c>
      <c r="I518">
        <v>37839</v>
      </c>
      <c r="J518">
        <v>20</v>
      </c>
      <c r="K518">
        <v>30271.200000000001</v>
      </c>
      <c r="L518">
        <v>121084.8</v>
      </c>
      <c r="M518">
        <v>1500</v>
      </c>
      <c r="N518" t="s">
        <v>1160</v>
      </c>
      <c r="O518" t="s">
        <v>1164</v>
      </c>
      <c r="P518" s="2">
        <v>45715</v>
      </c>
      <c r="Q518">
        <v>5</v>
      </c>
    </row>
    <row r="519" spans="1:18" x14ac:dyDescent="0.3">
      <c r="A519" s="2">
        <v>45678</v>
      </c>
      <c r="B519" t="s">
        <v>534</v>
      </c>
      <c r="C519" t="s">
        <v>1126</v>
      </c>
      <c r="D519" t="s">
        <v>1133</v>
      </c>
      <c r="E519" t="s">
        <v>1143</v>
      </c>
      <c r="F519" t="s">
        <v>1151</v>
      </c>
      <c r="G519" t="s">
        <v>1157</v>
      </c>
      <c r="H519">
        <v>3</v>
      </c>
      <c r="I519">
        <v>51713</v>
      </c>
      <c r="J519">
        <v>20</v>
      </c>
      <c r="K519">
        <v>41370.400000000001</v>
      </c>
      <c r="L519">
        <v>124111.2</v>
      </c>
      <c r="M519">
        <v>2000</v>
      </c>
      <c r="N519" t="s">
        <v>1161</v>
      </c>
      <c r="O519" t="s">
        <v>1163</v>
      </c>
      <c r="R519" t="s">
        <v>1170</v>
      </c>
    </row>
    <row r="520" spans="1:18" x14ac:dyDescent="0.3">
      <c r="A520" s="2">
        <v>45677</v>
      </c>
      <c r="B520" t="s">
        <v>535</v>
      </c>
      <c r="C520" t="s">
        <v>1118</v>
      </c>
      <c r="D520" t="s">
        <v>1134</v>
      </c>
      <c r="E520" t="s">
        <v>1145</v>
      </c>
      <c r="F520" t="s">
        <v>1149</v>
      </c>
      <c r="G520" t="s">
        <v>1153</v>
      </c>
      <c r="H520">
        <v>3</v>
      </c>
      <c r="I520">
        <v>22052</v>
      </c>
      <c r="J520">
        <v>10</v>
      </c>
      <c r="K520">
        <v>19846.8</v>
      </c>
      <c r="L520">
        <v>59540.399999999987</v>
      </c>
      <c r="M520">
        <v>1500</v>
      </c>
      <c r="N520" t="s">
        <v>1160</v>
      </c>
      <c r="O520" t="s">
        <v>1162</v>
      </c>
      <c r="Q520">
        <v>4</v>
      </c>
      <c r="R520" t="s">
        <v>1170</v>
      </c>
    </row>
    <row r="521" spans="1:18" x14ac:dyDescent="0.3">
      <c r="A521" s="2">
        <v>45690</v>
      </c>
      <c r="B521" t="s">
        <v>536</v>
      </c>
      <c r="C521" t="s">
        <v>1126</v>
      </c>
      <c r="D521" t="s">
        <v>1133</v>
      </c>
      <c r="E521" t="s">
        <v>1148</v>
      </c>
      <c r="F521" t="s">
        <v>1149</v>
      </c>
      <c r="G521" t="s">
        <v>1152</v>
      </c>
      <c r="H521">
        <v>3</v>
      </c>
      <c r="I521">
        <v>23019</v>
      </c>
      <c r="J521" t="s">
        <v>1158</v>
      </c>
      <c r="K521">
        <v>19566.150000000001</v>
      </c>
      <c r="L521">
        <v>58698.45</v>
      </c>
      <c r="M521">
        <v>1000</v>
      </c>
      <c r="N521" t="s">
        <v>1160</v>
      </c>
      <c r="O521" t="s">
        <v>1164</v>
      </c>
      <c r="P521" s="2">
        <v>45697</v>
      </c>
      <c r="Q521">
        <v>4</v>
      </c>
    </row>
    <row r="522" spans="1:18" x14ac:dyDescent="0.3">
      <c r="A522" s="2">
        <v>45681</v>
      </c>
      <c r="B522" t="s">
        <v>537</v>
      </c>
      <c r="C522" t="s">
        <v>1130</v>
      </c>
      <c r="D522" t="s">
        <v>1136</v>
      </c>
      <c r="E522" t="s">
        <v>1138</v>
      </c>
      <c r="F522" t="s">
        <v>1149</v>
      </c>
      <c r="G522" t="s">
        <v>1153</v>
      </c>
      <c r="H522">
        <v>2</v>
      </c>
      <c r="I522">
        <v>56562</v>
      </c>
      <c r="J522">
        <v>20</v>
      </c>
      <c r="K522">
        <v>45249.599999999999</v>
      </c>
      <c r="L522">
        <v>90499.199999999997</v>
      </c>
      <c r="M522">
        <v>1500</v>
      </c>
      <c r="N522" t="s">
        <v>1159</v>
      </c>
      <c r="O522" t="s">
        <v>1162</v>
      </c>
      <c r="Q522">
        <v>2</v>
      </c>
      <c r="R522" t="s">
        <v>1170</v>
      </c>
    </row>
    <row r="523" spans="1:18" x14ac:dyDescent="0.3">
      <c r="A523" s="2">
        <v>45813</v>
      </c>
      <c r="B523" t="s">
        <v>538</v>
      </c>
      <c r="C523" t="s">
        <v>1132</v>
      </c>
      <c r="D523" t="s">
        <v>1134</v>
      </c>
      <c r="E523" t="s">
        <v>1143</v>
      </c>
      <c r="F523" t="s">
        <v>1151</v>
      </c>
      <c r="G523" t="s">
        <v>1157</v>
      </c>
      <c r="H523">
        <v>1</v>
      </c>
      <c r="I523">
        <v>24888</v>
      </c>
      <c r="J523">
        <v>10</v>
      </c>
      <c r="K523">
        <v>22399.200000000001</v>
      </c>
      <c r="L523">
        <v>22399.200000000001</v>
      </c>
      <c r="M523">
        <v>1000</v>
      </c>
      <c r="N523" t="s">
        <v>1160</v>
      </c>
      <c r="O523" t="s">
        <v>1164</v>
      </c>
      <c r="P523" s="2">
        <v>45816</v>
      </c>
      <c r="Q523">
        <v>4</v>
      </c>
      <c r="R523" t="s">
        <v>1170</v>
      </c>
    </row>
    <row r="524" spans="1:18" x14ac:dyDescent="0.3">
      <c r="A524" s="2">
        <v>45803</v>
      </c>
      <c r="B524" t="s">
        <v>539</v>
      </c>
      <c r="C524" t="s">
        <v>1131</v>
      </c>
      <c r="D524" t="s">
        <v>1136</v>
      </c>
      <c r="E524" t="s">
        <v>1138</v>
      </c>
      <c r="F524" t="s">
        <v>1149</v>
      </c>
      <c r="G524" t="s">
        <v>1153</v>
      </c>
      <c r="H524">
        <v>3</v>
      </c>
      <c r="I524">
        <v>30722</v>
      </c>
      <c r="J524">
        <v>15</v>
      </c>
      <c r="K524">
        <v>26113.7</v>
      </c>
      <c r="L524">
        <v>78341.100000000006</v>
      </c>
      <c r="M524">
        <v>1000</v>
      </c>
      <c r="N524" t="s">
        <v>1161</v>
      </c>
      <c r="O524" t="s">
        <v>1164</v>
      </c>
      <c r="P524" s="2">
        <v>45805</v>
      </c>
      <c r="Q524">
        <v>5</v>
      </c>
    </row>
    <row r="525" spans="1:18" x14ac:dyDescent="0.3">
      <c r="A525" s="2">
        <v>45798</v>
      </c>
      <c r="B525" t="s">
        <v>540</v>
      </c>
      <c r="C525" t="s">
        <v>1119</v>
      </c>
      <c r="D525" t="s">
        <v>1134</v>
      </c>
      <c r="E525" t="s">
        <v>1143</v>
      </c>
      <c r="F525" t="s">
        <v>1151</v>
      </c>
      <c r="G525" t="s">
        <v>1157</v>
      </c>
      <c r="H525">
        <v>4</v>
      </c>
      <c r="I525">
        <v>5397</v>
      </c>
      <c r="J525">
        <v>15</v>
      </c>
      <c r="K525">
        <v>4587.45</v>
      </c>
      <c r="L525">
        <v>18349.8</v>
      </c>
      <c r="M525">
        <v>1500</v>
      </c>
      <c r="N525" t="s">
        <v>1160</v>
      </c>
      <c r="O525" t="s">
        <v>1163</v>
      </c>
      <c r="Q525">
        <v>5</v>
      </c>
      <c r="R525" t="s">
        <v>1166</v>
      </c>
    </row>
    <row r="526" spans="1:18" x14ac:dyDescent="0.3">
      <c r="A526" s="2">
        <v>45673</v>
      </c>
      <c r="B526" t="s">
        <v>541</v>
      </c>
      <c r="C526" t="s">
        <v>1119</v>
      </c>
      <c r="D526" t="s">
        <v>1134</v>
      </c>
      <c r="E526" t="s">
        <v>1140</v>
      </c>
      <c r="F526" t="s">
        <v>1150</v>
      </c>
      <c r="G526" t="s">
        <v>1154</v>
      </c>
      <c r="H526">
        <v>5</v>
      </c>
      <c r="I526">
        <v>53933</v>
      </c>
      <c r="J526">
        <v>10</v>
      </c>
      <c r="K526">
        <v>48539.7</v>
      </c>
      <c r="L526">
        <v>242698.5</v>
      </c>
      <c r="M526">
        <v>1000</v>
      </c>
      <c r="N526" t="s">
        <v>1160</v>
      </c>
      <c r="O526" t="s">
        <v>1162</v>
      </c>
      <c r="Q526">
        <v>4</v>
      </c>
      <c r="R526" t="s">
        <v>1169</v>
      </c>
    </row>
    <row r="527" spans="1:18" x14ac:dyDescent="0.3">
      <c r="A527" s="2">
        <v>45685</v>
      </c>
      <c r="B527" t="s">
        <v>542</v>
      </c>
      <c r="C527" t="s">
        <v>1124</v>
      </c>
      <c r="D527" t="s">
        <v>1135</v>
      </c>
      <c r="E527" t="s">
        <v>1139</v>
      </c>
      <c r="F527" t="s">
        <v>1150</v>
      </c>
      <c r="G527" t="s">
        <v>1154</v>
      </c>
      <c r="H527">
        <v>1</v>
      </c>
      <c r="I527">
        <v>45935</v>
      </c>
      <c r="J527">
        <v>5</v>
      </c>
      <c r="K527">
        <v>43638.25</v>
      </c>
      <c r="L527">
        <v>43638.25</v>
      </c>
      <c r="M527">
        <v>1000</v>
      </c>
      <c r="N527" t="s">
        <v>1161</v>
      </c>
      <c r="O527" t="s">
        <v>1163</v>
      </c>
      <c r="Q527">
        <v>2</v>
      </c>
      <c r="R527" t="s">
        <v>1167</v>
      </c>
    </row>
    <row r="528" spans="1:18" x14ac:dyDescent="0.3">
      <c r="A528" s="2">
        <v>45814</v>
      </c>
      <c r="B528" t="s">
        <v>543</v>
      </c>
      <c r="C528" t="s">
        <v>1129</v>
      </c>
      <c r="D528" t="s">
        <v>1133</v>
      </c>
      <c r="E528" t="s">
        <v>1148</v>
      </c>
      <c r="F528" t="s">
        <v>1149</v>
      </c>
      <c r="G528" t="s">
        <v>1152</v>
      </c>
      <c r="H528">
        <v>2</v>
      </c>
      <c r="I528">
        <v>43726</v>
      </c>
      <c r="J528" t="s">
        <v>1158</v>
      </c>
      <c r="K528">
        <v>39353.4</v>
      </c>
      <c r="L528">
        <v>78706.8</v>
      </c>
      <c r="M528">
        <v>1000</v>
      </c>
      <c r="N528" t="s">
        <v>1161</v>
      </c>
      <c r="O528" t="s">
        <v>1163</v>
      </c>
      <c r="Q528">
        <v>2</v>
      </c>
      <c r="R528" t="s">
        <v>1166</v>
      </c>
    </row>
    <row r="529" spans="1:18" x14ac:dyDescent="0.3">
      <c r="A529" s="2">
        <v>45661</v>
      </c>
      <c r="B529" t="s">
        <v>544</v>
      </c>
      <c r="C529" t="s">
        <v>1128</v>
      </c>
      <c r="D529" t="s">
        <v>1135</v>
      </c>
      <c r="E529" t="s">
        <v>1147</v>
      </c>
      <c r="F529" t="s">
        <v>1150</v>
      </c>
      <c r="G529" t="s">
        <v>1156</v>
      </c>
      <c r="H529">
        <v>4</v>
      </c>
      <c r="I529">
        <v>44943</v>
      </c>
      <c r="J529">
        <v>20</v>
      </c>
      <c r="K529">
        <v>35954.400000000001</v>
      </c>
      <c r="L529">
        <v>143817.60000000001</v>
      </c>
      <c r="M529">
        <v>1000</v>
      </c>
      <c r="N529" t="s">
        <v>1161</v>
      </c>
      <c r="O529" t="s">
        <v>1164</v>
      </c>
      <c r="P529" s="2">
        <v>45674</v>
      </c>
      <c r="Q529">
        <v>3</v>
      </c>
    </row>
    <row r="530" spans="1:18" x14ac:dyDescent="0.3">
      <c r="A530" s="2">
        <v>45658</v>
      </c>
      <c r="B530" t="s">
        <v>545</v>
      </c>
      <c r="C530" t="s">
        <v>1119</v>
      </c>
      <c r="D530" t="s">
        <v>1134</v>
      </c>
      <c r="E530" t="s">
        <v>1143</v>
      </c>
      <c r="F530" t="s">
        <v>1151</v>
      </c>
      <c r="G530" t="s">
        <v>1157</v>
      </c>
      <c r="H530">
        <v>4</v>
      </c>
      <c r="I530">
        <v>8891</v>
      </c>
      <c r="J530" t="s">
        <v>1158</v>
      </c>
      <c r="K530">
        <v>7557.35</v>
      </c>
      <c r="L530">
        <v>30229.4</v>
      </c>
      <c r="M530">
        <v>1500</v>
      </c>
      <c r="N530" t="s">
        <v>1159</v>
      </c>
      <c r="O530" t="s">
        <v>1162</v>
      </c>
      <c r="Q530">
        <v>1</v>
      </c>
    </row>
    <row r="531" spans="1:18" x14ac:dyDescent="0.3">
      <c r="A531" s="2">
        <v>45805</v>
      </c>
      <c r="B531" t="s">
        <v>546</v>
      </c>
      <c r="C531" t="s">
        <v>1131</v>
      </c>
      <c r="D531" t="s">
        <v>1136</v>
      </c>
      <c r="E531" t="s">
        <v>1144</v>
      </c>
      <c r="F531" t="s">
        <v>1151</v>
      </c>
      <c r="G531" t="s">
        <v>1157</v>
      </c>
      <c r="H531">
        <v>4</v>
      </c>
      <c r="I531">
        <v>7092</v>
      </c>
      <c r="J531">
        <v>15</v>
      </c>
      <c r="K531">
        <v>6028.2</v>
      </c>
      <c r="L531">
        <v>24112.799999999999</v>
      </c>
      <c r="M531">
        <v>1500</v>
      </c>
      <c r="N531" t="s">
        <v>1161</v>
      </c>
      <c r="O531" t="s">
        <v>1163</v>
      </c>
      <c r="Q531">
        <v>3</v>
      </c>
      <c r="R531" t="s">
        <v>1166</v>
      </c>
    </row>
    <row r="532" spans="1:18" x14ac:dyDescent="0.3">
      <c r="A532" s="2">
        <v>45682</v>
      </c>
      <c r="B532" t="s">
        <v>547</v>
      </c>
      <c r="C532" t="s">
        <v>1127</v>
      </c>
      <c r="D532" t="s">
        <v>1134</v>
      </c>
      <c r="E532" t="s">
        <v>1145</v>
      </c>
      <c r="F532" t="s">
        <v>1149</v>
      </c>
      <c r="G532" t="s">
        <v>1153</v>
      </c>
      <c r="H532">
        <v>3</v>
      </c>
      <c r="I532">
        <v>45461</v>
      </c>
      <c r="J532">
        <v>5</v>
      </c>
      <c r="K532">
        <v>43187.95</v>
      </c>
      <c r="L532">
        <v>129563.85</v>
      </c>
      <c r="M532">
        <v>2000</v>
      </c>
      <c r="N532" t="s">
        <v>1161</v>
      </c>
      <c r="O532" t="s">
        <v>1164</v>
      </c>
      <c r="P532" s="2">
        <v>45688</v>
      </c>
      <c r="Q532">
        <v>4</v>
      </c>
      <c r="R532" t="s">
        <v>1169</v>
      </c>
    </row>
    <row r="533" spans="1:18" x14ac:dyDescent="0.3">
      <c r="A533" s="2">
        <v>45743</v>
      </c>
      <c r="B533" t="s">
        <v>548</v>
      </c>
      <c r="C533" t="s">
        <v>1117</v>
      </c>
      <c r="D533" t="s">
        <v>1133</v>
      </c>
      <c r="E533" t="s">
        <v>1139</v>
      </c>
      <c r="F533" t="s">
        <v>1150</v>
      </c>
      <c r="G533" t="s">
        <v>1154</v>
      </c>
      <c r="H533">
        <v>1</v>
      </c>
      <c r="I533">
        <v>47083</v>
      </c>
      <c r="J533">
        <v>15</v>
      </c>
      <c r="K533">
        <v>40020.550000000003</v>
      </c>
      <c r="L533">
        <v>40020.550000000003</v>
      </c>
      <c r="M533">
        <v>1000</v>
      </c>
      <c r="N533" t="s">
        <v>1160</v>
      </c>
      <c r="O533" t="s">
        <v>1163</v>
      </c>
    </row>
    <row r="534" spans="1:18" x14ac:dyDescent="0.3">
      <c r="A534" s="2">
        <v>45769</v>
      </c>
      <c r="B534" t="s">
        <v>549</v>
      </c>
      <c r="C534" t="s">
        <v>1120</v>
      </c>
      <c r="D534" t="s">
        <v>1135</v>
      </c>
      <c r="E534" t="s">
        <v>1140</v>
      </c>
      <c r="F534" t="s">
        <v>1150</v>
      </c>
      <c r="G534" t="s">
        <v>1154</v>
      </c>
      <c r="H534">
        <v>3</v>
      </c>
      <c r="I534">
        <v>37070</v>
      </c>
      <c r="J534">
        <v>15</v>
      </c>
      <c r="K534">
        <v>31509.5</v>
      </c>
      <c r="L534">
        <v>94528.5</v>
      </c>
      <c r="M534">
        <v>1000</v>
      </c>
      <c r="N534" t="s">
        <v>1159</v>
      </c>
      <c r="O534" t="s">
        <v>1164</v>
      </c>
      <c r="P534" s="2">
        <v>45774</v>
      </c>
      <c r="Q534">
        <v>2</v>
      </c>
      <c r="R534" t="s">
        <v>1170</v>
      </c>
    </row>
    <row r="535" spans="1:18" x14ac:dyDescent="0.3">
      <c r="A535" s="2">
        <v>45737</v>
      </c>
      <c r="B535" t="s">
        <v>550</v>
      </c>
      <c r="C535" t="s">
        <v>1130</v>
      </c>
      <c r="D535" t="s">
        <v>1136</v>
      </c>
      <c r="E535" t="s">
        <v>1145</v>
      </c>
      <c r="F535" t="s">
        <v>1149</v>
      </c>
      <c r="G535" t="s">
        <v>1153</v>
      </c>
      <c r="H535">
        <v>5</v>
      </c>
      <c r="I535">
        <v>12785</v>
      </c>
      <c r="J535">
        <v>10</v>
      </c>
      <c r="K535">
        <v>11506.5</v>
      </c>
      <c r="L535">
        <v>57532.5</v>
      </c>
      <c r="M535">
        <v>1500</v>
      </c>
      <c r="N535" t="s">
        <v>1160</v>
      </c>
      <c r="O535" t="s">
        <v>1162</v>
      </c>
      <c r="Q535">
        <v>4</v>
      </c>
      <c r="R535" t="s">
        <v>1166</v>
      </c>
    </row>
    <row r="536" spans="1:18" x14ac:dyDescent="0.3">
      <c r="A536" s="2">
        <v>45700</v>
      </c>
      <c r="B536" t="s">
        <v>551</v>
      </c>
      <c r="C536" t="s">
        <v>1118</v>
      </c>
      <c r="D536" t="s">
        <v>1134</v>
      </c>
      <c r="E536" t="s">
        <v>1145</v>
      </c>
      <c r="F536" t="s">
        <v>1149</v>
      </c>
      <c r="G536" t="s">
        <v>1153</v>
      </c>
      <c r="H536">
        <v>5</v>
      </c>
      <c r="I536">
        <v>44586</v>
      </c>
      <c r="J536">
        <v>20</v>
      </c>
      <c r="K536">
        <v>35668.800000000003</v>
      </c>
      <c r="L536">
        <v>178344</v>
      </c>
      <c r="M536">
        <v>1000</v>
      </c>
      <c r="N536" t="s">
        <v>1161</v>
      </c>
      <c r="O536" t="s">
        <v>1162</v>
      </c>
      <c r="Q536">
        <v>5</v>
      </c>
      <c r="R536" t="s">
        <v>1168</v>
      </c>
    </row>
    <row r="537" spans="1:18" x14ac:dyDescent="0.3">
      <c r="A537" s="2">
        <v>45772</v>
      </c>
      <c r="B537" t="s">
        <v>552</v>
      </c>
      <c r="C537" t="s">
        <v>1129</v>
      </c>
      <c r="D537" t="s">
        <v>1133</v>
      </c>
      <c r="E537" t="s">
        <v>1145</v>
      </c>
      <c r="F537" t="s">
        <v>1149</v>
      </c>
      <c r="G537" t="s">
        <v>1153</v>
      </c>
      <c r="H537">
        <v>2</v>
      </c>
      <c r="I537">
        <v>51551</v>
      </c>
      <c r="J537">
        <v>5</v>
      </c>
      <c r="K537">
        <v>48973.45</v>
      </c>
      <c r="L537">
        <v>97946.9</v>
      </c>
      <c r="M537">
        <v>2000</v>
      </c>
      <c r="N537" t="s">
        <v>1160</v>
      </c>
      <c r="O537" t="s">
        <v>1163</v>
      </c>
      <c r="Q537" t="s">
        <v>1165</v>
      </c>
      <c r="R537" t="s">
        <v>1169</v>
      </c>
    </row>
    <row r="538" spans="1:18" x14ac:dyDescent="0.3">
      <c r="A538" s="2">
        <v>45677</v>
      </c>
      <c r="B538" t="s">
        <v>553</v>
      </c>
      <c r="C538" t="s">
        <v>1127</v>
      </c>
      <c r="D538" t="s">
        <v>1134</v>
      </c>
      <c r="E538" t="s">
        <v>1148</v>
      </c>
      <c r="F538" t="s">
        <v>1149</v>
      </c>
      <c r="G538" t="s">
        <v>1152</v>
      </c>
      <c r="H538">
        <v>4</v>
      </c>
      <c r="I538">
        <v>61892</v>
      </c>
      <c r="J538">
        <v>0</v>
      </c>
      <c r="K538">
        <v>61892</v>
      </c>
      <c r="L538">
        <v>247568</v>
      </c>
      <c r="M538">
        <v>2000</v>
      </c>
      <c r="N538" t="s">
        <v>1160</v>
      </c>
      <c r="O538" t="s">
        <v>1162</v>
      </c>
      <c r="Q538">
        <v>4</v>
      </c>
    </row>
    <row r="539" spans="1:18" x14ac:dyDescent="0.3">
      <c r="A539" s="2">
        <v>45662</v>
      </c>
      <c r="B539" t="s">
        <v>554</v>
      </c>
      <c r="C539" t="s">
        <v>1120</v>
      </c>
      <c r="D539" t="s">
        <v>1135</v>
      </c>
      <c r="E539" t="s">
        <v>1147</v>
      </c>
      <c r="F539" t="s">
        <v>1150</v>
      </c>
      <c r="G539" t="s">
        <v>1156</v>
      </c>
      <c r="H539">
        <v>5</v>
      </c>
      <c r="I539">
        <v>42791</v>
      </c>
      <c r="J539">
        <v>5</v>
      </c>
      <c r="K539">
        <v>40651.449999999997</v>
      </c>
      <c r="L539">
        <v>203257.25</v>
      </c>
      <c r="M539">
        <v>1500</v>
      </c>
      <c r="N539" t="s">
        <v>1161</v>
      </c>
      <c r="O539" t="s">
        <v>1163</v>
      </c>
      <c r="Q539">
        <v>2</v>
      </c>
      <c r="R539" t="s">
        <v>1169</v>
      </c>
    </row>
    <row r="540" spans="1:18" x14ac:dyDescent="0.3">
      <c r="A540" s="2">
        <v>45772</v>
      </c>
      <c r="B540" t="s">
        <v>555</v>
      </c>
      <c r="C540" t="s">
        <v>1117</v>
      </c>
      <c r="D540" t="s">
        <v>1133</v>
      </c>
      <c r="E540" t="s">
        <v>1137</v>
      </c>
      <c r="F540" t="s">
        <v>1149</v>
      </c>
      <c r="G540" t="s">
        <v>1152</v>
      </c>
      <c r="H540">
        <v>2</v>
      </c>
      <c r="I540">
        <v>17459</v>
      </c>
      <c r="J540" t="s">
        <v>1158</v>
      </c>
      <c r="K540">
        <v>16586.05</v>
      </c>
      <c r="L540">
        <v>33172.1</v>
      </c>
      <c r="M540">
        <v>2000</v>
      </c>
      <c r="N540" t="s">
        <v>1160</v>
      </c>
      <c r="O540" t="s">
        <v>1162</v>
      </c>
      <c r="Q540">
        <v>3</v>
      </c>
    </row>
    <row r="541" spans="1:18" x14ac:dyDescent="0.3">
      <c r="A541" s="2">
        <v>45667</v>
      </c>
      <c r="B541" t="s">
        <v>556</v>
      </c>
      <c r="C541" t="s">
        <v>1119</v>
      </c>
      <c r="D541" t="s">
        <v>1134</v>
      </c>
      <c r="E541" t="s">
        <v>1137</v>
      </c>
      <c r="F541" t="s">
        <v>1149</v>
      </c>
      <c r="G541" t="s">
        <v>1152</v>
      </c>
      <c r="H541">
        <v>5</v>
      </c>
      <c r="I541">
        <v>14191</v>
      </c>
      <c r="J541">
        <v>15</v>
      </c>
      <c r="K541">
        <v>12062.35</v>
      </c>
      <c r="L541">
        <v>60311.75</v>
      </c>
      <c r="M541">
        <v>1500</v>
      </c>
      <c r="N541" t="s">
        <v>1160</v>
      </c>
      <c r="O541" t="s">
        <v>1164</v>
      </c>
      <c r="P541" s="2">
        <v>45681</v>
      </c>
      <c r="Q541">
        <v>2</v>
      </c>
      <c r="R541" t="s">
        <v>1167</v>
      </c>
    </row>
    <row r="542" spans="1:18" x14ac:dyDescent="0.3">
      <c r="A542" s="2">
        <v>45807</v>
      </c>
      <c r="B542" t="s">
        <v>557</v>
      </c>
      <c r="C542" t="s">
        <v>1127</v>
      </c>
      <c r="D542" t="s">
        <v>1134</v>
      </c>
      <c r="E542" t="s">
        <v>1139</v>
      </c>
      <c r="F542" t="s">
        <v>1150</v>
      </c>
      <c r="G542" t="s">
        <v>1154</v>
      </c>
      <c r="H542">
        <v>3</v>
      </c>
      <c r="I542">
        <v>35924</v>
      </c>
      <c r="J542">
        <v>0</v>
      </c>
      <c r="K542">
        <v>35924</v>
      </c>
      <c r="L542">
        <v>107772</v>
      </c>
      <c r="M542">
        <v>1500</v>
      </c>
      <c r="N542" t="s">
        <v>1160</v>
      </c>
      <c r="O542" t="s">
        <v>1163</v>
      </c>
      <c r="Q542">
        <v>1</v>
      </c>
    </row>
    <row r="543" spans="1:18" x14ac:dyDescent="0.3">
      <c r="A543" s="2">
        <v>45750</v>
      </c>
      <c r="B543" t="s">
        <v>558</v>
      </c>
      <c r="C543" t="s">
        <v>1121</v>
      </c>
      <c r="D543" t="s">
        <v>1136</v>
      </c>
      <c r="E543" t="s">
        <v>1146</v>
      </c>
      <c r="F543" t="s">
        <v>1151</v>
      </c>
      <c r="G543" t="s">
        <v>1155</v>
      </c>
      <c r="H543">
        <v>5</v>
      </c>
      <c r="I543">
        <v>2188</v>
      </c>
      <c r="J543">
        <v>20</v>
      </c>
      <c r="K543">
        <v>1750.4</v>
      </c>
      <c r="L543">
        <v>8752</v>
      </c>
      <c r="M543">
        <v>1000</v>
      </c>
      <c r="N543" t="s">
        <v>1160</v>
      </c>
      <c r="O543" t="s">
        <v>1162</v>
      </c>
      <c r="Q543">
        <v>4</v>
      </c>
      <c r="R543" t="s">
        <v>1170</v>
      </c>
    </row>
    <row r="544" spans="1:18" x14ac:dyDescent="0.3">
      <c r="A544" s="2">
        <v>45721</v>
      </c>
      <c r="B544" t="s">
        <v>559</v>
      </c>
      <c r="C544" t="s">
        <v>1131</v>
      </c>
      <c r="D544" t="s">
        <v>1136</v>
      </c>
      <c r="E544" t="s">
        <v>1141</v>
      </c>
      <c r="F544" t="s">
        <v>1151</v>
      </c>
      <c r="G544" t="s">
        <v>1155</v>
      </c>
      <c r="H544">
        <v>2</v>
      </c>
      <c r="I544">
        <v>75409</v>
      </c>
      <c r="J544">
        <v>5</v>
      </c>
      <c r="K544">
        <v>71638.55</v>
      </c>
      <c r="L544">
        <v>143277.1</v>
      </c>
      <c r="M544">
        <v>2000</v>
      </c>
      <c r="N544" t="s">
        <v>1161</v>
      </c>
      <c r="O544" t="s">
        <v>1163</v>
      </c>
      <c r="Q544">
        <v>3</v>
      </c>
      <c r="R544" t="s">
        <v>1169</v>
      </c>
    </row>
    <row r="545" spans="1:18" x14ac:dyDescent="0.3">
      <c r="A545" s="2">
        <v>45831</v>
      </c>
      <c r="B545" t="s">
        <v>560</v>
      </c>
      <c r="C545" t="s">
        <v>1118</v>
      </c>
      <c r="D545" t="s">
        <v>1134</v>
      </c>
      <c r="E545" t="s">
        <v>1144</v>
      </c>
      <c r="F545" t="s">
        <v>1151</v>
      </c>
      <c r="G545" t="s">
        <v>1157</v>
      </c>
      <c r="H545">
        <v>3</v>
      </c>
      <c r="I545">
        <v>75922</v>
      </c>
      <c r="J545">
        <v>20</v>
      </c>
      <c r="K545">
        <v>60737.599999999999</v>
      </c>
      <c r="L545">
        <v>182212.8</v>
      </c>
      <c r="M545">
        <v>1500</v>
      </c>
      <c r="N545" t="s">
        <v>1159</v>
      </c>
      <c r="O545" t="s">
        <v>1164</v>
      </c>
      <c r="P545" s="2">
        <v>45844</v>
      </c>
      <c r="R545" t="s">
        <v>1168</v>
      </c>
    </row>
    <row r="546" spans="1:18" x14ac:dyDescent="0.3">
      <c r="A546" s="2">
        <v>45800</v>
      </c>
      <c r="B546" t="s">
        <v>561</v>
      </c>
      <c r="C546" t="s">
        <v>1126</v>
      </c>
      <c r="D546" t="s">
        <v>1133</v>
      </c>
      <c r="E546" t="s">
        <v>1145</v>
      </c>
      <c r="F546" t="s">
        <v>1149</v>
      </c>
      <c r="G546" t="s">
        <v>1153</v>
      </c>
      <c r="H546">
        <v>3</v>
      </c>
      <c r="I546">
        <v>49408</v>
      </c>
      <c r="J546">
        <v>5</v>
      </c>
      <c r="K546">
        <v>46937.599999999999</v>
      </c>
      <c r="L546">
        <v>140812.79999999999</v>
      </c>
      <c r="M546">
        <v>1500</v>
      </c>
      <c r="N546" t="s">
        <v>1159</v>
      </c>
      <c r="O546" t="s">
        <v>1162</v>
      </c>
      <c r="Q546">
        <v>4</v>
      </c>
      <c r="R546" t="s">
        <v>1168</v>
      </c>
    </row>
    <row r="547" spans="1:18" x14ac:dyDescent="0.3">
      <c r="A547" s="2">
        <v>45656</v>
      </c>
      <c r="B547" t="s">
        <v>562</v>
      </c>
      <c r="C547" t="s">
        <v>1123</v>
      </c>
      <c r="D547" t="s">
        <v>1135</v>
      </c>
      <c r="E547" t="s">
        <v>1144</v>
      </c>
      <c r="F547" t="s">
        <v>1151</v>
      </c>
      <c r="G547" t="s">
        <v>1157</v>
      </c>
      <c r="H547">
        <v>5</v>
      </c>
      <c r="I547">
        <v>42712</v>
      </c>
      <c r="J547">
        <v>5</v>
      </c>
      <c r="K547">
        <v>40576.400000000001</v>
      </c>
      <c r="L547">
        <v>202882</v>
      </c>
      <c r="M547">
        <v>2000</v>
      </c>
      <c r="N547" t="s">
        <v>1159</v>
      </c>
      <c r="O547" t="s">
        <v>1162</v>
      </c>
      <c r="Q547">
        <v>2</v>
      </c>
      <c r="R547" t="s">
        <v>1167</v>
      </c>
    </row>
    <row r="548" spans="1:18" x14ac:dyDescent="0.3">
      <c r="A548" s="2">
        <v>45764</v>
      </c>
      <c r="B548" t="s">
        <v>563</v>
      </c>
      <c r="C548" t="s">
        <v>1129</v>
      </c>
      <c r="D548" t="s">
        <v>1133</v>
      </c>
      <c r="E548" t="s">
        <v>1145</v>
      </c>
      <c r="F548" t="s">
        <v>1149</v>
      </c>
      <c r="G548" t="s">
        <v>1153</v>
      </c>
      <c r="H548">
        <v>5</v>
      </c>
      <c r="I548">
        <v>12439</v>
      </c>
      <c r="J548">
        <v>20</v>
      </c>
      <c r="K548">
        <v>9951.2000000000007</v>
      </c>
      <c r="L548">
        <v>49756</v>
      </c>
      <c r="M548">
        <v>2000</v>
      </c>
      <c r="N548" t="s">
        <v>1161</v>
      </c>
      <c r="O548" t="s">
        <v>1164</v>
      </c>
      <c r="P548" s="2">
        <v>45773</v>
      </c>
      <c r="R548" t="s">
        <v>1166</v>
      </c>
    </row>
    <row r="549" spans="1:18" x14ac:dyDescent="0.3">
      <c r="A549" s="2">
        <v>45688</v>
      </c>
      <c r="B549" t="s">
        <v>564</v>
      </c>
      <c r="C549" t="s">
        <v>1124</v>
      </c>
      <c r="D549" t="s">
        <v>1135</v>
      </c>
      <c r="E549" t="s">
        <v>1148</v>
      </c>
      <c r="F549" t="s">
        <v>1149</v>
      </c>
      <c r="G549" t="s">
        <v>1152</v>
      </c>
      <c r="H549">
        <v>4</v>
      </c>
      <c r="I549">
        <v>31140</v>
      </c>
      <c r="J549">
        <v>10</v>
      </c>
      <c r="K549">
        <v>28026</v>
      </c>
      <c r="L549">
        <v>112104</v>
      </c>
      <c r="M549">
        <v>1500</v>
      </c>
      <c r="N549" t="s">
        <v>1160</v>
      </c>
      <c r="O549" t="s">
        <v>1163</v>
      </c>
      <c r="Q549">
        <v>3</v>
      </c>
      <c r="R549" t="s">
        <v>1168</v>
      </c>
    </row>
    <row r="550" spans="1:18" x14ac:dyDescent="0.3">
      <c r="A550" s="2">
        <v>45713</v>
      </c>
      <c r="B550" t="s">
        <v>300</v>
      </c>
      <c r="C550" t="s">
        <v>1118</v>
      </c>
      <c r="D550" t="s">
        <v>1134</v>
      </c>
      <c r="E550" t="s">
        <v>1144</v>
      </c>
      <c r="F550" t="s">
        <v>1151</v>
      </c>
      <c r="G550" t="s">
        <v>1157</v>
      </c>
      <c r="H550">
        <v>1</v>
      </c>
      <c r="I550">
        <v>63297</v>
      </c>
      <c r="J550">
        <v>5</v>
      </c>
      <c r="K550">
        <v>60132.15</v>
      </c>
      <c r="L550">
        <v>60132.15</v>
      </c>
      <c r="M550">
        <v>2000</v>
      </c>
      <c r="N550" t="s">
        <v>1159</v>
      </c>
      <c r="O550" t="s">
        <v>1164</v>
      </c>
      <c r="P550" s="2">
        <v>45716</v>
      </c>
      <c r="Q550">
        <v>2</v>
      </c>
      <c r="R550" t="s">
        <v>1170</v>
      </c>
    </row>
    <row r="551" spans="1:18" x14ac:dyDescent="0.3">
      <c r="A551" s="2">
        <v>45719</v>
      </c>
      <c r="B551" t="s">
        <v>565</v>
      </c>
      <c r="C551" t="s">
        <v>1122</v>
      </c>
      <c r="D551" t="s">
        <v>1136</v>
      </c>
      <c r="E551" t="s">
        <v>1148</v>
      </c>
      <c r="F551" t="s">
        <v>1149</v>
      </c>
      <c r="G551" t="s">
        <v>1152</v>
      </c>
      <c r="H551">
        <v>2</v>
      </c>
      <c r="I551">
        <v>14916</v>
      </c>
      <c r="J551">
        <v>20</v>
      </c>
      <c r="K551">
        <v>11932.8</v>
      </c>
      <c r="L551">
        <v>23865.599999999999</v>
      </c>
      <c r="M551">
        <v>2000</v>
      </c>
      <c r="N551" t="s">
        <v>1161</v>
      </c>
      <c r="O551" t="s">
        <v>1163</v>
      </c>
      <c r="Q551">
        <v>4</v>
      </c>
      <c r="R551" t="s">
        <v>1168</v>
      </c>
    </row>
    <row r="552" spans="1:18" x14ac:dyDescent="0.3">
      <c r="A552" s="2">
        <v>45686</v>
      </c>
      <c r="B552" t="s">
        <v>566</v>
      </c>
      <c r="C552" t="s">
        <v>1127</v>
      </c>
      <c r="D552" t="s">
        <v>1134</v>
      </c>
      <c r="E552" t="s">
        <v>1137</v>
      </c>
      <c r="F552" t="s">
        <v>1149</v>
      </c>
      <c r="G552" t="s">
        <v>1152</v>
      </c>
      <c r="H552">
        <v>4</v>
      </c>
      <c r="I552">
        <v>37087</v>
      </c>
      <c r="J552">
        <v>15</v>
      </c>
      <c r="K552">
        <v>31523.95</v>
      </c>
      <c r="L552">
        <v>126095.8</v>
      </c>
      <c r="M552">
        <v>1000</v>
      </c>
      <c r="N552" t="s">
        <v>1160</v>
      </c>
      <c r="O552" t="s">
        <v>1163</v>
      </c>
      <c r="R552" t="s">
        <v>1170</v>
      </c>
    </row>
    <row r="553" spans="1:18" x14ac:dyDescent="0.3">
      <c r="A553" s="2">
        <v>45732</v>
      </c>
      <c r="B553" t="s">
        <v>567</v>
      </c>
      <c r="C553" t="s">
        <v>1131</v>
      </c>
      <c r="D553" t="s">
        <v>1136</v>
      </c>
      <c r="E553" t="s">
        <v>1146</v>
      </c>
      <c r="F553" t="s">
        <v>1151</v>
      </c>
      <c r="G553" t="s">
        <v>1155</v>
      </c>
      <c r="H553">
        <v>4</v>
      </c>
      <c r="I553">
        <v>15814</v>
      </c>
      <c r="J553">
        <v>15</v>
      </c>
      <c r="K553">
        <v>13441.9</v>
      </c>
      <c r="L553">
        <v>53767.6</v>
      </c>
      <c r="M553">
        <v>2000</v>
      </c>
      <c r="N553" t="s">
        <v>1160</v>
      </c>
      <c r="O553" t="s">
        <v>1162</v>
      </c>
      <c r="Q553">
        <v>5</v>
      </c>
      <c r="R553" t="s">
        <v>1169</v>
      </c>
    </row>
    <row r="554" spans="1:18" x14ac:dyDescent="0.3">
      <c r="A554" s="2">
        <v>45746</v>
      </c>
      <c r="B554" t="s">
        <v>568</v>
      </c>
      <c r="C554" t="s">
        <v>1122</v>
      </c>
      <c r="D554" t="s">
        <v>1136</v>
      </c>
      <c r="E554" t="s">
        <v>1147</v>
      </c>
      <c r="F554" t="s">
        <v>1150</v>
      </c>
      <c r="G554" t="s">
        <v>1156</v>
      </c>
      <c r="H554">
        <v>1</v>
      </c>
      <c r="I554">
        <v>79201</v>
      </c>
      <c r="J554">
        <v>15</v>
      </c>
      <c r="K554">
        <v>67320.850000000006</v>
      </c>
      <c r="L554">
        <v>67320.850000000006</v>
      </c>
      <c r="M554">
        <v>2000</v>
      </c>
      <c r="N554" t="s">
        <v>1161</v>
      </c>
      <c r="O554" t="s">
        <v>1162</v>
      </c>
      <c r="Q554">
        <v>4</v>
      </c>
    </row>
    <row r="555" spans="1:18" x14ac:dyDescent="0.3">
      <c r="A555" s="2">
        <v>45709</v>
      </c>
      <c r="B555" t="s">
        <v>569</v>
      </c>
      <c r="C555" t="s">
        <v>1130</v>
      </c>
      <c r="D555" t="s">
        <v>1136</v>
      </c>
      <c r="E555" t="s">
        <v>1143</v>
      </c>
      <c r="F555" t="s">
        <v>1151</v>
      </c>
      <c r="G555" t="s">
        <v>1157</v>
      </c>
      <c r="H555">
        <v>5</v>
      </c>
      <c r="I555">
        <v>9706</v>
      </c>
      <c r="J555">
        <v>15</v>
      </c>
      <c r="K555">
        <v>8250.1</v>
      </c>
      <c r="L555">
        <v>41250.5</v>
      </c>
      <c r="M555">
        <v>1500</v>
      </c>
      <c r="N555" t="s">
        <v>1159</v>
      </c>
      <c r="O555" t="s">
        <v>1163</v>
      </c>
      <c r="Q555">
        <v>5</v>
      </c>
      <c r="R555" t="s">
        <v>1167</v>
      </c>
    </row>
    <row r="556" spans="1:18" x14ac:dyDescent="0.3">
      <c r="A556" s="2">
        <v>45747</v>
      </c>
      <c r="B556" t="s">
        <v>570</v>
      </c>
      <c r="C556" t="s">
        <v>1118</v>
      </c>
      <c r="D556" t="s">
        <v>1134</v>
      </c>
      <c r="E556" t="s">
        <v>1142</v>
      </c>
      <c r="F556" t="s">
        <v>1150</v>
      </c>
      <c r="G556" t="s">
        <v>1156</v>
      </c>
      <c r="H556">
        <v>5</v>
      </c>
      <c r="I556">
        <v>8444</v>
      </c>
      <c r="J556">
        <v>0</v>
      </c>
      <c r="K556">
        <v>8444</v>
      </c>
      <c r="L556">
        <v>42220</v>
      </c>
      <c r="M556">
        <v>2000</v>
      </c>
      <c r="N556" t="s">
        <v>1159</v>
      </c>
      <c r="O556" t="s">
        <v>1162</v>
      </c>
      <c r="Q556">
        <v>3</v>
      </c>
      <c r="R556" t="s">
        <v>1168</v>
      </c>
    </row>
    <row r="557" spans="1:18" x14ac:dyDescent="0.3">
      <c r="A557" s="2">
        <v>45791</v>
      </c>
      <c r="B557" t="s">
        <v>571</v>
      </c>
      <c r="C557" t="s">
        <v>1132</v>
      </c>
      <c r="D557" t="s">
        <v>1134</v>
      </c>
      <c r="E557" t="s">
        <v>1146</v>
      </c>
      <c r="F557" t="s">
        <v>1151</v>
      </c>
      <c r="G557" t="s">
        <v>1155</v>
      </c>
      <c r="H557">
        <v>4</v>
      </c>
      <c r="I557">
        <v>66284</v>
      </c>
      <c r="J557" t="s">
        <v>1158</v>
      </c>
      <c r="K557">
        <v>59655.6</v>
      </c>
      <c r="L557">
        <v>238622.4</v>
      </c>
      <c r="M557">
        <v>2000</v>
      </c>
      <c r="N557" t="s">
        <v>1159</v>
      </c>
      <c r="O557" t="s">
        <v>1162</v>
      </c>
      <c r="Q557">
        <v>1</v>
      </c>
    </row>
    <row r="558" spans="1:18" x14ac:dyDescent="0.3">
      <c r="A558" s="2">
        <v>45730</v>
      </c>
      <c r="B558" t="s">
        <v>572</v>
      </c>
      <c r="C558" t="s">
        <v>1118</v>
      </c>
      <c r="D558" t="s">
        <v>1134</v>
      </c>
      <c r="E558" t="s">
        <v>1140</v>
      </c>
      <c r="F558" t="s">
        <v>1150</v>
      </c>
      <c r="G558" t="s">
        <v>1154</v>
      </c>
      <c r="H558">
        <v>3</v>
      </c>
      <c r="I558">
        <v>78724</v>
      </c>
      <c r="J558">
        <v>15</v>
      </c>
      <c r="K558">
        <v>66915.399999999994</v>
      </c>
      <c r="L558">
        <v>200746.2</v>
      </c>
      <c r="M558">
        <v>2000</v>
      </c>
      <c r="N558" t="s">
        <v>1159</v>
      </c>
      <c r="O558" t="s">
        <v>1164</v>
      </c>
      <c r="P558" s="2">
        <v>45735</v>
      </c>
      <c r="Q558">
        <v>5</v>
      </c>
      <c r="R558" t="s">
        <v>1166</v>
      </c>
    </row>
    <row r="559" spans="1:18" x14ac:dyDescent="0.3">
      <c r="A559" s="2">
        <v>45739</v>
      </c>
      <c r="B559" t="s">
        <v>573</v>
      </c>
      <c r="C559" t="s">
        <v>1123</v>
      </c>
      <c r="D559" t="s">
        <v>1135</v>
      </c>
      <c r="E559" t="s">
        <v>1139</v>
      </c>
      <c r="F559" t="s">
        <v>1150</v>
      </c>
      <c r="G559" t="s">
        <v>1154</v>
      </c>
      <c r="H559">
        <v>4</v>
      </c>
      <c r="I559">
        <v>32122</v>
      </c>
      <c r="J559">
        <v>5</v>
      </c>
      <c r="K559">
        <v>30515.9</v>
      </c>
      <c r="L559">
        <v>122063.6</v>
      </c>
      <c r="M559">
        <v>1000</v>
      </c>
      <c r="N559" t="s">
        <v>1159</v>
      </c>
      <c r="O559" t="s">
        <v>1163</v>
      </c>
      <c r="Q559">
        <v>1</v>
      </c>
      <c r="R559" t="s">
        <v>1166</v>
      </c>
    </row>
    <row r="560" spans="1:18" x14ac:dyDescent="0.3">
      <c r="A560" s="2">
        <v>45681</v>
      </c>
      <c r="B560" t="s">
        <v>574</v>
      </c>
      <c r="C560" t="s">
        <v>1127</v>
      </c>
      <c r="D560" t="s">
        <v>1134</v>
      </c>
      <c r="E560" t="s">
        <v>1143</v>
      </c>
      <c r="F560" t="s">
        <v>1151</v>
      </c>
      <c r="G560" t="s">
        <v>1157</v>
      </c>
      <c r="H560">
        <v>4</v>
      </c>
      <c r="I560">
        <v>56933</v>
      </c>
      <c r="J560">
        <v>10</v>
      </c>
      <c r="K560">
        <v>51239.7</v>
      </c>
      <c r="L560">
        <v>204958.8</v>
      </c>
      <c r="M560">
        <v>2000</v>
      </c>
      <c r="N560" t="s">
        <v>1160</v>
      </c>
      <c r="O560" t="s">
        <v>1164</v>
      </c>
      <c r="P560" s="2">
        <v>45691</v>
      </c>
      <c r="R560" t="s">
        <v>1166</v>
      </c>
    </row>
    <row r="561" spans="1:18" x14ac:dyDescent="0.3">
      <c r="A561" s="2">
        <v>45773</v>
      </c>
      <c r="B561" t="s">
        <v>575</v>
      </c>
      <c r="C561" t="s">
        <v>1117</v>
      </c>
      <c r="D561" t="s">
        <v>1133</v>
      </c>
      <c r="E561" t="s">
        <v>1143</v>
      </c>
      <c r="F561" t="s">
        <v>1151</v>
      </c>
      <c r="G561" t="s">
        <v>1157</v>
      </c>
      <c r="H561">
        <v>1</v>
      </c>
      <c r="I561">
        <v>35293</v>
      </c>
      <c r="J561">
        <v>0</v>
      </c>
      <c r="K561">
        <v>35293</v>
      </c>
      <c r="L561">
        <v>35293</v>
      </c>
      <c r="M561">
        <v>1000</v>
      </c>
      <c r="N561" t="s">
        <v>1160</v>
      </c>
      <c r="O561" t="s">
        <v>1162</v>
      </c>
      <c r="Q561">
        <v>5</v>
      </c>
      <c r="R561" t="s">
        <v>1169</v>
      </c>
    </row>
    <row r="562" spans="1:18" x14ac:dyDescent="0.3">
      <c r="A562" s="2">
        <v>45768</v>
      </c>
      <c r="B562" t="s">
        <v>576</v>
      </c>
      <c r="C562" t="s">
        <v>1132</v>
      </c>
      <c r="D562" t="s">
        <v>1134</v>
      </c>
      <c r="E562" t="s">
        <v>1139</v>
      </c>
      <c r="F562" t="s">
        <v>1150</v>
      </c>
      <c r="G562" t="s">
        <v>1154</v>
      </c>
      <c r="H562">
        <v>2</v>
      </c>
      <c r="I562">
        <v>19336</v>
      </c>
      <c r="J562">
        <v>10</v>
      </c>
      <c r="K562">
        <v>17402.400000000001</v>
      </c>
      <c r="L562">
        <v>34804.800000000003</v>
      </c>
      <c r="M562">
        <v>1500</v>
      </c>
      <c r="N562" t="s">
        <v>1159</v>
      </c>
      <c r="O562" t="s">
        <v>1162</v>
      </c>
      <c r="Q562">
        <v>4</v>
      </c>
      <c r="R562" t="s">
        <v>1170</v>
      </c>
    </row>
    <row r="563" spans="1:18" x14ac:dyDescent="0.3">
      <c r="A563" s="2">
        <v>45698</v>
      </c>
      <c r="B563" t="s">
        <v>577</v>
      </c>
      <c r="C563" t="s">
        <v>1123</v>
      </c>
      <c r="D563" t="s">
        <v>1135</v>
      </c>
      <c r="E563" t="s">
        <v>1143</v>
      </c>
      <c r="F563" t="s">
        <v>1151</v>
      </c>
      <c r="G563" t="s">
        <v>1157</v>
      </c>
      <c r="H563">
        <v>4</v>
      </c>
      <c r="I563">
        <v>47427</v>
      </c>
      <c r="J563">
        <v>10</v>
      </c>
      <c r="K563">
        <v>42684.3</v>
      </c>
      <c r="L563">
        <v>170737.2</v>
      </c>
      <c r="M563">
        <v>1000</v>
      </c>
      <c r="N563" t="s">
        <v>1159</v>
      </c>
      <c r="O563" t="s">
        <v>1163</v>
      </c>
      <c r="Q563">
        <v>3</v>
      </c>
      <c r="R563" t="s">
        <v>1169</v>
      </c>
    </row>
    <row r="564" spans="1:18" x14ac:dyDescent="0.3">
      <c r="A564" s="2">
        <v>45832</v>
      </c>
      <c r="B564" t="s">
        <v>578</v>
      </c>
      <c r="C564" t="s">
        <v>1128</v>
      </c>
      <c r="D564" t="s">
        <v>1135</v>
      </c>
      <c r="E564" t="s">
        <v>1138</v>
      </c>
      <c r="F564" t="s">
        <v>1149</v>
      </c>
      <c r="G564" t="s">
        <v>1153</v>
      </c>
      <c r="H564">
        <v>5</v>
      </c>
      <c r="I564">
        <v>15357</v>
      </c>
      <c r="J564">
        <v>0</v>
      </c>
      <c r="K564">
        <v>15357</v>
      </c>
      <c r="L564">
        <v>76785</v>
      </c>
      <c r="M564">
        <v>1000</v>
      </c>
      <c r="N564" t="s">
        <v>1161</v>
      </c>
      <c r="O564" t="s">
        <v>1163</v>
      </c>
      <c r="Q564">
        <v>5</v>
      </c>
      <c r="R564" t="s">
        <v>1167</v>
      </c>
    </row>
    <row r="565" spans="1:18" x14ac:dyDescent="0.3">
      <c r="A565" s="2">
        <v>45744</v>
      </c>
      <c r="B565" t="s">
        <v>579</v>
      </c>
      <c r="C565" t="s">
        <v>1128</v>
      </c>
      <c r="D565" t="s">
        <v>1135</v>
      </c>
      <c r="E565" t="s">
        <v>1148</v>
      </c>
      <c r="F565" t="s">
        <v>1149</v>
      </c>
      <c r="G565" t="s">
        <v>1152</v>
      </c>
      <c r="H565">
        <v>2</v>
      </c>
      <c r="I565">
        <v>59743</v>
      </c>
      <c r="J565">
        <v>0</v>
      </c>
      <c r="K565">
        <v>59743</v>
      </c>
      <c r="L565">
        <v>119486</v>
      </c>
      <c r="M565">
        <v>1000</v>
      </c>
      <c r="N565" t="s">
        <v>1159</v>
      </c>
      <c r="O565" t="s">
        <v>1164</v>
      </c>
      <c r="P565" s="2">
        <v>45748</v>
      </c>
      <c r="R565" t="s">
        <v>1167</v>
      </c>
    </row>
    <row r="566" spans="1:18" x14ac:dyDescent="0.3">
      <c r="A566" s="2">
        <v>45808</v>
      </c>
      <c r="B566" t="s">
        <v>580</v>
      </c>
      <c r="C566" t="s">
        <v>1129</v>
      </c>
      <c r="D566" t="s">
        <v>1133</v>
      </c>
      <c r="E566" t="s">
        <v>1148</v>
      </c>
      <c r="F566" t="s">
        <v>1149</v>
      </c>
      <c r="G566" t="s">
        <v>1152</v>
      </c>
      <c r="H566">
        <v>5</v>
      </c>
      <c r="I566">
        <v>19954</v>
      </c>
      <c r="J566">
        <v>0</v>
      </c>
      <c r="K566">
        <v>19954</v>
      </c>
      <c r="L566">
        <v>99770</v>
      </c>
      <c r="M566">
        <v>1000</v>
      </c>
      <c r="N566" t="s">
        <v>1159</v>
      </c>
      <c r="O566" t="s">
        <v>1162</v>
      </c>
      <c r="Q566">
        <v>3</v>
      </c>
      <c r="R566" t="s">
        <v>1169</v>
      </c>
    </row>
    <row r="567" spans="1:18" x14ac:dyDescent="0.3">
      <c r="A567" s="2">
        <v>45831</v>
      </c>
      <c r="B567" t="s">
        <v>581</v>
      </c>
      <c r="C567" t="s">
        <v>1123</v>
      </c>
      <c r="D567" t="s">
        <v>1135</v>
      </c>
      <c r="E567" t="s">
        <v>1138</v>
      </c>
      <c r="F567" t="s">
        <v>1149</v>
      </c>
      <c r="G567" t="s">
        <v>1153</v>
      </c>
      <c r="H567">
        <v>2</v>
      </c>
      <c r="I567">
        <v>42315</v>
      </c>
      <c r="J567">
        <v>0</v>
      </c>
      <c r="K567">
        <v>42315</v>
      </c>
      <c r="L567">
        <v>84630</v>
      </c>
      <c r="M567">
        <v>1000</v>
      </c>
      <c r="N567" t="s">
        <v>1160</v>
      </c>
      <c r="O567" t="s">
        <v>1162</v>
      </c>
      <c r="Q567">
        <v>5</v>
      </c>
      <c r="R567" t="s">
        <v>1169</v>
      </c>
    </row>
    <row r="568" spans="1:18" x14ac:dyDescent="0.3">
      <c r="A568" s="2">
        <v>45687</v>
      </c>
      <c r="B568" t="s">
        <v>582</v>
      </c>
      <c r="C568" t="s">
        <v>1127</v>
      </c>
      <c r="D568" t="s">
        <v>1134</v>
      </c>
      <c r="E568" t="s">
        <v>1146</v>
      </c>
      <c r="F568" t="s">
        <v>1151</v>
      </c>
      <c r="G568" t="s">
        <v>1155</v>
      </c>
      <c r="H568">
        <v>5</v>
      </c>
      <c r="I568">
        <v>8684</v>
      </c>
      <c r="J568">
        <v>5</v>
      </c>
      <c r="K568">
        <v>8249.7999999999993</v>
      </c>
      <c r="L568">
        <v>41249</v>
      </c>
      <c r="M568">
        <v>2000</v>
      </c>
      <c r="N568" t="s">
        <v>1159</v>
      </c>
      <c r="O568" t="s">
        <v>1164</v>
      </c>
      <c r="P568" s="2">
        <v>45689</v>
      </c>
      <c r="Q568">
        <v>3</v>
      </c>
      <c r="R568" t="s">
        <v>1166</v>
      </c>
    </row>
    <row r="569" spans="1:18" x14ac:dyDescent="0.3">
      <c r="A569" s="2">
        <v>45667</v>
      </c>
      <c r="B569" t="s">
        <v>583</v>
      </c>
      <c r="C569" t="s">
        <v>1119</v>
      </c>
      <c r="D569" t="s">
        <v>1134</v>
      </c>
      <c r="E569" t="s">
        <v>1145</v>
      </c>
      <c r="F569" t="s">
        <v>1149</v>
      </c>
      <c r="G569" t="s">
        <v>1153</v>
      </c>
      <c r="H569">
        <v>5</v>
      </c>
      <c r="I569">
        <v>65913</v>
      </c>
      <c r="J569">
        <v>20</v>
      </c>
      <c r="K569">
        <v>52730.400000000001</v>
      </c>
      <c r="L569">
        <v>263652</v>
      </c>
      <c r="M569">
        <v>2000</v>
      </c>
      <c r="N569" t="s">
        <v>1160</v>
      </c>
      <c r="O569" t="s">
        <v>1162</v>
      </c>
      <c r="Q569">
        <v>5</v>
      </c>
      <c r="R569" t="s">
        <v>1166</v>
      </c>
    </row>
    <row r="570" spans="1:18" x14ac:dyDescent="0.3">
      <c r="A570" s="2">
        <v>45802</v>
      </c>
      <c r="B570" t="s">
        <v>584</v>
      </c>
      <c r="C570" t="s">
        <v>1128</v>
      </c>
      <c r="D570" t="s">
        <v>1135</v>
      </c>
      <c r="E570" t="s">
        <v>1137</v>
      </c>
      <c r="F570" t="s">
        <v>1149</v>
      </c>
      <c r="G570" t="s">
        <v>1152</v>
      </c>
      <c r="H570">
        <v>4</v>
      </c>
      <c r="I570">
        <v>14453</v>
      </c>
      <c r="J570">
        <v>10</v>
      </c>
      <c r="K570">
        <v>13007.7</v>
      </c>
      <c r="L570">
        <v>52030.8</v>
      </c>
      <c r="M570">
        <v>1500</v>
      </c>
      <c r="N570" t="s">
        <v>1161</v>
      </c>
      <c r="O570" t="s">
        <v>1163</v>
      </c>
      <c r="Q570">
        <v>1</v>
      </c>
      <c r="R570" t="s">
        <v>1169</v>
      </c>
    </row>
    <row r="571" spans="1:18" x14ac:dyDescent="0.3">
      <c r="A571" s="2">
        <v>45661</v>
      </c>
      <c r="B571" t="s">
        <v>585</v>
      </c>
      <c r="C571" t="s">
        <v>1125</v>
      </c>
      <c r="D571" t="s">
        <v>1133</v>
      </c>
      <c r="E571" t="s">
        <v>1146</v>
      </c>
      <c r="F571" t="s">
        <v>1151</v>
      </c>
      <c r="G571" t="s">
        <v>1155</v>
      </c>
      <c r="H571">
        <v>5</v>
      </c>
      <c r="I571">
        <v>41883</v>
      </c>
      <c r="J571">
        <v>20</v>
      </c>
      <c r="K571">
        <v>33506.400000000001</v>
      </c>
      <c r="L571">
        <v>167532</v>
      </c>
      <c r="M571">
        <v>1000</v>
      </c>
      <c r="N571" t="s">
        <v>1159</v>
      </c>
      <c r="O571" t="s">
        <v>1163</v>
      </c>
      <c r="Q571">
        <v>1</v>
      </c>
      <c r="R571" t="s">
        <v>1167</v>
      </c>
    </row>
    <row r="572" spans="1:18" x14ac:dyDescent="0.3">
      <c r="A572" s="2">
        <v>45687</v>
      </c>
      <c r="B572" t="s">
        <v>586</v>
      </c>
      <c r="C572" t="s">
        <v>1125</v>
      </c>
      <c r="D572" t="s">
        <v>1133</v>
      </c>
      <c r="E572" t="s">
        <v>1141</v>
      </c>
      <c r="F572" t="s">
        <v>1151</v>
      </c>
      <c r="G572" t="s">
        <v>1155</v>
      </c>
      <c r="H572">
        <v>3</v>
      </c>
      <c r="I572">
        <v>61013</v>
      </c>
      <c r="J572">
        <v>15</v>
      </c>
      <c r="K572">
        <v>51861.05</v>
      </c>
      <c r="L572">
        <v>155583.15</v>
      </c>
      <c r="M572">
        <v>1000</v>
      </c>
      <c r="N572" t="s">
        <v>1159</v>
      </c>
      <c r="O572" t="s">
        <v>1162</v>
      </c>
      <c r="Q572">
        <v>3</v>
      </c>
      <c r="R572" t="s">
        <v>1168</v>
      </c>
    </row>
    <row r="573" spans="1:18" x14ac:dyDescent="0.3">
      <c r="A573" s="2">
        <v>45837</v>
      </c>
      <c r="B573" t="s">
        <v>587</v>
      </c>
      <c r="C573" t="s">
        <v>1117</v>
      </c>
      <c r="D573" t="s">
        <v>1133</v>
      </c>
      <c r="E573" t="s">
        <v>1142</v>
      </c>
      <c r="F573" t="s">
        <v>1150</v>
      </c>
      <c r="G573" t="s">
        <v>1156</v>
      </c>
      <c r="H573">
        <v>2</v>
      </c>
      <c r="I573">
        <v>74300</v>
      </c>
      <c r="J573">
        <v>5</v>
      </c>
      <c r="K573">
        <v>70585</v>
      </c>
      <c r="L573">
        <v>141170</v>
      </c>
      <c r="M573">
        <v>1500</v>
      </c>
      <c r="N573" t="s">
        <v>1159</v>
      </c>
      <c r="O573" t="s">
        <v>1163</v>
      </c>
      <c r="Q573">
        <v>2</v>
      </c>
      <c r="R573" t="s">
        <v>1170</v>
      </c>
    </row>
    <row r="574" spans="1:18" x14ac:dyDescent="0.3">
      <c r="A574" s="2">
        <v>45782</v>
      </c>
      <c r="B574" t="s">
        <v>588</v>
      </c>
      <c r="C574" t="s">
        <v>1121</v>
      </c>
      <c r="D574" t="s">
        <v>1136</v>
      </c>
      <c r="E574" t="s">
        <v>1137</v>
      </c>
      <c r="F574" t="s">
        <v>1149</v>
      </c>
      <c r="G574" t="s">
        <v>1152</v>
      </c>
      <c r="H574">
        <v>2</v>
      </c>
      <c r="I574">
        <v>16742</v>
      </c>
      <c r="J574">
        <v>15</v>
      </c>
      <c r="K574">
        <v>14230.7</v>
      </c>
      <c r="L574">
        <v>28461.4</v>
      </c>
      <c r="M574">
        <v>1000</v>
      </c>
      <c r="N574" t="s">
        <v>1161</v>
      </c>
      <c r="O574" t="s">
        <v>1162</v>
      </c>
    </row>
    <row r="575" spans="1:18" x14ac:dyDescent="0.3">
      <c r="A575" s="2">
        <v>45715</v>
      </c>
      <c r="B575" t="s">
        <v>589</v>
      </c>
      <c r="C575" t="s">
        <v>1120</v>
      </c>
      <c r="D575" t="s">
        <v>1135</v>
      </c>
      <c r="E575" t="s">
        <v>1138</v>
      </c>
      <c r="F575" t="s">
        <v>1149</v>
      </c>
      <c r="G575" t="s">
        <v>1153</v>
      </c>
      <c r="H575">
        <v>5</v>
      </c>
      <c r="I575">
        <v>61232</v>
      </c>
      <c r="J575">
        <v>10</v>
      </c>
      <c r="K575">
        <v>55108.800000000003</v>
      </c>
      <c r="L575">
        <v>275544</v>
      </c>
      <c r="M575">
        <v>1500</v>
      </c>
      <c r="N575" t="s">
        <v>1161</v>
      </c>
      <c r="O575" t="s">
        <v>1163</v>
      </c>
      <c r="Q575">
        <v>5</v>
      </c>
      <c r="R575" t="s">
        <v>1170</v>
      </c>
    </row>
    <row r="576" spans="1:18" x14ac:dyDescent="0.3">
      <c r="A576" s="2">
        <v>45720</v>
      </c>
      <c r="B576" t="s">
        <v>590</v>
      </c>
      <c r="C576" t="s">
        <v>1117</v>
      </c>
      <c r="D576" t="s">
        <v>1133</v>
      </c>
      <c r="E576" t="s">
        <v>1140</v>
      </c>
      <c r="F576" t="s">
        <v>1150</v>
      </c>
      <c r="G576" t="s">
        <v>1154</v>
      </c>
      <c r="H576">
        <v>3</v>
      </c>
      <c r="I576">
        <v>61837</v>
      </c>
      <c r="J576">
        <v>10</v>
      </c>
      <c r="K576">
        <v>55653.3</v>
      </c>
      <c r="L576">
        <v>166959.9</v>
      </c>
      <c r="M576">
        <v>1500</v>
      </c>
      <c r="N576" t="s">
        <v>1161</v>
      </c>
      <c r="O576" t="s">
        <v>1164</v>
      </c>
      <c r="P576" s="2">
        <v>45733</v>
      </c>
      <c r="Q576">
        <v>3</v>
      </c>
    </row>
    <row r="577" spans="1:18" x14ac:dyDescent="0.3">
      <c r="A577" s="2">
        <v>45693</v>
      </c>
      <c r="B577" t="s">
        <v>591</v>
      </c>
      <c r="C577" t="s">
        <v>1127</v>
      </c>
      <c r="D577" t="s">
        <v>1134</v>
      </c>
      <c r="E577" t="s">
        <v>1146</v>
      </c>
      <c r="F577" t="s">
        <v>1151</v>
      </c>
      <c r="G577" t="s">
        <v>1155</v>
      </c>
      <c r="H577">
        <v>5</v>
      </c>
      <c r="I577">
        <v>20829</v>
      </c>
      <c r="J577">
        <v>10</v>
      </c>
      <c r="K577">
        <v>18746.099999999999</v>
      </c>
      <c r="L577">
        <v>93730.5</v>
      </c>
      <c r="M577">
        <v>2000</v>
      </c>
      <c r="N577" t="s">
        <v>1161</v>
      </c>
      <c r="O577" t="s">
        <v>1163</v>
      </c>
      <c r="Q577">
        <v>2</v>
      </c>
    </row>
    <row r="578" spans="1:18" x14ac:dyDescent="0.3">
      <c r="A578" s="2">
        <v>45830</v>
      </c>
      <c r="B578" t="s">
        <v>592</v>
      </c>
      <c r="C578" t="s">
        <v>1127</v>
      </c>
      <c r="D578" t="s">
        <v>1134</v>
      </c>
      <c r="E578" t="s">
        <v>1137</v>
      </c>
      <c r="F578" t="s">
        <v>1149</v>
      </c>
      <c r="G578" t="s">
        <v>1152</v>
      </c>
      <c r="H578">
        <v>5</v>
      </c>
      <c r="I578">
        <v>23655</v>
      </c>
      <c r="J578">
        <v>5</v>
      </c>
      <c r="K578">
        <v>22472.25</v>
      </c>
      <c r="L578">
        <v>112361.25</v>
      </c>
      <c r="M578">
        <v>1000</v>
      </c>
      <c r="N578" t="s">
        <v>1160</v>
      </c>
      <c r="O578" t="s">
        <v>1164</v>
      </c>
      <c r="P578" s="2">
        <v>45836</v>
      </c>
      <c r="R578" t="s">
        <v>1169</v>
      </c>
    </row>
    <row r="579" spans="1:18" x14ac:dyDescent="0.3">
      <c r="A579" s="2">
        <v>45822</v>
      </c>
      <c r="B579" t="s">
        <v>593</v>
      </c>
      <c r="C579" t="s">
        <v>1118</v>
      </c>
      <c r="D579" t="s">
        <v>1134</v>
      </c>
      <c r="E579" t="s">
        <v>1146</v>
      </c>
      <c r="F579" t="s">
        <v>1151</v>
      </c>
      <c r="G579" t="s">
        <v>1155</v>
      </c>
      <c r="H579">
        <v>5</v>
      </c>
      <c r="I579">
        <v>59059</v>
      </c>
      <c r="J579">
        <v>10</v>
      </c>
      <c r="K579">
        <v>53153.1</v>
      </c>
      <c r="L579">
        <v>265765.5</v>
      </c>
      <c r="M579">
        <v>1000</v>
      </c>
      <c r="N579" t="s">
        <v>1159</v>
      </c>
      <c r="O579" t="s">
        <v>1163</v>
      </c>
      <c r="Q579">
        <v>3</v>
      </c>
      <c r="R579" t="s">
        <v>1169</v>
      </c>
    </row>
    <row r="580" spans="1:18" x14ac:dyDescent="0.3">
      <c r="A580" s="2">
        <v>45755</v>
      </c>
      <c r="B580" t="s">
        <v>594</v>
      </c>
      <c r="C580" t="s">
        <v>1117</v>
      </c>
      <c r="D580" t="s">
        <v>1133</v>
      </c>
      <c r="E580" t="s">
        <v>1137</v>
      </c>
      <c r="F580" t="s">
        <v>1149</v>
      </c>
      <c r="G580" t="s">
        <v>1152</v>
      </c>
      <c r="H580">
        <v>3</v>
      </c>
      <c r="I580">
        <v>7012</v>
      </c>
      <c r="J580">
        <v>10</v>
      </c>
      <c r="K580">
        <v>6310.8</v>
      </c>
      <c r="L580">
        <v>18932.400000000001</v>
      </c>
      <c r="M580">
        <v>2000</v>
      </c>
      <c r="N580" t="s">
        <v>1159</v>
      </c>
      <c r="O580" t="s">
        <v>1163</v>
      </c>
      <c r="Q580">
        <v>2</v>
      </c>
      <c r="R580" t="s">
        <v>1169</v>
      </c>
    </row>
    <row r="581" spans="1:18" x14ac:dyDescent="0.3">
      <c r="A581" s="2">
        <v>45711</v>
      </c>
      <c r="B581" t="s">
        <v>595</v>
      </c>
      <c r="C581" t="s">
        <v>1130</v>
      </c>
      <c r="D581" t="s">
        <v>1136</v>
      </c>
      <c r="E581" t="s">
        <v>1145</v>
      </c>
      <c r="F581" t="s">
        <v>1149</v>
      </c>
      <c r="G581" t="s">
        <v>1153</v>
      </c>
      <c r="H581">
        <v>4</v>
      </c>
      <c r="I581">
        <v>61072</v>
      </c>
      <c r="J581">
        <v>20</v>
      </c>
      <c r="K581">
        <v>48857.599999999999</v>
      </c>
      <c r="L581">
        <v>195430.39999999999</v>
      </c>
      <c r="M581">
        <v>2000</v>
      </c>
      <c r="N581" t="s">
        <v>1160</v>
      </c>
      <c r="O581" t="s">
        <v>1162</v>
      </c>
      <c r="Q581">
        <v>4</v>
      </c>
      <c r="R581" t="s">
        <v>1170</v>
      </c>
    </row>
    <row r="582" spans="1:18" x14ac:dyDescent="0.3">
      <c r="A582" s="2">
        <v>45808</v>
      </c>
      <c r="B582" t="s">
        <v>596</v>
      </c>
      <c r="C582" t="s">
        <v>1130</v>
      </c>
      <c r="D582" t="s">
        <v>1136</v>
      </c>
      <c r="E582" t="s">
        <v>1146</v>
      </c>
      <c r="F582" t="s">
        <v>1151</v>
      </c>
      <c r="G582" t="s">
        <v>1155</v>
      </c>
      <c r="H582">
        <v>2</v>
      </c>
      <c r="I582">
        <v>24845</v>
      </c>
      <c r="J582">
        <v>0</v>
      </c>
      <c r="K582">
        <v>24845</v>
      </c>
      <c r="L582">
        <v>49690</v>
      </c>
      <c r="M582">
        <v>1500</v>
      </c>
      <c r="N582" t="s">
        <v>1160</v>
      </c>
      <c r="O582" t="s">
        <v>1163</v>
      </c>
      <c r="Q582">
        <v>4</v>
      </c>
      <c r="R582" t="s">
        <v>1168</v>
      </c>
    </row>
    <row r="583" spans="1:18" x14ac:dyDescent="0.3">
      <c r="A583" s="2">
        <v>45772</v>
      </c>
      <c r="B583" t="s">
        <v>597</v>
      </c>
      <c r="C583" t="s">
        <v>1129</v>
      </c>
      <c r="D583" t="s">
        <v>1133</v>
      </c>
      <c r="E583" t="s">
        <v>1137</v>
      </c>
      <c r="F583" t="s">
        <v>1149</v>
      </c>
      <c r="G583" t="s">
        <v>1152</v>
      </c>
      <c r="H583">
        <v>4</v>
      </c>
      <c r="I583">
        <v>49393</v>
      </c>
      <c r="J583">
        <v>15</v>
      </c>
      <c r="K583">
        <v>41984.05</v>
      </c>
      <c r="L583">
        <v>167936.2</v>
      </c>
      <c r="M583">
        <v>2000</v>
      </c>
      <c r="N583" t="s">
        <v>1159</v>
      </c>
      <c r="O583" t="s">
        <v>1162</v>
      </c>
      <c r="Q583">
        <v>3</v>
      </c>
    </row>
    <row r="584" spans="1:18" x14ac:dyDescent="0.3">
      <c r="A584" s="2">
        <v>45797</v>
      </c>
      <c r="B584" t="s">
        <v>598</v>
      </c>
      <c r="C584" t="s">
        <v>1120</v>
      </c>
      <c r="D584" t="s">
        <v>1135</v>
      </c>
      <c r="E584" t="s">
        <v>1144</v>
      </c>
      <c r="F584" t="s">
        <v>1151</v>
      </c>
      <c r="G584" t="s">
        <v>1157</v>
      </c>
      <c r="H584">
        <v>2</v>
      </c>
      <c r="I584">
        <v>54003</v>
      </c>
      <c r="J584">
        <v>5</v>
      </c>
      <c r="K584">
        <v>51302.85</v>
      </c>
      <c r="L584">
        <v>102605.7</v>
      </c>
      <c r="M584">
        <v>2000</v>
      </c>
      <c r="N584" t="s">
        <v>1161</v>
      </c>
      <c r="O584" t="s">
        <v>1164</v>
      </c>
      <c r="P584" s="2">
        <v>45805</v>
      </c>
      <c r="Q584">
        <v>5</v>
      </c>
      <c r="R584" t="s">
        <v>1167</v>
      </c>
    </row>
    <row r="585" spans="1:18" x14ac:dyDescent="0.3">
      <c r="A585" s="2">
        <v>45769</v>
      </c>
      <c r="B585" t="s">
        <v>599</v>
      </c>
      <c r="C585" t="s">
        <v>1129</v>
      </c>
      <c r="D585" t="s">
        <v>1133</v>
      </c>
      <c r="E585" t="s">
        <v>1142</v>
      </c>
      <c r="F585" t="s">
        <v>1150</v>
      </c>
      <c r="G585" t="s">
        <v>1156</v>
      </c>
      <c r="H585">
        <v>2</v>
      </c>
      <c r="I585">
        <v>25929</v>
      </c>
      <c r="J585">
        <v>10</v>
      </c>
      <c r="K585">
        <v>23336.1</v>
      </c>
      <c r="L585">
        <v>46672.2</v>
      </c>
      <c r="M585">
        <v>1000</v>
      </c>
      <c r="N585" t="s">
        <v>1161</v>
      </c>
      <c r="O585" t="s">
        <v>1164</v>
      </c>
      <c r="P585" s="2">
        <v>45781</v>
      </c>
      <c r="Q585">
        <v>2</v>
      </c>
    </row>
    <row r="586" spans="1:18" x14ac:dyDescent="0.3">
      <c r="A586" s="2">
        <v>45793</v>
      </c>
      <c r="B586" t="s">
        <v>600</v>
      </c>
      <c r="C586" t="s">
        <v>1124</v>
      </c>
      <c r="D586" t="s">
        <v>1135</v>
      </c>
      <c r="E586" t="s">
        <v>1138</v>
      </c>
      <c r="F586" t="s">
        <v>1149</v>
      </c>
      <c r="G586" t="s">
        <v>1153</v>
      </c>
      <c r="H586">
        <v>4</v>
      </c>
      <c r="I586">
        <v>67857</v>
      </c>
      <c r="J586">
        <v>0</v>
      </c>
      <c r="K586">
        <v>67857</v>
      </c>
      <c r="L586">
        <v>271428</v>
      </c>
      <c r="M586">
        <v>1000</v>
      </c>
      <c r="N586" t="s">
        <v>1161</v>
      </c>
      <c r="O586" t="s">
        <v>1163</v>
      </c>
      <c r="Q586">
        <v>1</v>
      </c>
      <c r="R586" t="s">
        <v>1166</v>
      </c>
    </row>
    <row r="587" spans="1:18" x14ac:dyDescent="0.3">
      <c r="A587" s="2">
        <v>45717</v>
      </c>
      <c r="B587" t="s">
        <v>601</v>
      </c>
      <c r="C587" t="s">
        <v>1128</v>
      </c>
      <c r="D587" t="s">
        <v>1135</v>
      </c>
      <c r="E587" t="s">
        <v>1143</v>
      </c>
      <c r="F587" t="s">
        <v>1151</v>
      </c>
      <c r="G587" t="s">
        <v>1157</v>
      </c>
      <c r="H587">
        <v>4</v>
      </c>
      <c r="I587">
        <v>25548</v>
      </c>
      <c r="J587">
        <v>15</v>
      </c>
      <c r="K587">
        <v>21715.8</v>
      </c>
      <c r="L587">
        <v>86863.2</v>
      </c>
      <c r="M587">
        <v>2000</v>
      </c>
      <c r="N587" t="s">
        <v>1159</v>
      </c>
      <c r="O587" t="s">
        <v>1162</v>
      </c>
      <c r="Q587">
        <v>4</v>
      </c>
    </row>
    <row r="588" spans="1:18" x14ac:dyDescent="0.3">
      <c r="A588" s="2">
        <v>45751</v>
      </c>
      <c r="B588" t="s">
        <v>602</v>
      </c>
      <c r="C588" t="s">
        <v>1122</v>
      </c>
      <c r="D588" t="s">
        <v>1136</v>
      </c>
      <c r="E588" t="s">
        <v>1141</v>
      </c>
      <c r="F588" t="s">
        <v>1151</v>
      </c>
      <c r="G588" t="s">
        <v>1155</v>
      </c>
      <c r="H588">
        <v>1</v>
      </c>
      <c r="I588">
        <v>31054</v>
      </c>
      <c r="J588">
        <v>0</v>
      </c>
      <c r="K588">
        <v>31054</v>
      </c>
      <c r="L588">
        <v>31054</v>
      </c>
      <c r="M588">
        <v>1500</v>
      </c>
      <c r="N588" t="s">
        <v>1161</v>
      </c>
      <c r="O588" t="s">
        <v>1164</v>
      </c>
      <c r="P588" s="2">
        <v>45762</v>
      </c>
      <c r="Q588">
        <v>1</v>
      </c>
    </row>
    <row r="589" spans="1:18" x14ac:dyDescent="0.3">
      <c r="A589" s="2">
        <v>45707</v>
      </c>
      <c r="B589" t="s">
        <v>603</v>
      </c>
      <c r="C589" t="s">
        <v>1129</v>
      </c>
      <c r="D589" t="s">
        <v>1133</v>
      </c>
      <c r="E589" t="s">
        <v>1141</v>
      </c>
      <c r="F589" t="s">
        <v>1151</v>
      </c>
      <c r="G589" t="s">
        <v>1155</v>
      </c>
      <c r="H589">
        <v>3</v>
      </c>
      <c r="I589">
        <v>64712</v>
      </c>
      <c r="J589">
        <v>10</v>
      </c>
      <c r="K589">
        <v>58240.800000000003</v>
      </c>
      <c r="L589">
        <v>174722.4</v>
      </c>
      <c r="M589">
        <v>1000</v>
      </c>
      <c r="N589" t="s">
        <v>1161</v>
      </c>
      <c r="O589" t="s">
        <v>1163</v>
      </c>
      <c r="R589" t="s">
        <v>1170</v>
      </c>
    </row>
    <row r="590" spans="1:18" x14ac:dyDescent="0.3">
      <c r="A590" s="2">
        <v>45828</v>
      </c>
      <c r="B590" t="s">
        <v>604</v>
      </c>
      <c r="C590" t="s">
        <v>1119</v>
      </c>
      <c r="D590" t="s">
        <v>1134</v>
      </c>
      <c r="E590" t="s">
        <v>1142</v>
      </c>
      <c r="F590" t="s">
        <v>1150</v>
      </c>
      <c r="G590" t="s">
        <v>1156</v>
      </c>
      <c r="H590">
        <v>1</v>
      </c>
      <c r="I590">
        <v>63271</v>
      </c>
      <c r="J590">
        <v>20</v>
      </c>
      <c r="K590">
        <v>50616.800000000003</v>
      </c>
      <c r="L590">
        <v>50616.800000000003</v>
      </c>
      <c r="M590">
        <v>1500</v>
      </c>
      <c r="N590" t="s">
        <v>1161</v>
      </c>
      <c r="O590" t="s">
        <v>1164</v>
      </c>
      <c r="P590" s="2">
        <v>45834</v>
      </c>
      <c r="R590" t="s">
        <v>1166</v>
      </c>
    </row>
    <row r="591" spans="1:18" x14ac:dyDescent="0.3">
      <c r="A591" s="2">
        <v>45792</v>
      </c>
      <c r="B591" t="s">
        <v>605</v>
      </c>
      <c r="C591" t="s">
        <v>1131</v>
      </c>
      <c r="D591" t="s">
        <v>1136</v>
      </c>
      <c r="E591" t="s">
        <v>1142</v>
      </c>
      <c r="F591" t="s">
        <v>1150</v>
      </c>
      <c r="G591" t="s">
        <v>1156</v>
      </c>
      <c r="H591">
        <v>2</v>
      </c>
      <c r="I591">
        <v>35915</v>
      </c>
      <c r="J591">
        <v>20</v>
      </c>
      <c r="K591">
        <v>28732</v>
      </c>
      <c r="L591">
        <v>57464</v>
      </c>
      <c r="M591">
        <v>1500</v>
      </c>
      <c r="N591" t="s">
        <v>1161</v>
      </c>
      <c r="O591" t="s">
        <v>1162</v>
      </c>
      <c r="Q591">
        <v>2</v>
      </c>
    </row>
    <row r="592" spans="1:18" x14ac:dyDescent="0.3">
      <c r="A592" s="2">
        <v>45711</v>
      </c>
      <c r="B592" t="s">
        <v>606</v>
      </c>
      <c r="C592" t="s">
        <v>1130</v>
      </c>
      <c r="D592" t="s">
        <v>1136</v>
      </c>
      <c r="E592" t="s">
        <v>1148</v>
      </c>
      <c r="F592" t="s">
        <v>1149</v>
      </c>
      <c r="G592" t="s">
        <v>1152</v>
      </c>
      <c r="H592">
        <v>3</v>
      </c>
      <c r="I592">
        <v>29224</v>
      </c>
      <c r="J592">
        <v>5</v>
      </c>
      <c r="K592">
        <v>27762.799999999999</v>
      </c>
      <c r="L592">
        <v>83288.399999999994</v>
      </c>
      <c r="M592">
        <v>1000</v>
      </c>
      <c r="N592" t="s">
        <v>1161</v>
      </c>
      <c r="O592" t="s">
        <v>1162</v>
      </c>
      <c r="R592" t="s">
        <v>1166</v>
      </c>
    </row>
    <row r="593" spans="1:18" x14ac:dyDescent="0.3">
      <c r="A593" s="2">
        <v>45807</v>
      </c>
      <c r="B593" t="s">
        <v>607</v>
      </c>
      <c r="C593" t="s">
        <v>1127</v>
      </c>
      <c r="D593" t="s">
        <v>1134</v>
      </c>
      <c r="E593" t="s">
        <v>1140</v>
      </c>
      <c r="F593" t="s">
        <v>1150</v>
      </c>
      <c r="G593" t="s">
        <v>1154</v>
      </c>
      <c r="H593">
        <v>3</v>
      </c>
      <c r="I593">
        <v>19507</v>
      </c>
      <c r="J593">
        <v>0</v>
      </c>
      <c r="K593">
        <v>19507</v>
      </c>
      <c r="L593">
        <v>58521</v>
      </c>
      <c r="M593">
        <v>2000</v>
      </c>
      <c r="N593" t="s">
        <v>1159</v>
      </c>
      <c r="O593" t="s">
        <v>1162</v>
      </c>
      <c r="Q593">
        <v>4</v>
      </c>
      <c r="R593" t="s">
        <v>1167</v>
      </c>
    </row>
    <row r="594" spans="1:18" x14ac:dyDescent="0.3">
      <c r="A594" s="2">
        <v>45721</v>
      </c>
      <c r="B594" t="s">
        <v>608</v>
      </c>
      <c r="C594" t="s">
        <v>1129</v>
      </c>
      <c r="D594" t="s">
        <v>1133</v>
      </c>
      <c r="E594" t="s">
        <v>1142</v>
      </c>
      <c r="F594" t="s">
        <v>1150</v>
      </c>
      <c r="G594" t="s">
        <v>1156</v>
      </c>
      <c r="H594">
        <v>1</v>
      </c>
      <c r="I594">
        <v>56398</v>
      </c>
      <c r="J594">
        <v>5</v>
      </c>
      <c r="K594">
        <v>53578.1</v>
      </c>
      <c r="L594">
        <v>53578.1</v>
      </c>
      <c r="M594">
        <v>2000</v>
      </c>
      <c r="N594" t="s">
        <v>1159</v>
      </c>
      <c r="O594" t="s">
        <v>1162</v>
      </c>
    </row>
    <row r="595" spans="1:18" x14ac:dyDescent="0.3">
      <c r="A595" s="2">
        <v>45742</v>
      </c>
      <c r="B595" t="s">
        <v>609</v>
      </c>
      <c r="C595" t="s">
        <v>1126</v>
      </c>
      <c r="D595" t="s">
        <v>1133</v>
      </c>
      <c r="E595" t="s">
        <v>1139</v>
      </c>
      <c r="F595" t="s">
        <v>1150</v>
      </c>
      <c r="G595" t="s">
        <v>1154</v>
      </c>
      <c r="H595">
        <v>3</v>
      </c>
      <c r="I595">
        <v>3271</v>
      </c>
      <c r="J595">
        <v>10</v>
      </c>
      <c r="K595">
        <v>2943.9</v>
      </c>
      <c r="L595">
        <v>8831.7000000000007</v>
      </c>
      <c r="M595">
        <v>1500</v>
      </c>
      <c r="N595" t="s">
        <v>1160</v>
      </c>
      <c r="O595" t="s">
        <v>1163</v>
      </c>
      <c r="Q595">
        <v>4</v>
      </c>
      <c r="R595" t="s">
        <v>1166</v>
      </c>
    </row>
    <row r="596" spans="1:18" x14ac:dyDescent="0.3">
      <c r="A596" s="2">
        <v>45794</v>
      </c>
      <c r="B596" t="s">
        <v>610</v>
      </c>
      <c r="C596" t="s">
        <v>1123</v>
      </c>
      <c r="D596" t="s">
        <v>1135</v>
      </c>
      <c r="E596" t="s">
        <v>1140</v>
      </c>
      <c r="F596" t="s">
        <v>1150</v>
      </c>
      <c r="G596" t="s">
        <v>1154</v>
      </c>
      <c r="H596">
        <v>3</v>
      </c>
      <c r="I596">
        <v>54239</v>
      </c>
      <c r="J596">
        <v>5</v>
      </c>
      <c r="K596">
        <v>51527.05</v>
      </c>
      <c r="L596">
        <v>154581.15</v>
      </c>
      <c r="M596">
        <v>1500</v>
      </c>
      <c r="N596" t="s">
        <v>1160</v>
      </c>
      <c r="O596" t="s">
        <v>1164</v>
      </c>
      <c r="P596" s="2">
        <v>45804</v>
      </c>
      <c r="Q596">
        <v>1</v>
      </c>
      <c r="R596" t="s">
        <v>1167</v>
      </c>
    </row>
    <row r="597" spans="1:18" x14ac:dyDescent="0.3">
      <c r="A597" s="2">
        <v>45664</v>
      </c>
      <c r="B597" t="s">
        <v>611</v>
      </c>
      <c r="C597" t="s">
        <v>1132</v>
      </c>
      <c r="D597" t="s">
        <v>1134</v>
      </c>
      <c r="E597" t="s">
        <v>1145</v>
      </c>
      <c r="F597" t="s">
        <v>1149</v>
      </c>
      <c r="G597" t="s">
        <v>1153</v>
      </c>
      <c r="H597">
        <v>2</v>
      </c>
      <c r="I597">
        <v>46686</v>
      </c>
      <c r="J597">
        <v>0</v>
      </c>
      <c r="K597">
        <v>46686</v>
      </c>
      <c r="L597">
        <v>93372</v>
      </c>
      <c r="M597">
        <v>1000</v>
      </c>
      <c r="N597" t="s">
        <v>1159</v>
      </c>
      <c r="O597" t="s">
        <v>1162</v>
      </c>
      <c r="Q597">
        <v>1</v>
      </c>
      <c r="R597" t="s">
        <v>1166</v>
      </c>
    </row>
    <row r="598" spans="1:18" x14ac:dyDescent="0.3">
      <c r="A598" s="2">
        <v>45818</v>
      </c>
      <c r="B598" t="s">
        <v>612</v>
      </c>
      <c r="C598" t="s">
        <v>1128</v>
      </c>
      <c r="D598" t="s">
        <v>1135</v>
      </c>
      <c r="E598" t="s">
        <v>1145</v>
      </c>
      <c r="F598" t="s">
        <v>1149</v>
      </c>
      <c r="G598" t="s">
        <v>1153</v>
      </c>
      <c r="H598">
        <v>1</v>
      </c>
      <c r="I598">
        <v>47162</v>
      </c>
      <c r="J598">
        <v>10</v>
      </c>
      <c r="K598">
        <v>42445.8</v>
      </c>
      <c r="L598">
        <v>42445.8</v>
      </c>
      <c r="M598">
        <v>1500</v>
      </c>
      <c r="N598" t="s">
        <v>1159</v>
      </c>
      <c r="O598" t="s">
        <v>1162</v>
      </c>
      <c r="Q598">
        <v>2</v>
      </c>
      <c r="R598" t="s">
        <v>1167</v>
      </c>
    </row>
    <row r="599" spans="1:18" x14ac:dyDescent="0.3">
      <c r="A599" s="2">
        <v>45806</v>
      </c>
      <c r="B599" t="s">
        <v>613</v>
      </c>
      <c r="C599" t="s">
        <v>1130</v>
      </c>
      <c r="D599" t="s">
        <v>1136</v>
      </c>
      <c r="E599" t="s">
        <v>1142</v>
      </c>
      <c r="F599" t="s">
        <v>1150</v>
      </c>
      <c r="G599" t="s">
        <v>1156</v>
      </c>
      <c r="H599">
        <v>3</v>
      </c>
      <c r="I599">
        <v>26418</v>
      </c>
      <c r="J599">
        <v>15</v>
      </c>
      <c r="K599">
        <v>22455.3</v>
      </c>
      <c r="L599">
        <v>67365.899999999994</v>
      </c>
      <c r="M599">
        <v>1500</v>
      </c>
      <c r="N599" t="s">
        <v>1161</v>
      </c>
      <c r="O599" t="s">
        <v>1163</v>
      </c>
      <c r="Q599">
        <v>3</v>
      </c>
      <c r="R599" t="s">
        <v>1169</v>
      </c>
    </row>
    <row r="600" spans="1:18" x14ac:dyDescent="0.3">
      <c r="A600" s="2">
        <v>45723</v>
      </c>
      <c r="B600" t="s">
        <v>614</v>
      </c>
      <c r="C600" t="s">
        <v>1120</v>
      </c>
      <c r="D600" t="s">
        <v>1135</v>
      </c>
      <c r="E600" t="s">
        <v>1144</v>
      </c>
      <c r="F600" t="s">
        <v>1151</v>
      </c>
      <c r="G600" t="s">
        <v>1157</v>
      </c>
      <c r="H600">
        <v>1</v>
      </c>
      <c r="I600">
        <v>64260</v>
      </c>
      <c r="J600">
        <v>10</v>
      </c>
      <c r="K600">
        <v>57834</v>
      </c>
      <c r="L600">
        <v>57834</v>
      </c>
      <c r="M600">
        <v>2000</v>
      </c>
      <c r="N600" t="s">
        <v>1159</v>
      </c>
      <c r="O600" t="s">
        <v>1164</v>
      </c>
      <c r="P600" s="2">
        <v>45734</v>
      </c>
      <c r="Q600">
        <v>2</v>
      </c>
      <c r="R600" t="s">
        <v>1167</v>
      </c>
    </row>
    <row r="601" spans="1:18" x14ac:dyDescent="0.3">
      <c r="A601" s="2">
        <v>45766</v>
      </c>
      <c r="B601" t="s">
        <v>615</v>
      </c>
      <c r="C601" t="s">
        <v>1121</v>
      </c>
      <c r="D601" t="s">
        <v>1136</v>
      </c>
      <c r="E601" t="s">
        <v>1138</v>
      </c>
      <c r="F601" t="s">
        <v>1149</v>
      </c>
      <c r="G601" t="s">
        <v>1153</v>
      </c>
      <c r="H601">
        <v>2</v>
      </c>
      <c r="I601">
        <v>1983</v>
      </c>
      <c r="J601">
        <v>15</v>
      </c>
      <c r="K601">
        <v>1685.55</v>
      </c>
      <c r="L601">
        <v>3371.1</v>
      </c>
      <c r="M601">
        <v>1500</v>
      </c>
      <c r="N601" t="s">
        <v>1160</v>
      </c>
      <c r="O601" t="s">
        <v>1164</v>
      </c>
      <c r="P601" s="2">
        <v>45776</v>
      </c>
    </row>
    <row r="602" spans="1:18" x14ac:dyDescent="0.3">
      <c r="A602" s="2">
        <v>45812</v>
      </c>
      <c r="B602" t="s">
        <v>616</v>
      </c>
      <c r="C602" t="s">
        <v>1120</v>
      </c>
      <c r="D602" t="s">
        <v>1135</v>
      </c>
      <c r="E602" t="s">
        <v>1140</v>
      </c>
      <c r="F602" t="s">
        <v>1150</v>
      </c>
      <c r="G602" t="s">
        <v>1154</v>
      </c>
      <c r="H602">
        <v>4</v>
      </c>
      <c r="I602">
        <v>32096</v>
      </c>
      <c r="J602">
        <v>5</v>
      </c>
      <c r="K602">
        <v>30491.200000000001</v>
      </c>
      <c r="L602">
        <v>121964.8</v>
      </c>
      <c r="M602">
        <v>1500</v>
      </c>
      <c r="N602" t="s">
        <v>1160</v>
      </c>
      <c r="O602" t="s">
        <v>1162</v>
      </c>
    </row>
    <row r="603" spans="1:18" x14ac:dyDescent="0.3">
      <c r="A603" s="2">
        <v>45752</v>
      </c>
      <c r="B603" t="s">
        <v>265</v>
      </c>
      <c r="C603" t="s">
        <v>1132</v>
      </c>
      <c r="D603" t="s">
        <v>1134</v>
      </c>
      <c r="E603" t="s">
        <v>1148</v>
      </c>
      <c r="F603" t="s">
        <v>1149</v>
      </c>
      <c r="G603" t="s">
        <v>1152</v>
      </c>
      <c r="H603">
        <v>1</v>
      </c>
      <c r="I603">
        <v>10190</v>
      </c>
      <c r="J603">
        <v>5</v>
      </c>
      <c r="K603">
        <v>9680.5</v>
      </c>
      <c r="L603">
        <v>9680.5</v>
      </c>
      <c r="M603">
        <v>2000</v>
      </c>
      <c r="N603" t="s">
        <v>1161</v>
      </c>
      <c r="O603" t="s">
        <v>1164</v>
      </c>
      <c r="P603" s="2">
        <v>45762</v>
      </c>
      <c r="Q603">
        <v>1</v>
      </c>
      <c r="R603" t="s">
        <v>1170</v>
      </c>
    </row>
    <row r="604" spans="1:18" x14ac:dyDescent="0.3">
      <c r="A604" s="2">
        <v>45763</v>
      </c>
      <c r="B604" t="s">
        <v>617</v>
      </c>
      <c r="C604" t="s">
        <v>1123</v>
      </c>
      <c r="D604" t="s">
        <v>1135</v>
      </c>
      <c r="E604" t="s">
        <v>1139</v>
      </c>
      <c r="F604" t="s">
        <v>1150</v>
      </c>
      <c r="G604" t="s">
        <v>1154</v>
      </c>
      <c r="H604">
        <v>2</v>
      </c>
      <c r="I604">
        <v>59529</v>
      </c>
      <c r="J604">
        <v>15</v>
      </c>
      <c r="K604">
        <v>50599.65</v>
      </c>
      <c r="L604">
        <v>101199.3</v>
      </c>
      <c r="M604">
        <v>2000</v>
      </c>
      <c r="N604" t="s">
        <v>1160</v>
      </c>
      <c r="O604" t="s">
        <v>1164</v>
      </c>
      <c r="P604" s="2">
        <v>45767</v>
      </c>
      <c r="Q604">
        <v>5</v>
      </c>
      <c r="R604" t="s">
        <v>1169</v>
      </c>
    </row>
    <row r="605" spans="1:18" x14ac:dyDescent="0.3">
      <c r="A605" s="2">
        <v>45837</v>
      </c>
      <c r="B605" t="s">
        <v>618</v>
      </c>
      <c r="C605" t="s">
        <v>1126</v>
      </c>
      <c r="D605" t="s">
        <v>1133</v>
      </c>
      <c r="E605" t="s">
        <v>1137</v>
      </c>
      <c r="F605" t="s">
        <v>1149</v>
      </c>
      <c r="G605" t="s">
        <v>1152</v>
      </c>
      <c r="H605">
        <v>2</v>
      </c>
      <c r="I605">
        <v>57432</v>
      </c>
      <c r="J605">
        <v>20</v>
      </c>
      <c r="K605">
        <v>45945.599999999999</v>
      </c>
      <c r="L605">
        <v>91891.199999999997</v>
      </c>
      <c r="M605">
        <v>2000</v>
      </c>
      <c r="N605" t="s">
        <v>1159</v>
      </c>
      <c r="O605" t="s">
        <v>1162</v>
      </c>
      <c r="Q605">
        <v>5</v>
      </c>
      <c r="R605" t="s">
        <v>1168</v>
      </c>
    </row>
    <row r="606" spans="1:18" x14ac:dyDescent="0.3">
      <c r="A606" s="2">
        <v>45686</v>
      </c>
      <c r="B606" t="s">
        <v>619</v>
      </c>
      <c r="C606" t="s">
        <v>1130</v>
      </c>
      <c r="D606" t="s">
        <v>1136</v>
      </c>
      <c r="E606" t="s">
        <v>1139</v>
      </c>
      <c r="F606" t="s">
        <v>1150</v>
      </c>
      <c r="G606" t="s">
        <v>1154</v>
      </c>
      <c r="H606">
        <v>4</v>
      </c>
      <c r="I606">
        <v>40661</v>
      </c>
      <c r="J606">
        <v>20</v>
      </c>
      <c r="K606">
        <v>32528.799999999999</v>
      </c>
      <c r="L606">
        <v>130115.2</v>
      </c>
      <c r="M606">
        <v>1500</v>
      </c>
      <c r="N606" t="s">
        <v>1161</v>
      </c>
      <c r="O606" t="s">
        <v>1164</v>
      </c>
      <c r="P606" s="2">
        <v>45694</v>
      </c>
      <c r="R606" t="s">
        <v>1168</v>
      </c>
    </row>
    <row r="607" spans="1:18" x14ac:dyDescent="0.3">
      <c r="A607" s="2">
        <v>45742</v>
      </c>
      <c r="B607" t="s">
        <v>604</v>
      </c>
      <c r="C607" t="s">
        <v>1125</v>
      </c>
      <c r="D607" t="s">
        <v>1133</v>
      </c>
      <c r="E607" t="s">
        <v>1138</v>
      </c>
      <c r="F607" t="s">
        <v>1149</v>
      </c>
      <c r="G607" t="s">
        <v>1153</v>
      </c>
      <c r="H607">
        <v>3</v>
      </c>
      <c r="I607">
        <v>57769</v>
      </c>
      <c r="J607">
        <v>20</v>
      </c>
      <c r="K607">
        <v>46215.199999999997</v>
      </c>
      <c r="L607">
        <v>138645.6</v>
      </c>
      <c r="M607">
        <v>2000</v>
      </c>
      <c r="N607" t="s">
        <v>1160</v>
      </c>
      <c r="O607" t="s">
        <v>1164</v>
      </c>
      <c r="P607" s="2">
        <v>45744</v>
      </c>
      <c r="Q607">
        <v>3</v>
      </c>
      <c r="R607" t="s">
        <v>1169</v>
      </c>
    </row>
    <row r="608" spans="1:18" x14ac:dyDescent="0.3">
      <c r="A608" s="2">
        <v>45826</v>
      </c>
      <c r="B608" t="s">
        <v>620</v>
      </c>
      <c r="C608" t="s">
        <v>1122</v>
      </c>
      <c r="D608" t="s">
        <v>1136</v>
      </c>
      <c r="E608" t="s">
        <v>1148</v>
      </c>
      <c r="F608" t="s">
        <v>1149</v>
      </c>
      <c r="G608" t="s">
        <v>1152</v>
      </c>
      <c r="H608">
        <v>4</v>
      </c>
      <c r="I608">
        <v>39101</v>
      </c>
      <c r="J608">
        <v>5</v>
      </c>
      <c r="K608">
        <v>37145.949999999997</v>
      </c>
      <c r="L608">
        <v>148583.79999999999</v>
      </c>
      <c r="M608">
        <v>1500</v>
      </c>
      <c r="N608" t="s">
        <v>1161</v>
      </c>
      <c r="O608" t="s">
        <v>1162</v>
      </c>
      <c r="Q608">
        <v>3</v>
      </c>
    </row>
    <row r="609" spans="1:18" x14ac:dyDescent="0.3">
      <c r="A609" s="2">
        <v>45760</v>
      </c>
      <c r="B609" t="s">
        <v>621</v>
      </c>
      <c r="C609" t="s">
        <v>1118</v>
      </c>
      <c r="D609" t="s">
        <v>1134</v>
      </c>
      <c r="E609" t="s">
        <v>1147</v>
      </c>
      <c r="F609" t="s">
        <v>1150</v>
      </c>
      <c r="G609" t="s">
        <v>1156</v>
      </c>
      <c r="H609">
        <v>2</v>
      </c>
      <c r="I609">
        <v>21229</v>
      </c>
      <c r="J609">
        <v>10</v>
      </c>
      <c r="K609">
        <v>19106.099999999999</v>
      </c>
      <c r="L609">
        <v>38212.199999999997</v>
      </c>
      <c r="M609">
        <v>2000</v>
      </c>
      <c r="N609" t="s">
        <v>1160</v>
      </c>
      <c r="O609" t="s">
        <v>1164</v>
      </c>
      <c r="P609" s="2">
        <v>45772</v>
      </c>
      <c r="Q609">
        <v>5</v>
      </c>
      <c r="R609" t="s">
        <v>1169</v>
      </c>
    </row>
    <row r="610" spans="1:18" x14ac:dyDescent="0.3">
      <c r="A610" s="2">
        <v>45690</v>
      </c>
      <c r="B610" t="s">
        <v>622</v>
      </c>
      <c r="C610" t="s">
        <v>1121</v>
      </c>
      <c r="D610" t="s">
        <v>1136</v>
      </c>
      <c r="E610" t="s">
        <v>1139</v>
      </c>
      <c r="F610" t="s">
        <v>1150</v>
      </c>
      <c r="G610" t="s">
        <v>1154</v>
      </c>
      <c r="H610">
        <v>1</v>
      </c>
      <c r="I610">
        <v>57842</v>
      </c>
      <c r="J610">
        <v>20</v>
      </c>
      <c r="K610">
        <v>46273.599999999999</v>
      </c>
      <c r="L610">
        <v>46273.599999999999</v>
      </c>
      <c r="M610">
        <v>2000</v>
      </c>
      <c r="N610" t="s">
        <v>1160</v>
      </c>
      <c r="O610" t="s">
        <v>1164</v>
      </c>
      <c r="P610" s="2">
        <v>45698</v>
      </c>
      <c r="Q610">
        <v>1</v>
      </c>
    </row>
    <row r="611" spans="1:18" x14ac:dyDescent="0.3">
      <c r="A611" s="2">
        <v>45747</v>
      </c>
      <c r="B611" t="s">
        <v>623</v>
      </c>
      <c r="C611" t="s">
        <v>1126</v>
      </c>
      <c r="D611" t="s">
        <v>1133</v>
      </c>
      <c r="E611" t="s">
        <v>1148</v>
      </c>
      <c r="F611" t="s">
        <v>1149</v>
      </c>
      <c r="G611" t="s">
        <v>1152</v>
      </c>
      <c r="H611">
        <v>3</v>
      </c>
      <c r="I611">
        <v>76714</v>
      </c>
      <c r="J611">
        <v>15</v>
      </c>
      <c r="K611">
        <v>65206.9</v>
      </c>
      <c r="L611">
        <v>195620.7</v>
      </c>
      <c r="M611">
        <v>2000</v>
      </c>
      <c r="N611" t="s">
        <v>1160</v>
      </c>
      <c r="O611" t="s">
        <v>1164</v>
      </c>
      <c r="P611" s="2">
        <v>45756</v>
      </c>
      <c r="Q611">
        <v>2</v>
      </c>
      <c r="R611" t="s">
        <v>1166</v>
      </c>
    </row>
    <row r="612" spans="1:18" x14ac:dyDescent="0.3">
      <c r="A612" s="2">
        <v>45807</v>
      </c>
      <c r="B612" t="s">
        <v>624</v>
      </c>
      <c r="C612" t="s">
        <v>1117</v>
      </c>
      <c r="D612" t="s">
        <v>1133</v>
      </c>
      <c r="E612" t="s">
        <v>1145</v>
      </c>
      <c r="F612" t="s">
        <v>1149</v>
      </c>
      <c r="G612" t="s">
        <v>1153</v>
      </c>
      <c r="H612">
        <v>4</v>
      </c>
      <c r="I612">
        <v>56398</v>
      </c>
      <c r="J612">
        <v>10</v>
      </c>
      <c r="K612">
        <v>50758.2</v>
      </c>
      <c r="L612">
        <v>203032.8</v>
      </c>
      <c r="M612">
        <v>2000</v>
      </c>
      <c r="N612" t="s">
        <v>1159</v>
      </c>
      <c r="O612" t="s">
        <v>1162</v>
      </c>
      <c r="Q612">
        <v>5</v>
      </c>
      <c r="R612" t="s">
        <v>1166</v>
      </c>
    </row>
    <row r="613" spans="1:18" x14ac:dyDescent="0.3">
      <c r="A613" s="2">
        <v>45760</v>
      </c>
      <c r="B613" t="s">
        <v>625</v>
      </c>
      <c r="C613" t="s">
        <v>1119</v>
      </c>
      <c r="D613" t="s">
        <v>1134</v>
      </c>
      <c r="E613" t="s">
        <v>1140</v>
      </c>
      <c r="F613" t="s">
        <v>1150</v>
      </c>
      <c r="G613" t="s">
        <v>1154</v>
      </c>
      <c r="H613">
        <v>1</v>
      </c>
      <c r="I613">
        <v>19844</v>
      </c>
      <c r="J613">
        <v>10</v>
      </c>
      <c r="K613">
        <v>17859.599999999999</v>
      </c>
      <c r="L613">
        <v>17859.599999999999</v>
      </c>
      <c r="M613">
        <v>2000</v>
      </c>
      <c r="N613" t="s">
        <v>1160</v>
      </c>
      <c r="O613" t="s">
        <v>1162</v>
      </c>
      <c r="Q613">
        <v>1</v>
      </c>
      <c r="R613" t="s">
        <v>1166</v>
      </c>
    </row>
    <row r="614" spans="1:18" x14ac:dyDescent="0.3">
      <c r="A614" s="2">
        <v>45799</v>
      </c>
      <c r="B614" t="s">
        <v>626</v>
      </c>
      <c r="C614" t="s">
        <v>1122</v>
      </c>
      <c r="D614" t="s">
        <v>1136</v>
      </c>
      <c r="E614" t="s">
        <v>1143</v>
      </c>
      <c r="F614" t="s">
        <v>1151</v>
      </c>
      <c r="G614" t="s">
        <v>1157</v>
      </c>
      <c r="H614">
        <v>3</v>
      </c>
      <c r="I614">
        <v>31722</v>
      </c>
      <c r="J614">
        <v>20</v>
      </c>
      <c r="K614">
        <v>25377.599999999999</v>
      </c>
      <c r="L614">
        <v>76132.799999999988</v>
      </c>
      <c r="M614">
        <v>1500</v>
      </c>
      <c r="N614" t="s">
        <v>1161</v>
      </c>
      <c r="O614" t="s">
        <v>1163</v>
      </c>
      <c r="Q614">
        <v>5</v>
      </c>
      <c r="R614" t="s">
        <v>1169</v>
      </c>
    </row>
    <row r="615" spans="1:18" x14ac:dyDescent="0.3">
      <c r="A615" s="2">
        <v>45696</v>
      </c>
      <c r="B615" t="s">
        <v>627</v>
      </c>
      <c r="C615" t="s">
        <v>1118</v>
      </c>
      <c r="D615" t="s">
        <v>1134</v>
      </c>
      <c r="E615" t="s">
        <v>1137</v>
      </c>
      <c r="F615" t="s">
        <v>1149</v>
      </c>
      <c r="G615" t="s">
        <v>1152</v>
      </c>
      <c r="H615">
        <v>1</v>
      </c>
      <c r="I615">
        <v>41835</v>
      </c>
      <c r="J615">
        <v>0</v>
      </c>
      <c r="K615">
        <v>41835</v>
      </c>
      <c r="L615">
        <v>41835</v>
      </c>
      <c r="M615">
        <v>1500</v>
      </c>
      <c r="N615" t="s">
        <v>1159</v>
      </c>
      <c r="O615" t="s">
        <v>1162</v>
      </c>
      <c r="Q615">
        <v>1</v>
      </c>
      <c r="R615" t="s">
        <v>1166</v>
      </c>
    </row>
    <row r="616" spans="1:18" x14ac:dyDescent="0.3">
      <c r="A616" s="2">
        <v>45820</v>
      </c>
      <c r="B616" t="s">
        <v>628</v>
      </c>
      <c r="C616" t="s">
        <v>1130</v>
      </c>
      <c r="D616" t="s">
        <v>1136</v>
      </c>
      <c r="E616" t="s">
        <v>1141</v>
      </c>
      <c r="F616" t="s">
        <v>1151</v>
      </c>
      <c r="G616" t="s">
        <v>1155</v>
      </c>
      <c r="H616">
        <v>2</v>
      </c>
      <c r="I616">
        <v>63045</v>
      </c>
      <c r="J616">
        <v>15</v>
      </c>
      <c r="K616">
        <v>53588.25</v>
      </c>
      <c r="L616">
        <v>107176.5</v>
      </c>
      <c r="M616">
        <v>1500</v>
      </c>
      <c r="N616" t="s">
        <v>1159</v>
      </c>
      <c r="O616" t="s">
        <v>1163</v>
      </c>
      <c r="R616" t="s">
        <v>1170</v>
      </c>
    </row>
    <row r="617" spans="1:18" x14ac:dyDescent="0.3">
      <c r="A617" s="2">
        <v>45711</v>
      </c>
      <c r="B617" t="s">
        <v>629</v>
      </c>
      <c r="C617" t="s">
        <v>1117</v>
      </c>
      <c r="D617" t="s">
        <v>1133</v>
      </c>
      <c r="E617" t="s">
        <v>1142</v>
      </c>
      <c r="F617" t="s">
        <v>1150</v>
      </c>
      <c r="G617" t="s">
        <v>1156</v>
      </c>
      <c r="H617">
        <v>1</v>
      </c>
      <c r="I617">
        <v>4218</v>
      </c>
      <c r="J617">
        <v>20</v>
      </c>
      <c r="K617">
        <v>3374.4</v>
      </c>
      <c r="L617">
        <v>3374.4</v>
      </c>
      <c r="M617">
        <v>1000</v>
      </c>
      <c r="N617" t="s">
        <v>1161</v>
      </c>
      <c r="O617" t="s">
        <v>1162</v>
      </c>
      <c r="Q617">
        <v>4</v>
      </c>
      <c r="R617" t="s">
        <v>1167</v>
      </c>
    </row>
    <row r="618" spans="1:18" x14ac:dyDescent="0.3">
      <c r="A618" s="2">
        <v>45734</v>
      </c>
      <c r="B618" t="s">
        <v>630</v>
      </c>
      <c r="C618" t="s">
        <v>1132</v>
      </c>
      <c r="D618" t="s">
        <v>1134</v>
      </c>
      <c r="E618" t="s">
        <v>1140</v>
      </c>
      <c r="F618" t="s">
        <v>1150</v>
      </c>
      <c r="G618" t="s">
        <v>1154</v>
      </c>
      <c r="H618">
        <v>1</v>
      </c>
      <c r="I618">
        <v>32222</v>
      </c>
      <c r="J618">
        <v>0</v>
      </c>
      <c r="K618">
        <v>32222</v>
      </c>
      <c r="L618">
        <v>32222</v>
      </c>
      <c r="M618">
        <v>1000</v>
      </c>
      <c r="N618" t="s">
        <v>1160</v>
      </c>
      <c r="O618" t="s">
        <v>1162</v>
      </c>
      <c r="Q618">
        <v>5</v>
      </c>
      <c r="R618" t="s">
        <v>1167</v>
      </c>
    </row>
    <row r="619" spans="1:18" x14ac:dyDescent="0.3">
      <c r="A619" s="2">
        <v>45823</v>
      </c>
      <c r="B619" t="s">
        <v>631</v>
      </c>
      <c r="C619" t="s">
        <v>1125</v>
      </c>
      <c r="D619" t="s">
        <v>1133</v>
      </c>
      <c r="E619" t="s">
        <v>1142</v>
      </c>
      <c r="F619" t="s">
        <v>1150</v>
      </c>
      <c r="G619" t="s">
        <v>1156</v>
      </c>
      <c r="H619">
        <v>3</v>
      </c>
      <c r="I619">
        <v>23981</v>
      </c>
      <c r="J619">
        <v>20</v>
      </c>
      <c r="K619">
        <v>19184.8</v>
      </c>
      <c r="L619">
        <v>57554.399999999987</v>
      </c>
      <c r="M619">
        <v>2000</v>
      </c>
      <c r="N619" t="s">
        <v>1160</v>
      </c>
      <c r="O619" t="s">
        <v>1164</v>
      </c>
      <c r="P619" s="2">
        <v>45832</v>
      </c>
      <c r="R619" t="s">
        <v>1170</v>
      </c>
    </row>
    <row r="620" spans="1:18" x14ac:dyDescent="0.3">
      <c r="A620" s="2">
        <v>45722</v>
      </c>
      <c r="B620" t="s">
        <v>632</v>
      </c>
      <c r="C620" t="s">
        <v>1117</v>
      </c>
      <c r="D620" t="s">
        <v>1133</v>
      </c>
      <c r="E620" t="s">
        <v>1145</v>
      </c>
      <c r="F620" t="s">
        <v>1149</v>
      </c>
      <c r="G620" t="s">
        <v>1153</v>
      </c>
      <c r="H620">
        <v>3</v>
      </c>
      <c r="I620">
        <v>10724</v>
      </c>
      <c r="J620">
        <v>20</v>
      </c>
      <c r="K620">
        <v>8579.2000000000007</v>
      </c>
      <c r="L620">
        <v>25737.599999999999</v>
      </c>
      <c r="M620">
        <v>1500</v>
      </c>
      <c r="N620" t="s">
        <v>1161</v>
      </c>
      <c r="O620" t="s">
        <v>1163</v>
      </c>
      <c r="Q620">
        <v>3</v>
      </c>
      <c r="R620" t="s">
        <v>1166</v>
      </c>
    </row>
    <row r="621" spans="1:18" x14ac:dyDescent="0.3">
      <c r="A621" s="2">
        <v>45668</v>
      </c>
      <c r="B621" t="s">
        <v>633</v>
      </c>
      <c r="C621" t="s">
        <v>1132</v>
      </c>
      <c r="D621" t="s">
        <v>1134</v>
      </c>
      <c r="E621" t="s">
        <v>1143</v>
      </c>
      <c r="F621" t="s">
        <v>1151</v>
      </c>
      <c r="G621" t="s">
        <v>1157</v>
      </c>
      <c r="H621">
        <v>5</v>
      </c>
      <c r="I621">
        <v>49455</v>
      </c>
      <c r="J621">
        <v>15</v>
      </c>
      <c r="K621">
        <v>42036.75</v>
      </c>
      <c r="L621">
        <v>210183.75</v>
      </c>
      <c r="M621">
        <v>1000</v>
      </c>
      <c r="N621" t="s">
        <v>1161</v>
      </c>
      <c r="O621" t="s">
        <v>1163</v>
      </c>
      <c r="Q621">
        <v>2</v>
      </c>
    </row>
    <row r="622" spans="1:18" x14ac:dyDescent="0.3">
      <c r="A622" s="2">
        <v>45780</v>
      </c>
      <c r="B622" t="s">
        <v>634</v>
      </c>
      <c r="C622" t="s">
        <v>1132</v>
      </c>
      <c r="D622" t="s">
        <v>1134</v>
      </c>
      <c r="E622" t="s">
        <v>1148</v>
      </c>
      <c r="F622" t="s">
        <v>1149</v>
      </c>
      <c r="G622" t="s">
        <v>1152</v>
      </c>
      <c r="H622">
        <v>5</v>
      </c>
      <c r="I622">
        <v>24472</v>
      </c>
      <c r="J622" t="s">
        <v>1158</v>
      </c>
      <c r="K622">
        <v>22024.799999999999</v>
      </c>
      <c r="L622">
        <v>110124</v>
      </c>
      <c r="M622">
        <v>1000</v>
      </c>
      <c r="N622" t="s">
        <v>1159</v>
      </c>
      <c r="O622" t="s">
        <v>1163</v>
      </c>
      <c r="Q622">
        <v>5</v>
      </c>
      <c r="R622" t="s">
        <v>1168</v>
      </c>
    </row>
    <row r="623" spans="1:18" x14ac:dyDescent="0.3">
      <c r="A623" s="2">
        <v>45776</v>
      </c>
      <c r="B623" t="s">
        <v>635</v>
      </c>
      <c r="C623" t="s">
        <v>1118</v>
      </c>
      <c r="D623" t="s">
        <v>1134</v>
      </c>
      <c r="E623" t="s">
        <v>1147</v>
      </c>
      <c r="F623" t="s">
        <v>1150</v>
      </c>
      <c r="G623" t="s">
        <v>1156</v>
      </c>
      <c r="H623">
        <v>2</v>
      </c>
      <c r="I623">
        <v>61429</v>
      </c>
      <c r="J623">
        <v>5</v>
      </c>
      <c r="K623">
        <v>58357.55</v>
      </c>
      <c r="L623">
        <v>116715.1</v>
      </c>
      <c r="M623">
        <v>1500</v>
      </c>
      <c r="N623" t="s">
        <v>1160</v>
      </c>
      <c r="O623" t="s">
        <v>1163</v>
      </c>
      <c r="Q623">
        <v>3</v>
      </c>
    </row>
    <row r="624" spans="1:18" x14ac:dyDescent="0.3">
      <c r="A624" s="2">
        <v>45800</v>
      </c>
      <c r="B624" t="s">
        <v>636</v>
      </c>
      <c r="C624" t="s">
        <v>1131</v>
      </c>
      <c r="D624" t="s">
        <v>1136</v>
      </c>
      <c r="E624" t="s">
        <v>1146</v>
      </c>
      <c r="F624" t="s">
        <v>1151</v>
      </c>
      <c r="G624" t="s">
        <v>1155</v>
      </c>
      <c r="H624">
        <v>1</v>
      </c>
      <c r="I624">
        <v>76348</v>
      </c>
      <c r="J624">
        <v>5</v>
      </c>
      <c r="K624">
        <v>72530.600000000006</v>
      </c>
      <c r="L624">
        <v>72530.600000000006</v>
      </c>
      <c r="M624">
        <v>1000</v>
      </c>
      <c r="N624" t="s">
        <v>1159</v>
      </c>
      <c r="O624" t="s">
        <v>1164</v>
      </c>
      <c r="P624" s="2">
        <v>45805</v>
      </c>
      <c r="Q624">
        <v>5</v>
      </c>
      <c r="R624" t="s">
        <v>1167</v>
      </c>
    </row>
    <row r="625" spans="1:18" x14ac:dyDescent="0.3">
      <c r="A625" s="2">
        <v>45698</v>
      </c>
      <c r="B625" t="s">
        <v>637</v>
      </c>
      <c r="C625" t="s">
        <v>1131</v>
      </c>
      <c r="D625" t="s">
        <v>1136</v>
      </c>
      <c r="E625" t="s">
        <v>1148</v>
      </c>
      <c r="F625" t="s">
        <v>1149</v>
      </c>
      <c r="G625" t="s">
        <v>1152</v>
      </c>
      <c r="H625">
        <v>5</v>
      </c>
      <c r="I625">
        <v>51465</v>
      </c>
      <c r="J625">
        <v>5</v>
      </c>
      <c r="K625">
        <v>48891.75</v>
      </c>
      <c r="L625">
        <v>244458.75</v>
      </c>
      <c r="M625">
        <v>1000</v>
      </c>
      <c r="N625" t="s">
        <v>1161</v>
      </c>
      <c r="O625" t="s">
        <v>1163</v>
      </c>
      <c r="Q625">
        <v>2</v>
      </c>
      <c r="R625" t="s">
        <v>1170</v>
      </c>
    </row>
    <row r="626" spans="1:18" x14ac:dyDescent="0.3">
      <c r="A626" s="2">
        <v>45687</v>
      </c>
      <c r="B626" t="s">
        <v>638</v>
      </c>
      <c r="C626" t="s">
        <v>1123</v>
      </c>
      <c r="D626" t="s">
        <v>1135</v>
      </c>
      <c r="E626" t="s">
        <v>1139</v>
      </c>
      <c r="F626" t="s">
        <v>1150</v>
      </c>
      <c r="G626" t="s">
        <v>1154</v>
      </c>
      <c r="H626">
        <v>1</v>
      </c>
      <c r="I626">
        <v>79839</v>
      </c>
      <c r="J626">
        <v>0</v>
      </c>
      <c r="K626">
        <v>79839</v>
      </c>
      <c r="L626">
        <v>79839</v>
      </c>
      <c r="M626">
        <v>2000</v>
      </c>
      <c r="N626" t="s">
        <v>1159</v>
      </c>
      <c r="O626" t="s">
        <v>1163</v>
      </c>
      <c r="Q626">
        <v>5</v>
      </c>
      <c r="R626" t="s">
        <v>1166</v>
      </c>
    </row>
    <row r="627" spans="1:18" x14ac:dyDescent="0.3">
      <c r="A627" s="2">
        <v>45699</v>
      </c>
      <c r="B627" t="s">
        <v>639</v>
      </c>
      <c r="C627" t="s">
        <v>1122</v>
      </c>
      <c r="D627" t="s">
        <v>1136</v>
      </c>
      <c r="E627" t="s">
        <v>1142</v>
      </c>
      <c r="F627" t="s">
        <v>1150</v>
      </c>
      <c r="G627" t="s">
        <v>1156</v>
      </c>
      <c r="H627">
        <v>2</v>
      </c>
      <c r="I627">
        <v>45619</v>
      </c>
      <c r="J627">
        <v>5</v>
      </c>
      <c r="K627">
        <v>43338.05</v>
      </c>
      <c r="L627">
        <v>86676.1</v>
      </c>
      <c r="M627">
        <v>2000</v>
      </c>
      <c r="N627" t="s">
        <v>1161</v>
      </c>
      <c r="O627" t="s">
        <v>1162</v>
      </c>
      <c r="Q627">
        <v>2</v>
      </c>
      <c r="R627" t="s">
        <v>1167</v>
      </c>
    </row>
    <row r="628" spans="1:18" x14ac:dyDescent="0.3">
      <c r="A628" s="2">
        <v>45835</v>
      </c>
      <c r="B628" t="s">
        <v>640</v>
      </c>
      <c r="C628" t="s">
        <v>1122</v>
      </c>
      <c r="D628" t="s">
        <v>1136</v>
      </c>
      <c r="E628" t="s">
        <v>1139</v>
      </c>
      <c r="F628" t="s">
        <v>1150</v>
      </c>
      <c r="G628" t="s">
        <v>1154</v>
      </c>
      <c r="H628">
        <v>4</v>
      </c>
      <c r="I628">
        <v>78113</v>
      </c>
      <c r="J628">
        <v>15</v>
      </c>
      <c r="K628">
        <v>66396.05</v>
      </c>
      <c r="L628">
        <v>265584.2</v>
      </c>
      <c r="M628">
        <v>1000</v>
      </c>
      <c r="N628" t="s">
        <v>1160</v>
      </c>
      <c r="O628" t="s">
        <v>1164</v>
      </c>
      <c r="P628" s="2">
        <v>45847</v>
      </c>
      <c r="Q628">
        <v>5</v>
      </c>
    </row>
    <row r="629" spans="1:18" x14ac:dyDescent="0.3">
      <c r="A629" s="2">
        <v>45731</v>
      </c>
      <c r="B629" t="s">
        <v>641</v>
      </c>
      <c r="C629" t="s">
        <v>1125</v>
      </c>
      <c r="D629" t="s">
        <v>1133</v>
      </c>
      <c r="E629" t="s">
        <v>1138</v>
      </c>
      <c r="F629" t="s">
        <v>1149</v>
      </c>
      <c r="G629" t="s">
        <v>1153</v>
      </c>
      <c r="H629">
        <v>1</v>
      </c>
      <c r="I629">
        <v>52152</v>
      </c>
      <c r="J629">
        <v>15</v>
      </c>
      <c r="K629">
        <v>44329.2</v>
      </c>
      <c r="L629">
        <v>44329.2</v>
      </c>
      <c r="M629">
        <v>2000</v>
      </c>
      <c r="N629" t="s">
        <v>1159</v>
      </c>
      <c r="O629" t="s">
        <v>1162</v>
      </c>
      <c r="Q629">
        <v>2</v>
      </c>
      <c r="R629" t="s">
        <v>1169</v>
      </c>
    </row>
    <row r="630" spans="1:18" x14ac:dyDescent="0.3">
      <c r="A630" s="2">
        <v>45662</v>
      </c>
      <c r="B630" t="s">
        <v>642</v>
      </c>
      <c r="C630" t="s">
        <v>1125</v>
      </c>
      <c r="D630" t="s">
        <v>1133</v>
      </c>
      <c r="E630" t="s">
        <v>1147</v>
      </c>
      <c r="F630" t="s">
        <v>1150</v>
      </c>
      <c r="G630" t="s">
        <v>1156</v>
      </c>
      <c r="H630">
        <v>4</v>
      </c>
      <c r="I630">
        <v>47009</v>
      </c>
      <c r="J630">
        <v>20</v>
      </c>
      <c r="K630">
        <v>37607.199999999997</v>
      </c>
      <c r="L630">
        <v>150428.79999999999</v>
      </c>
      <c r="M630">
        <v>1000</v>
      </c>
      <c r="N630" t="s">
        <v>1160</v>
      </c>
      <c r="O630" t="s">
        <v>1162</v>
      </c>
      <c r="Q630">
        <v>4</v>
      </c>
      <c r="R630" t="s">
        <v>1170</v>
      </c>
    </row>
    <row r="631" spans="1:18" x14ac:dyDescent="0.3">
      <c r="A631" s="2">
        <v>45686</v>
      </c>
      <c r="B631" t="s">
        <v>643</v>
      </c>
      <c r="C631" t="s">
        <v>1121</v>
      </c>
      <c r="D631" t="s">
        <v>1136</v>
      </c>
      <c r="E631" t="s">
        <v>1144</v>
      </c>
      <c r="F631" t="s">
        <v>1151</v>
      </c>
      <c r="G631" t="s">
        <v>1157</v>
      </c>
      <c r="H631">
        <v>1</v>
      </c>
      <c r="I631">
        <v>18424</v>
      </c>
      <c r="J631">
        <v>5</v>
      </c>
      <c r="K631">
        <v>17502.8</v>
      </c>
      <c r="L631">
        <v>17502.8</v>
      </c>
      <c r="M631">
        <v>1500</v>
      </c>
      <c r="N631" t="s">
        <v>1160</v>
      </c>
      <c r="O631" t="s">
        <v>1162</v>
      </c>
      <c r="Q631">
        <v>3</v>
      </c>
      <c r="R631" t="s">
        <v>1168</v>
      </c>
    </row>
    <row r="632" spans="1:18" x14ac:dyDescent="0.3">
      <c r="A632" s="2">
        <v>45696</v>
      </c>
      <c r="B632" t="s">
        <v>644</v>
      </c>
      <c r="C632" t="s">
        <v>1121</v>
      </c>
      <c r="D632" t="s">
        <v>1136</v>
      </c>
      <c r="E632" t="s">
        <v>1138</v>
      </c>
      <c r="F632" t="s">
        <v>1149</v>
      </c>
      <c r="G632" t="s">
        <v>1153</v>
      </c>
      <c r="H632">
        <v>5</v>
      </c>
      <c r="I632">
        <v>77707</v>
      </c>
      <c r="J632">
        <v>20</v>
      </c>
      <c r="K632">
        <v>62165.599999999999</v>
      </c>
      <c r="L632">
        <v>310828</v>
      </c>
      <c r="M632">
        <v>1000</v>
      </c>
      <c r="N632" t="s">
        <v>1161</v>
      </c>
      <c r="O632" t="s">
        <v>1162</v>
      </c>
      <c r="Q632">
        <v>4</v>
      </c>
      <c r="R632" t="s">
        <v>1167</v>
      </c>
    </row>
    <row r="633" spans="1:18" x14ac:dyDescent="0.3">
      <c r="A633" s="2">
        <v>45759</v>
      </c>
      <c r="B633" t="s">
        <v>645</v>
      </c>
      <c r="C633" t="s">
        <v>1118</v>
      </c>
      <c r="D633" t="s">
        <v>1134</v>
      </c>
      <c r="E633" t="s">
        <v>1138</v>
      </c>
      <c r="F633" t="s">
        <v>1149</v>
      </c>
      <c r="G633" t="s">
        <v>1153</v>
      </c>
      <c r="H633">
        <v>1</v>
      </c>
      <c r="I633">
        <v>67180</v>
      </c>
      <c r="J633">
        <v>0</v>
      </c>
      <c r="K633">
        <v>67180</v>
      </c>
      <c r="L633">
        <v>67180</v>
      </c>
      <c r="M633">
        <v>2000</v>
      </c>
      <c r="N633" t="s">
        <v>1160</v>
      </c>
      <c r="O633" t="s">
        <v>1163</v>
      </c>
      <c r="R633" t="s">
        <v>1168</v>
      </c>
    </row>
    <row r="634" spans="1:18" x14ac:dyDescent="0.3">
      <c r="A634" s="2">
        <v>45782</v>
      </c>
      <c r="B634" t="s">
        <v>646</v>
      </c>
      <c r="C634" t="s">
        <v>1117</v>
      </c>
      <c r="D634" t="s">
        <v>1133</v>
      </c>
      <c r="E634" t="s">
        <v>1148</v>
      </c>
      <c r="F634" t="s">
        <v>1149</v>
      </c>
      <c r="G634" t="s">
        <v>1152</v>
      </c>
      <c r="H634">
        <v>2</v>
      </c>
      <c r="I634">
        <v>30268</v>
      </c>
      <c r="J634">
        <v>0</v>
      </c>
      <c r="K634">
        <v>30268</v>
      </c>
      <c r="L634">
        <v>60536</v>
      </c>
      <c r="M634">
        <v>1000</v>
      </c>
      <c r="N634" t="s">
        <v>1160</v>
      </c>
      <c r="O634" t="s">
        <v>1163</v>
      </c>
      <c r="Q634">
        <v>2</v>
      </c>
    </row>
    <row r="635" spans="1:18" x14ac:dyDescent="0.3">
      <c r="A635" s="2">
        <v>45824</v>
      </c>
      <c r="B635" t="s">
        <v>647</v>
      </c>
      <c r="C635" t="s">
        <v>1125</v>
      </c>
      <c r="D635" t="s">
        <v>1133</v>
      </c>
      <c r="E635" t="s">
        <v>1143</v>
      </c>
      <c r="F635" t="s">
        <v>1151</v>
      </c>
      <c r="G635" t="s">
        <v>1157</v>
      </c>
      <c r="H635">
        <v>4</v>
      </c>
      <c r="I635">
        <v>71047</v>
      </c>
      <c r="J635">
        <v>15</v>
      </c>
      <c r="K635">
        <v>60389.95</v>
      </c>
      <c r="L635">
        <v>241559.8</v>
      </c>
      <c r="M635">
        <v>1000</v>
      </c>
      <c r="N635" t="s">
        <v>1161</v>
      </c>
      <c r="O635" t="s">
        <v>1162</v>
      </c>
      <c r="Q635">
        <v>4</v>
      </c>
      <c r="R635" t="s">
        <v>1167</v>
      </c>
    </row>
    <row r="636" spans="1:18" x14ac:dyDescent="0.3">
      <c r="A636" s="2">
        <v>45801</v>
      </c>
      <c r="B636" t="s">
        <v>648</v>
      </c>
      <c r="C636" t="s">
        <v>1123</v>
      </c>
      <c r="D636" t="s">
        <v>1135</v>
      </c>
      <c r="E636" t="s">
        <v>1143</v>
      </c>
      <c r="F636" t="s">
        <v>1151</v>
      </c>
      <c r="G636" t="s">
        <v>1157</v>
      </c>
      <c r="H636">
        <v>4</v>
      </c>
      <c r="I636">
        <v>24778</v>
      </c>
      <c r="J636">
        <v>10</v>
      </c>
      <c r="K636">
        <v>22300.2</v>
      </c>
      <c r="L636">
        <v>89200.8</v>
      </c>
      <c r="M636">
        <v>1000</v>
      </c>
      <c r="N636" t="s">
        <v>1161</v>
      </c>
      <c r="O636" t="s">
        <v>1164</v>
      </c>
      <c r="P636" s="2">
        <v>45803</v>
      </c>
      <c r="Q636">
        <v>5</v>
      </c>
      <c r="R636" t="s">
        <v>1167</v>
      </c>
    </row>
    <row r="637" spans="1:18" x14ac:dyDescent="0.3">
      <c r="A637" s="2">
        <v>45780</v>
      </c>
      <c r="B637" t="s">
        <v>649</v>
      </c>
      <c r="C637" t="s">
        <v>1129</v>
      </c>
      <c r="D637" t="s">
        <v>1133</v>
      </c>
      <c r="E637" t="s">
        <v>1141</v>
      </c>
      <c r="F637" t="s">
        <v>1151</v>
      </c>
      <c r="G637" t="s">
        <v>1155</v>
      </c>
      <c r="H637">
        <v>1</v>
      </c>
      <c r="I637">
        <v>30449</v>
      </c>
      <c r="J637">
        <v>20</v>
      </c>
      <c r="K637">
        <v>24359.200000000001</v>
      </c>
      <c r="L637">
        <v>24359.200000000001</v>
      </c>
      <c r="M637">
        <v>1000</v>
      </c>
      <c r="N637" t="s">
        <v>1161</v>
      </c>
      <c r="O637" t="s">
        <v>1164</v>
      </c>
      <c r="P637" s="2">
        <v>45791</v>
      </c>
      <c r="Q637">
        <v>4</v>
      </c>
      <c r="R637" t="s">
        <v>1166</v>
      </c>
    </row>
    <row r="638" spans="1:18" x14ac:dyDescent="0.3">
      <c r="A638" s="2">
        <v>45703</v>
      </c>
      <c r="B638" t="s">
        <v>650</v>
      </c>
      <c r="C638" t="s">
        <v>1122</v>
      </c>
      <c r="D638" t="s">
        <v>1136</v>
      </c>
      <c r="E638" t="s">
        <v>1137</v>
      </c>
      <c r="F638" t="s">
        <v>1149</v>
      </c>
      <c r="G638" t="s">
        <v>1152</v>
      </c>
      <c r="H638">
        <v>1</v>
      </c>
      <c r="I638">
        <v>69338</v>
      </c>
      <c r="J638">
        <v>20</v>
      </c>
      <c r="K638">
        <v>55470.400000000001</v>
      </c>
      <c r="L638">
        <v>55470.400000000001</v>
      </c>
      <c r="M638">
        <v>1000</v>
      </c>
      <c r="N638" t="s">
        <v>1160</v>
      </c>
      <c r="O638" t="s">
        <v>1163</v>
      </c>
      <c r="Q638">
        <v>1</v>
      </c>
      <c r="R638" t="s">
        <v>1169</v>
      </c>
    </row>
    <row r="639" spans="1:18" x14ac:dyDescent="0.3">
      <c r="A639" s="2">
        <v>45776</v>
      </c>
      <c r="B639" t="s">
        <v>651</v>
      </c>
      <c r="C639" t="s">
        <v>1121</v>
      </c>
      <c r="D639" t="s">
        <v>1136</v>
      </c>
      <c r="E639" t="s">
        <v>1147</v>
      </c>
      <c r="F639" t="s">
        <v>1150</v>
      </c>
      <c r="G639" t="s">
        <v>1156</v>
      </c>
      <c r="H639">
        <v>3</v>
      </c>
      <c r="I639">
        <v>38958</v>
      </c>
      <c r="J639">
        <v>15</v>
      </c>
      <c r="K639">
        <v>33114.300000000003</v>
      </c>
      <c r="L639">
        <v>99342.900000000009</v>
      </c>
      <c r="M639">
        <v>1000</v>
      </c>
      <c r="N639" t="s">
        <v>1161</v>
      </c>
      <c r="O639" t="s">
        <v>1164</v>
      </c>
      <c r="P639" s="2">
        <v>45781</v>
      </c>
      <c r="Q639">
        <v>3</v>
      </c>
      <c r="R639" t="s">
        <v>1169</v>
      </c>
    </row>
    <row r="640" spans="1:18" x14ac:dyDescent="0.3">
      <c r="A640" s="2">
        <v>45674</v>
      </c>
      <c r="B640" t="s">
        <v>652</v>
      </c>
      <c r="C640" t="s">
        <v>1118</v>
      </c>
      <c r="D640" t="s">
        <v>1134</v>
      </c>
      <c r="E640" t="s">
        <v>1137</v>
      </c>
      <c r="F640" t="s">
        <v>1149</v>
      </c>
      <c r="G640" t="s">
        <v>1152</v>
      </c>
      <c r="H640">
        <v>1</v>
      </c>
      <c r="I640">
        <v>40776</v>
      </c>
      <c r="J640">
        <v>10</v>
      </c>
      <c r="K640">
        <v>36698.400000000001</v>
      </c>
      <c r="L640">
        <v>36698.400000000001</v>
      </c>
      <c r="M640">
        <v>1000</v>
      </c>
      <c r="N640" t="s">
        <v>1160</v>
      </c>
      <c r="O640" t="s">
        <v>1162</v>
      </c>
      <c r="Q640">
        <v>4</v>
      </c>
      <c r="R640" t="s">
        <v>1166</v>
      </c>
    </row>
    <row r="641" spans="1:18" x14ac:dyDescent="0.3">
      <c r="A641" s="2">
        <v>45671</v>
      </c>
      <c r="B641" t="s">
        <v>653</v>
      </c>
      <c r="C641" t="s">
        <v>1129</v>
      </c>
      <c r="D641" t="s">
        <v>1133</v>
      </c>
      <c r="E641" t="s">
        <v>1145</v>
      </c>
      <c r="F641" t="s">
        <v>1149</v>
      </c>
      <c r="G641" t="s">
        <v>1153</v>
      </c>
      <c r="H641">
        <v>4</v>
      </c>
      <c r="I641">
        <v>24715</v>
      </c>
      <c r="J641">
        <v>20</v>
      </c>
      <c r="K641">
        <v>19772</v>
      </c>
      <c r="L641">
        <v>79088</v>
      </c>
      <c r="M641">
        <v>2000</v>
      </c>
      <c r="N641" t="s">
        <v>1160</v>
      </c>
      <c r="O641" t="s">
        <v>1162</v>
      </c>
      <c r="Q641">
        <v>4</v>
      </c>
      <c r="R641" t="s">
        <v>1168</v>
      </c>
    </row>
    <row r="642" spans="1:18" x14ac:dyDescent="0.3">
      <c r="A642" s="2">
        <v>45828</v>
      </c>
      <c r="B642" t="s">
        <v>654</v>
      </c>
      <c r="C642" t="s">
        <v>1121</v>
      </c>
      <c r="D642" t="s">
        <v>1136</v>
      </c>
      <c r="E642" t="s">
        <v>1139</v>
      </c>
      <c r="F642" t="s">
        <v>1150</v>
      </c>
      <c r="G642" t="s">
        <v>1154</v>
      </c>
      <c r="H642">
        <v>4</v>
      </c>
      <c r="I642">
        <v>50780</v>
      </c>
      <c r="J642">
        <v>10</v>
      </c>
      <c r="K642">
        <v>45702</v>
      </c>
      <c r="L642">
        <v>182808</v>
      </c>
      <c r="M642">
        <v>2000</v>
      </c>
      <c r="N642" t="s">
        <v>1161</v>
      </c>
      <c r="O642" t="s">
        <v>1162</v>
      </c>
      <c r="Q642">
        <v>2</v>
      </c>
      <c r="R642" t="s">
        <v>1169</v>
      </c>
    </row>
    <row r="643" spans="1:18" x14ac:dyDescent="0.3">
      <c r="A643" s="2">
        <v>45711</v>
      </c>
      <c r="B643" t="s">
        <v>655</v>
      </c>
      <c r="C643" t="s">
        <v>1118</v>
      </c>
      <c r="D643" t="s">
        <v>1134</v>
      </c>
      <c r="E643" t="s">
        <v>1146</v>
      </c>
      <c r="F643" t="s">
        <v>1151</v>
      </c>
      <c r="G643" t="s">
        <v>1155</v>
      </c>
      <c r="H643">
        <v>2</v>
      </c>
      <c r="I643">
        <v>46795</v>
      </c>
      <c r="J643">
        <v>5</v>
      </c>
      <c r="K643">
        <v>44455.25</v>
      </c>
      <c r="L643">
        <v>88910.5</v>
      </c>
      <c r="M643">
        <v>2000</v>
      </c>
      <c r="N643" t="s">
        <v>1161</v>
      </c>
      <c r="O643" t="s">
        <v>1162</v>
      </c>
      <c r="Q643">
        <v>1</v>
      </c>
      <c r="R643" t="s">
        <v>1169</v>
      </c>
    </row>
    <row r="644" spans="1:18" x14ac:dyDescent="0.3">
      <c r="A644" s="2">
        <v>45830</v>
      </c>
      <c r="B644" t="s">
        <v>656</v>
      </c>
      <c r="C644" t="s">
        <v>1122</v>
      </c>
      <c r="D644" t="s">
        <v>1136</v>
      </c>
      <c r="E644" t="s">
        <v>1141</v>
      </c>
      <c r="F644" t="s">
        <v>1151</v>
      </c>
      <c r="G644" t="s">
        <v>1155</v>
      </c>
      <c r="H644">
        <v>5</v>
      </c>
      <c r="I644">
        <v>31953</v>
      </c>
      <c r="J644">
        <v>15</v>
      </c>
      <c r="K644">
        <v>27160.05</v>
      </c>
      <c r="L644">
        <v>135800.25</v>
      </c>
      <c r="M644">
        <v>1500</v>
      </c>
      <c r="N644" t="s">
        <v>1159</v>
      </c>
      <c r="O644" t="s">
        <v>1162</v>
      </c>
      <c r="Q644" t="s">
        <v>1165</v>
      </c>
      <c r="R644" t="s">
        <v>1170</v>
      </c>
    </row>
    <row r="645" spans="1:18" x14ac:dyDescent="0.3">
      <c r="A645" s="2">
        <v>45722</v>
      </c>
      <c r="B645" t="s">
        <v>657</v>
      </c>
      <c r="C645" t="s">
        <v>1129</v>
      </c>
      <c r="D645" t="s">
        <v>1133</v>
      </c>
      <c r="E645" t="s">
        <v>1144</v>
      </c>
      <c r="F645" t="s">
        <v>1151</v>
      </c>
      <c r="G645" t="s">
        <v>1157</v>
      </c>
      <c r="H645">
        <v>2</v>
      </c>
      <c r="I645">
        <v>68172</v>
      </c>
      <c r="J645">
        <v>20</v>
      </c>
      <c r="K645">
        <v>54537.599999999999</v>
      </c>
      <c r="L645">
        <v>109075.2</v>
      </c>
      <c r="M645">
        <v>2000</v>
      </c>
      <c r="N645" t="s">
        <v>1161</v>
      </c>
      <c r="O645" t="s">
        <v>1162</v>
      </c>
      <c r="Q645">
        <v>1</v>
      </c>
      <c r="R645" t="s">
        <v>1166</v>
      </c>
    </row>
    <row r="646" spans="1:18" x14ac:dyDescent="0.3">
      <c r="A646" s="2">
        <v>45674</v>
      </c>
      <c r="B646" t="s">
        <v>658</v>
      </c>
      <c r="C646" t="s">
        <v>1122</v>
      </c>
      <c r="D646" t="s">
        <v>1136</v>
      </c>
      <c r="E646" t="s">
        <v>1144</v>
      </c>
      <c r="F646" t="s">
        <v>1151</v>
      </c>
      <c r="G646" t="s">
        <v>1157</v>
      </c>
      <c r="H646">
        <v>3</v>
      </c>
      <c r="I646">
        <v>71675</v>
      </c>
      <c r="J646">
        <v>5</v>
      </c>
      <c r="K646">
        <v>68091.25</v>
      </c>
      <c r="L646">
        <v>204273.75</v>
      </c>
      <c r="M646">
        <v>1500</v>
      </c>
      <c r="N646" t="s">
        <v>1159</v>
      </c>
      <c r="O646" t="s">
        <v>1163</v>
      </c>
      <c r="Q646">
        <v>1</v>
      </c>
      <c r="R646" t="s">
        <v>1168</v>
      </c>
    </row>
    <row r="647" spans="1:18" x14ac:dyDescent="0.3">
      <c r="A647" s="2">
        <v>45657</v>
      </c>
      <c r="B647" t="s">
        <v>659</v>
      </c>
      <c r="C647" t="s">
        <v>1120</v>
      </c>
      <c r="D647" t="s">
        <v>1135</v>
      </c>
      <c r="E647" t="s">
        <v>1141</v>
      </c>
      <c r="F647" t="s">
        <v>1151</v>
      </c>
      <c r="G647" t="s">
        <v>1155</v>
      </c>
      <c r="H647">
        <v>3</v>
      </c>
      <c r="I647">
        <v>62625</v>
      </c>
      <c r="J647">
        <v>10</v>
      </c>
      <c r="K647">
        <v>56362.5</v>
      </c>
      <c r="L647">
        <v>169087.5</v>
      </c>
      <c r="M647">
        <v>1500</v>
      </c>
      <c r="N647" t="s">
        <v>1161</v>
      </c>
      <c r="O647" t="s">
        <v>1162</v>
      </c>
      <c r="Q647">
        <v>5</v>
      </c>
      <c r="R647" t="s">
        <v>1170</v>
      </c>
    </row>
    <row r="648" spans="1:18" x14ac:dyDescent="0.3">
      <c r="A648" s="2">
        <v>45734</v>
      </c>
      <c r="B648" t="s">
        <v>660</v>
      </c>
      <c r="C648" t="s">
        <v>1131</v>
      </c>
      <c r="D648" t="s">
        <v>1136</v>
      </c>
      <c r="E648" t="s">
        <v>1148</v>
      </c>
      <c r="F648" t="s">
        <v>1149</v>
      </c>
      <c r="G648" t="s">
        <v>1152</v>
      </c>
      <c r="H648">
        <v>1</v>
      </c>
      <c r="I648">
        <v>59827</v>
      </c>
      <c r="J648">
        <v>5</v>
      </c>
      <c r="K648">
        <v>56835.65</v>
      </c>
      <c r="L648">
        <v>56835.65</v>
      </c>
      <c r="M648">
        <v>1000</v>
      </c>
      <c r="N648" t="s">
        <v>1161</v>
      </c>
      <c r="O648" t="s">
        <v>1163</v>
      </c>
      <c r="Q648">
        <v>2</v>
      </c>
      <c r="R648" t="s">
        <v>1167</v>
      </c>
    </row>
    <row r="649" spans="1:18" x14ac:dyDescent="0.3">
      <c r="A649" s="2">
        <v>45658</v>
      </c>
      <c r="B649" t="s">
        <v>661</v>
      </c>
      <c r="C649" t="s">
        <v>1123</v>
      </c>
      <c r="D649" t="s">
        <v>1135</v>
      </c>
      <c r="E649" t="s">
        <v>1139</v>
      </c>
      <c r="F649" t="s">
        <v>1150</v>
      </c>
      <c r="G649" t="s">
        <v>1154</v>
      </c>
      <c r="H649">
        <v>4</v>
      </c>
      <c r="I649">
        <v>15183</v>
      </c>
      <c r="J649">
        <v>5</v>
      </c>
      <c r="K649">
        <v>14423.85</v>
      </c>
      <c r="L649">
        <v>57695.4</v>
      </c>
      <c r="M649">
        <v>1500</v>
      </c>
      <c r="N649" t="s">
        <v>1161</v>
      </c>
      <c r="O649" t="s">
        <v>1163</v>
      </c>
      <c r="Q649">
        <v>4</v>
      </c>
    </row>
    <row r="650" spans="1:18" x14ac:dyDescent="0.3">
      <c r="A650" s="2">
        <v>45793</v>
      </c>
      <c r="B650" t="s">
        <v>662</v>
      </c>
      <c r="C650" t="s">
        <v>1117</v>
      </c>
      <c r="D650" t="s">
        <v>1133</v>
      </c>
      <c r="E650" t="s">
        <v>1143</v>
      </c>
      <c r="F650" t="s">
        <v>1151</v>
      </c>
      <c r="G650" t="s">
        <v>1157</v>
      </c>
      <c r="H650">
        <v>5</v>
      </c>
      <c r="I650">
        <v>31549</v>
      </c>
      <c r="J650">
        <v>15</v>
      </c>
      <c r="K650">
        <v>26816.65</v>
      </c>
      <c r="L650">
        <v>134083.25</v>
      </c>
      <c r="M650">
        <v>1500</v>
      </c>
      <c r="N650" t="s">
        <v>1160</v>
      </c>
      <c r="O650" t="s">
        <v>1162</v>
      </c>
      <c r="Q650">
        <v>4</v>
      </c>
      <c r="R650" t="s">
        <v>1168</v>
      </c>
    </row>
    <row r="651" spans="1:18" x14ac:dyDescent="0.3">
      <c r="A651" s="2">
        <v>45823</v>
      </c>
      <c r="B651" t="s">
        <v>663</v>
      </c>
      <c r="C651" t="s">
        <v>1118</v>
      </c>
      <c r="D651" t="s">
        <v>1134</v>
      </c>
      <c r="E651" t="s">
        <v>1147</v>
      </c>
      <c r="F651" t="s">
        <v>1150</v>
      </c>
      <c r="G651" t="s">
        <v>1156</v>
      </c>
      <c r="H651">
        <v>3</v>
      </c>
      <c r="I651">
        <v>35376</v>
      </c>
      <c r="J651">
        <v>10</v>
      </c>
      <c r="K651">
        <v>31838.400000000001</v>
      </c>
      <c r="L651">
        <v>95515.200000000012</v>
      </c>
      <c r="M651">
        <v>2000</v>
      </c>
      <c r="N651" t="s">
        <v>1159</v>
      </c>
      <c r="O651" t="s">
        <v>1163</v>
      </c>
      <c r="Q651">
        <v>3</v>
      </c>
      <c r="R651" t="s">
        <v>1167</v>
      </c>
    </row>
    <row r="652" spans="1:18" x14ac:dyDescent="0.3">
      <c r="A652" s="2">
        <v>45769</v>
      </c>
      <c r="B652" t="s">
        <v>664</v>
      </c>
      <c r="C652" t="s">
        <v>1132</v>
      </c>
      <c r="D652" t="s">
        <v>1134</v>
      </c>
      <c r="E652" t="s">
        <v>1143</v>
      </c>
      <c r="F652" t="s">
        <v>1151</v>
      </c>
      <c r="G652" t="s">
        <v>1157</v>
      </c>
      <c r="H652">
        <v>1</v>
      </c>
      <c r="I652">
        <v>25161</v>
      </c>
      <c r="J652">
        <v>10</v>
      </c>
      <c r="K652">
        <v>22644.9</v>
      </c>
      <c r="L652">
        <v>22644.9</v>
      </c>
      <c r="M652">
        <v>2000</v>
      </c>
      <c r="N652" t="s">
        <v>1161</v>
      </c>
      <c r="O652" t="s">
        <v>1164</v>
      </c>
      <c r="P652" s="2">
        <v>45774</v>
      </c>
      <c r="Q652">
        <v>2</v>
      </c>
    </row>
    <row r="653" spans="1:18" x14ac:dyDescent="0.3">
      <c r="A653" s="2">
        <v>45824</v>
      </c>
      <c r="B653" t="s">
        <v>665</v>
      </c>
      <c r="C653" t="s">
        <v>1131</v>
      </c>
      <c r="D653" t="s">
        <v>1136</v>
      </c>
      <c r="E653" t="s">
        <v>1141</v>
      </c>
      <c r="F653" t="s">
        <v>1151</v>
      </c>
      <c r="G653" t="s">
        <v>1155</v>
      </c>
      <c r="H653">
        <v>3</v>
      </c>
      <c r="I653">
        <v>56580</v>
      </c>
      <c r="J653">
        <v>20</v>
      </c>
      <c r="K653">
        <v>45264</v>
      </c>
      <c r="L653">
        <v>135792</v>
      </c>
      <c r="M653">
        <v>1500</v>
      </c>
      <c r="N653" t="s">
        <v>1160</v>
      </c>
      <c r="O653" t="s">
        <v>1164</v>
      </c>
      <c r="P653" s="2">
        <v>45831</v>
      </c>
      <c r="Q653">
        <v>2</v>
      </c>
      <c r="R653" t="s">
        <v>1169</v>
      </c>
    </row>
    <row r="654" spans="1:18" x14ac:dyDescent="0.3">
      <c r="A654" s="2">
        <v>45682</v>
      </c>
      <c r="B654" t="s">
        <v>90</v>
      </c>
      <c r="C654" t="s">
        <v>1122</v>
      </c>
      <c r="D654" t="s">
        <v>1136</v>
      </c>
      <c r="E654" t="s">
        <v>1139</v>
      </c>
      <c r="F654" t="s">
        <v>1150</v>
      </c>
      <c r="G654" t="s">
        <v>1154</v>
      </c>
      <c r="H654">
        <v>4</v>
      </c>
      <c r="I654">
        <v>75714</v>
      </c>
      <c r="J654">
        <v>0</v>
      </c>
      <c r="K654">
        <v>75714</v>
      </c>
      <c r="L654">
        <v>302856</v>
      </c>
      <c r="M654">
        <v>1000</v>
      </c>
      <c r="N654" t="s">
        <v>1161</v>
      </c>
      <c r="O654" t="s">
        <v>1162</v>
      </c>
      <c r="R654" t="s">
        <v>1169</v>
      </c>
    </row>
    <row r="655" spans="1:18" x14ac:dyDescent="0.3">
      <c r="A655" s="2">
        <v>45788</v>
      </c>
      <c r="B655" t="s">
        <v>666</v>
      </c>
      <c r="C655" t="s">
        <v>1130</v>
      </c>
      <c r="D655" t="s">
        <v>1136</v>
      </c>
      <c r="E655" t="s">
        <v>1142</v>
      </c>
      <c r="F655" t="s">
        <v>1150</v>
      </c>
      <c r="G655" t="s">
        <v>1156</v>
      </c>
      <c r="H655">
        <v>1</v>
      </c>
      <c r="I655">
        <v>18851</v>
      </c>
      <c r="J655">
        <v>10</v>
      </c>
      <c r="K655">
        <v>16965.900000000001</v>
      </c>
      <c r="L655">
        <v>16965.900000000001</v>
      </c>
      <c r="M655">
        <v>1000</v>
      </c>
      <c r="N655" t="s">
        <v>1160</v>
      </c>
      <c r="O655" t="s">
        <v>1163</v>
      </c>
      <c r="Q655">
        <v>4</v>
      </c>
      <c r="R655" t="s">
        <v>1168</v>
      </c>
    </row>
    <row r="656" spans="1:18" x14ac:dyDescent="0.3">
      <c r="A656" s="2">
        <v>45815</v>
      </c>
      <c r="B656" t="s">
        <v>667</v>
      </c>
      <c r="C656" t="s">
        <v>1124</v>
      </c>
      <c r="D656" t="s">
        <v>1135</v>
      </c>
      <c r="E656" t="s">
        <v>1146</v>
      </c>
      <c r="F656" t="s">
        <v>1151</v>
      </c>
      <c r="G656" t="s">
        <v>1155</v>
      </c>
      <c r="H656">
        <v>5</v>
      </c>
      <c r="I656">
        <v>61502</v>
      </c>
      <c r="J656">
        <v>10</v>
      </c>
      <c r="K656">
        <v>55351.8</v>
      </c>
      <c r="L656">
        <v>276759</v>
      </c>
      <c r="M656">
        <v>1500</v>
      </c>
      <c r="N656" t="s">
        <v>1161</v>
      </c>
      <c r="O656" t="s">
        <v>1164</v>
      </c>
      <c r="P656" s="2">
        <v>45819</v>
      </c>
      <c r="Q656">
        <v>3</v>
      </c>
      <c r="R656" t="s">
        <v>1168</v>
      </c>
    </row>
    <row r="657" spans="1:18" x14ac:dyDescent="0.3">
      <c r="A657" s="2">
        <v>45674</v>
      </c>
      <c r="B657" t="s">
        <v>668</v>
      </c>
      <c r="C657" t="s">
        <v>1128</v>
      </c>
      <c r="D657" t="s">
        <v>1135</v>
      </c>
      <c r="E657" t="s">
        <v>1147</v>
      </c>
      <c r="F657" t="s">
        <v>1150</v>
      </c>
      <c r="G657" t="s">
        <v>1156</v>
      </c>
      <c r="H657">
        <v>5</v>
      </c>
      <c r="I657">
        <v>27208</v>
      </c>
      <c r="J657">
        <v>10</v>
      </c>
      <c r="K657">
        <v>24487.200000000001</v>
      </c>
      <c r="L657">
        <v>122436</v>
      </c>
      <c r="M657">
        <v>1500</v>
      </c>
      <c r="N657" t="s">
        <v>1161</v>
      </c>
      <c r="O657" t="s">
        <v>1164</v>
      </c>
      <c r="P657" s="2">
        <v>45683</v>
      </c>
      <c r="Q657" t="s">
        <v>1165</v>
      </c>
      <c r="R657" t="s">
        <v>1167</v>
      </c>
    </row>
    <row r="658" spans="1:18" x14ac:dyDescent="0.3">
      <c r="A658" s="2">
        <v>45731</v>
      </c>
      <c r="B658" t="s">
        <v>669</v>
      </c>
      <c r="C658" t="s">
        <v>1122</v>
      </c>
      <c r="D658" t="s">
        <v>1136</v>
      </c>
      <c r="E658" t="s">
        <v>1146</v>
      </c>
      <c r="F658" t="s">
        <v>1151</v>
      </c>
      <c r="G658" t="s">
        <v>1155</v>
      </c>
      <c r="H658">
        <v>4</v>
      </c>
      <c r="I658">
        <v>73068</v>
      </c>
      <c r="J658">
        <v>5</v>
      </c>
      <c r="K658">
        <v>69414.600000000006</v>
      </c>
      <c r="L658">
        <v>277658.40000000002</v>
      </c>
      <c r="M658">
        <v>1500</v>
      </c>
      <c r="N658" t="s">
        <v>1159</v>
      </c>
      <c r="O658" t="s">
        <v>1164</v>
      </c>
      <c r="P658" s="2">
        <v>45741</v>
      </c>
      <c r="R658" t="s">
        <v>1166</v>
      </c>
    </row>
    <row r="659" spans="1:18" x14ac:dyDescent="0.3">
      <c r="A659" s="2">
        <v>45726</v>
      </c>
      <c r="B659" t="s">
        <v>670</v>
      </c>
      <c r="C659" t="s">
        <v>1126</v>
      </c>
      <c r="D659" t="s">
        <v>1133</v>
      </c>
      <c r="E659" t="s">
        <v>1138</v>
      </c>
      <c r="F659" t="s">
        <v>1149</v>
      </c>
      <c r="G659" t="s">
        <v>1153</v>
      </c>
      <c r="H659">
        <v>4</v>
      </c>
      <c r="I659">
        <v>15906</v>
      </c>
      <c r="J659" t="s">
        <v>1158</v>
      </c>
      <c r="K659">
        <v>14315.4</v>
      </c>
      <c r="L659">
        <v>57261.599999999999</v>
      </c>
      <c r="M659">
        <v>1500</v>
      </c>
      <c r="N659" t="s">
        <v>1159</v>
      </c>
      <c r="O659" t="s">
        <v>1162</v>
      </c>
      <c r="Q659">
        <v>4</v>
      </c>
    </row>
    <row r="660" spans="1:18" x14ac:dyDescent="0.3">
      <c r="A660" s="2">
        <v>45665</v>
      </c>
      <c r="B660" t="s">
        <v>671</v>
      </c>
      <c r="C660" t="s">
        <v>1119</v>
      </c>
      <c r="D660" t="s">
        <v>1134</v>
      </c>
      <c r="E660" t="s">
        <v>1145</v>
      </c>
      <c r="F660" t="s">
        <v>1149</v>
      </c>
      <c r="G660" t="s">
        <v>1153</v>
      </c>
      <c r="H660">
        <v>3</v>
      </c>
      <c r="I660">
        <v>28869</v>
      </c>
      <c r="J660">
        <v>0</v>
      </c>
      <c r="K660">
        <v>28869</v>
      </c>
      <c r="L660">
        <v>86607</v>
      </c>
      <c r="M660">
        <v>2000</v>
      </c>
      <c r="N660" t="s">
        <v>1160</v>
      </c>
      <c r="O660" t="s">
        <v>1162</v>
      </c>
      <c r="Q660">
        <v>4</v>
      </c>
      <c r="R660" t="s">
        <v>1167</v>
      </c>
    </row>
    <row r="661" spans="1:18" x14ac:dyDescent="0.3">
      <c r="A661" s="2">
        <v>45733</v>
      </c>
      <c r="B661" t="s">
        <v>672</v>
      </c>
      <c r="C661" t="s">
        <v>1121</v>
      </c>
      <c r="D661" t="s">
        <v>1136</v>
      </c>
      <c r="E661" t="s">
        <v>1140</v>
      </c>
      <c r="F661" t="s">
        <v>1150</v>
      </c>
      <c r="G661" t="s">
        <v>1154</v>
      </c>
      <c r="H661">
        <v>3</v>
      </c>
      <c r="I661">
        <v>50589</v>
      </c>
      <c r="J661">
        <v>5</v>
      </c>
      <c r="K661">
        <v>48059.55</v>
      </c>
      <c r="L661">
        <v>144178.65</v>
      </c>
      <c r="M661">
        <v>1000</v>
      </c>
      <c r="N661" t="s">
        <v>1160</v>
      </c>
      <c r="O661" t="s">
        <v>1164</v>
      </c>
      <c r="P661" s="2">
        <v>45740</v>
      </c>
      <c r="Q661">
        <v>3</v>
      </c>
      <c r="R661" t="s">
        <v>1167</v>
      </c>
    </row>
    <row r="662" spans="1:18" x14ac:dyDescent="0.3">
      <c r="A662" s="2">
        <v>45765</v>
      </c>
      <c r="B662" t="s">
        <v>673</v>
      </c>
      <c r="C662" t="s">
        <v>1122</v>
      </c>
      <c r="D662" t="s">
        <v>1136</v>
      </c>
      <c r="E662" t="s">
        <v>1146</v>
      </c>
      <c r="F662" t="s">
        <v>1151</v>
      </c>
      <c r="G662" t="s">
        <v>1155</v>
      </c>
      <c r="H662">
        <v>4</v>
      </c>
      <c r="I662">
        <v>33304</v>
      </c>
      <c r="J662">
        <v>15</v>
      </c>
      <c r="K662">
        <v>28308.400000000001</v>
      </c>
      <c r="L662">
        <v>113233.60000000001</v>
      </c>
      <c r="M662">
        <v>2000</v>
      </c>
      <c r="N662" t="s">
        <v>1161</v>
      </c>
      <c r="O662" t="s">
        <v>1162</v>
      </c>
      <c r="Q662">
        <v>5</v>
      </c>
      <c r="R662" t="s">
        <v>1166</v>
      </c>
    </row>
    <row r="663" spans="1:18" x14ac:dyDescent="0.3">
      <c r="A663" s="2">
        <v>45709</v>
      </c>
      <c r="B663" t="s">
        <v>674</v>
      </c>
      <c r="C663" t="s">
        <v>1127</v>
      </c>
      <c r="D663" t="s">
        <v>1134</v>
      </c>
      <c r="E663" t="s">
        <v>1142</v>
      </c>
      <c r="F663" t="s">
        <v>1150</v>
      </c>
      <c r="G663" t="s">
        <v>1156</v>
      </c>
      <c r="H663">
        <v>1</v>
      </c>
      <c r="I663">
        <v>33380</v>
      </c>
      <c r="J663">
        <v>15</v>
      </c>
      <c r="K663">
        <v>28373</v>
      </c>
      <c r="L663">
        <v>28373</v>
      </c>
      <c r="M663">
        <v>1500</v>
      </c>
      <c r="N663" t="s">
        <v>1160</v>
      </c>
      <c r="O663" t="s">
        <v>1162</v>
      </c>
      <c r="Q663">
        <v>4</v>
      </c>
      <c r="R663" t="s">
        <v>1170</v>
      </c>
    </row>
    <row r="664" spans="1:18" x14ac:dyDescent="0.3">
      <c r="A664" s="2">
        <v>45744</v>
      </c>
      <c r="B664" t="s">
        <v>675</v>
      </c>
      <c r="C664" t="s">
        <v>1128</v>
      </c>
      <c r="D664" t="s">
        <v>1135</v>
      </c>
      <c r="E664" t="s">
        <v>1143</v>
      </c>
      <c r="F664" t="s">
        <v>1151</v>
      </c>
      <c r="G664" t="s">
        <v>1157</v>
      </c>
      <c r="H664">
        <v>1</v>
      </c>
      <c r="I664">
        <v>62116</v>
      </c>
      <c r="J664">
        <v>15</v>
      </c>
      <c r="K664">
        <v>52798.6</v>
      </c>
      <c r="L664">
        <v>52798.6</v>
      </c>
      <c r="M664">
        <v>2000</v>
      </c>
      <c r="N664" t="s">
        <v>1161</v>
      </c>
      <c r="O664" t="s">
        <v>1164</v>
      </c>
      <c r="P664" s="2">
        <v>45747</v>
      </c>
      <c r="Q664">
        <v>4</v>
      </c>
      <c r="R664" t="s">
        <v>1168</v>
      </c>
    </row>
    <row r="665" spans="1:18" x14ac:dyDescent="0.3">
      <c r="A665" s="2">
        <v>45732</v>
      </c>
      <c r="B665" t="s">
        <v>676</v>
      </c>
      <c r="C665" t="s">
        <v>1125</v>
      </c>
      <c r="D665" t="s">
        <v>1133</v>
      </c>
      <c r="E665" t="s">
        <v>1144</v>
      </c>
      <c r="F665" t="s">
        <v>1151</v>
      </c>
      <c r="G665" t="s">
        <v>1157</v>
      </c>
      <c r="H665">
        <v>2</v>
      </c>
      <c r="I665">
        <v>34333</v>
      </c>
      <c r="J665">
        <v>10</v>
      </c>
      <c r="K665">
        <v>30899.7</v>
      </c>
      <c r="L665">
        <v>61799.4</v>
      </c>
      <c r="M665">
        <v>1500</v>
      </c>
      <c r="N665" t="s">
        <v>1159</v>
      </c>
      <c r="O665" t="s">
        <v>1164</v>
      </c>
      <c r="P665" s="2">
        <v>45739</v>
      </c>
      <c r="Q665">
        <v>3</v>
      </c>
      <c r="R665" t="s">
        <v>1167</v>
      </c>
    </row>
    <row r="666" spans="1:18" x14ac:dyDescent="0.3">
      <c r="A666" s="2">
        <v>45746</v>
      </c>
      <c r="B666" t="s">
        <v>677</v>
      </c>
      <c r="C666" t="s">
        <v>1126</v>
      </c>
      <c r="D666" t="s">
        <v>1133</v>
      </c>
      <c r="E666" t="s">
        <v>1148</v>
      </c>
      <c r="F666" t="s">
        <v>1149</v>
      </c>
      <c r="G666" t="s">
        <v>1152</v>
      </c>
      <c r="H666">
        <v>2</v>
      </c>
      <c r="I666">
        <v>37008</v>
      </c>
      <c r="J666">
        <v>20</v>
      </c>
      <c r="K666">
        <v>29606.400000000001</v>
      </c>
      <c r="L666">
        <v>59212.800000000003</v>
      </c>
      <c r="M666">
        <v>2000</v>
      </c>
      <c r="N666" t="s">
        <v>1160</v>
      </c>
      <c r="O666" t="s">
        <v>1162</v>
      </c>
      <c r="Q666">
        <v>4</v>
      </c>
      <c r="R666" t="s">
        <v>1166</v>
      </c>
    </row>
    <row r="667" spans="1:18" x14ac:dyDescent="0.3">
      <c r="A667" s="2">
        <v>45715</v>
      </c>
      <c r="B667" t="s">
        <v>678</v>
      </c>
      <c r="C667" t="s">
        <v>1124</v>
      </c>
      <c r="D667" t="s">
        <v>1135</v>
      </c>
      <c r="E667" t="s">
        <v>1144</v>
      </c>
      <c r="F667" t="s">
        <v>1151</v>
      </c>
      <c r="G667" t="s">
        <v>1157</v>
      </c>
      <c r="H667">
        <v>1</v>
      </c>
      <c r="I667">
        <v>42966</v>
      </c>
      <c r="J667">
        <v>10</v>
      </c>
      <c r="K667">
        <v>38669.4</v>
      </c>
      <c r="L667">
        <v>38669.4</v>
      </c>
      <c r="M667">
        <v>1500</v>
      </c>
      <c r="N667" t="s">
        <v>1160</v>
      </c>
      <c r="O667" t="s">
        <v>1163</v>
      </c>
      <c r="Q667">
        <v>5</v>
      </c>
      <c r="R667" t="s">
        <v>1167</v>
      </c>
    </row>
    <row r="668" spans="1:18" x14ac:dyDescent="0.3">
      <c r="A668" s="2">
        <v>45759</v>
      </c>
      <c r="B668" t="s">
        <v>679</v>
      </c>
      <c r="C668" t="s">
        <v>1124</v>
      </c>
      <c r="D668" t="s">
        <v>1135</v>
      </c>
      <c r="E668" t="s">
        <v>1142</v>
      </c>
      <c r="F668" t="s">
        <v>1150</v>
      </c>
      <c r="G668" t="s">
        <v>1156</v>
      </c>
      <c r="H668">
        <v>3</v>
      </c>
      <c r="I668">
        <v>31775</v>
      </c>
      <c r="J668">
        <v>5</v>
      </c>
      <c r="K668">
        <v>30186.25</v>
      </c>
      <c r="L668">
        <v>90558.75</v>
      </c>
      <c r="M668">
        <v>1500</v>
      </c>
      <c r="N668" t="s">
        <v>1159</v>
      </c>
      <c r="O668" t="s">
        <v>1163</v>
      </c>
      <c r="R668" t="s">
        <v>1168</v>
      </c>
    </row>
    <row r="669" spans="1:18" x14ac:dyDescent="0.3">
      <c r="A669" s="2">
        <v>45755</v>
      </c>
      <c r="B669" t="s">
        <v>680</v>
      </c>
      <c r="C669" t="s">
        <v>1125</v>
      </c>
      <c r="D669" t="s">
        <v>1133</v>
      </c>
      <c r="E669" t="s">
        <v>1139</v>
      </c>
      <c r="F669" t="s">
        <v>1150</v>
      </c>
      <c r="G669" t="s">
        <v>1154</v>
      </c>
      <c r="H669">
        <v>1</v>
      </c>
      <c r="I669">
        <v>11057</v>
      </c>
      <c r="J669">
        <v>0</v>
      </c>
      <c r="K669">
        <v>11057</v>
      </c>
      <c r="L669">
        <v>11057</v>
      </c>
      <c r="M669">
        <v>2000</v>
      </c>
      <c r="N669" t="s">
        <v>1160</v>
      </c>
      <c r="O669" t="s">
        <v>1164</v>
      </c>
      <c r="P669" s="2">
        <v>45765</v>
      </c>
      <c r="Q669">
        <v>1</v>
      </c>
      <c r="R669" t="s">
        <v>1170</v>
      </c>
    </row>
    <row r="670" spans="1:18" x14ac:dyDescent="0.3">
      <c r="A670" s="2">
        <v>45674</v>
      </c>
      <c r="B670" t="s">
        <v>681</v>
      </c>
      <c r="C670" t="s">
        <v>1119</v>
      </c>
      <c r="D670" t="s">
        <v>1134</v>
      </c>
      <c r="E670" t="s">
        <v>1146</v>
      </c>
      <c r="F670" t="s">
        <v>1151</v>
      </c>
      <c r="G670" t="s">
        <v>1155</v>
      </c>
      <c r="H670">
        <v>5</v>
      </c>
      <c r="I670">
        <v>48742</v>
      </c>
      <c r="J670">
        <v>0</v>
      </c>
      <c r="K670">
        <v>48742</v>
      </c>
      <c r="L670">
        <v>243710</v>
      </c>
      <c r="M670">
        <v>1500</v>
      </c>
      <c r="N670" t="s">
        <v>1161</v>
      </c>
      <c r="O670" t="s">
        <v>1164</v>
      </c>
      <c r="P670" s="2">
        <v>45681</v>
      </c>
      <c r="Q670">
        <v>3</v>
      </c>
      <c r="R670" t="s">
        <v>1168</v>
      </c>
    </row>
    <row r="671" spans="1:18" x14ac:dyDescent="0.3">
      <c r="A671" s="2">
        <v>45837</v>
      </c>
      <c r="B671" t="s">
        <v>682</v>
      </c>
      <c r="C671" t="s">
        <v>1118</v>
      </c>
      <c r="D671" t="s">
        <v>1134</v>
      </c>
      <c r="E671" t="s">
        <v>1148</v>
      </c>
      <c r="F671" t="s">
        <v>1149</v>
      </c>
      <c r="G671" t="s">
        <v>1152</v>
      </c>
      <c r="H671">
        <v>4</v>
      </c>
      <c r="I671">
        <v>16732</v>
      </c>
      <c r="J671">
        <v>5</v>
      </c>
      <c r="K671">
        <v>15895.4</v>
      </c>
      <c r="L671">
        <v>63581.599999999999</v>
      </c>
      <c r="M671">
        <v>1000</v>
      </c>
      <c r="N671" t="s">
        <v>1160</v>
      </c>
      <c r="O671" t="s">
        <v>1164</v>
      </c>
      <c r="P671" s="2">
        <v>45842</v>
      </c>
      <c r="Q671">
        <v>1</v>
      </c>
      <c r="R671" t="s">
        <v>1170</v>
      </c>
    </row>
    <row r="672" spans="1:18" x14ac:dyDescent="0.3">
      <c r="A672" s="2">
        <v>45784</v>
      </c>
      <c r="B672" t="s">
        <v>683</v>
      </c>
      <c r="C672" t="s">
        <v>1126</v>
      </c>
      <c r="D672" t="s">
        <v>1133</v>
      </c>
      <c r="E672" t="s">
        <v>1141</v>
      </c>
      <c r="F672" t="s">
        <v>1151</v>
      </c>
      <c r="G672" t="s">
        <v>1155</v>
      </c>
      <c r="H672">
        <v>1</v>
      </c>
      <c r="I672">
        <v>77338</v>
      </c>
      <c r="J672">
        <v>5</v>
      </c>
      <c r="K672">
        <v>73471.100000000006</v>
      </c>
      <c r="L672">
        <v>73471.100000000006</v>
      </c>
      <c r="M672">
        <v>1500</v>
      </c>
      <c r="N672" t="s">
        <v>1160</v>
      </c>
      <c r="O672" t="s">
        <v>1162</v>
      </c>
      <c r="Q672">
        <v>5</v>
      </c>
      <c r="R672" t="s">
        <v>1170</v>
      </c>
    </row>
    <row r="673" spans="1:18" x14ac:dyDescent="0.3">
      <c r="A673" s="2">
        <v>45778</v>
      </c>
      <c r="B673" t="s">
        <v>684</v>
      </c>
      <c r="C673" t="s">
        <v>1125</v>
      </c>
      <c r="D673" t="s">
        <v>1133</v>
      </c>
      <c r="E673" t="s">
        <v>1145</v>
      </c>
      <c r="F673" t="s">
        <v>1149</v>
      </c>
      <c r="G673" t="s">
        <v>1153</v>
      </c>
      <c r="H673">
        <v>2</v>
      </c>
      <c r="I673">
        <v>48821</v>
      </c>
      <c r="J673">
        <v>20</v>
      </c>
      <c r="K673">
        <v>39056.800000000003</v>
      </c>
      <c r="L673">
        <v>78113.600000000006</v>
      </c>
      <c r="M673">
        <v>2000</v>
      </c>
      <c r="N673" t="s">
        <v>1159</v>
      </c>
      <c r="O673" t="s">
        <v>1163</v>
      </c>
      <c r="R673" t="s">
        <v>1167</v>
      </c>
    </row>
    <row r="674" spans="1:18" x14ac:dyDescent="0.3">
      <c r="A674" s="2">
        <v>45712</v>
      </c>
      <c r="B674" t="s">
        <v>685</v>
      </c>
      <c r="C674" t="s">
        <v>1117</v>
      </c>
      <c r="D674" t="s">
        <v>1133</v>
      </c>
      <c r="E674" t="s">
        <v>1137</v>
      </c>
      <c r="F674" t="s">
        <v>1149</v>
      </c>
      <c r="G674" t="s">
        <v>1152</v>
      </c>
      <c r="H674">
        <v>3</v>
      </c>
      <c r="I674">
        <v>18071</v>
      </c>
      <c r="J674">
        <v>0</v>
      </c>
      <c r="K674">
        <v>18071</v>
      </c>
      <c r="L674">
        <v>54213</v>
      </c>
      <c r="M674">
        <v>1500</v>
      </c>
      <c r="N674" t="s">
        <v>1161</v>
      </c>
      <c r="O674" t="s">
        <v>1162</v>
      </c>
      <c r="Q674">
        <v>4</v>
      </c>
      <c r="R674" t="s">
        <v>1170</v>
      </c>
    </row>
    <row r="675" spans="1:18" x14ac:dyDescent="0.3">
      <c r="A675" s="2">
        <v>45701</v>
      </c>
      <c r="B675" t="s">
        <v>686</v>
      </c>
      <c r="C675" t="s">
        <v>1118</v>
      </c>
      <c r="D675" t="s">
        <v>1134</v>
      </c>
      <c r="E675" t="s">
        <v>1148</v>
      </c>
      <c r="F675" t="s">
        <v>1149</v>
      </c>
      <c r="G675" t="s">
        <v>1152</v>
      </c>
      <c r="H675">
        <v>4</v>
      </c>
      <c r="I675">
        <v>44498</v>
      </c>
      <c r="J675">
        <v>20</v>
      </c>
      <c r="K675">
        <v>35598.400000000001</v>
      </c>
      <c r="L675">
        <v>142393.60000000001</v>
      </c>
      <c r="M675">
        <v>1500</v>
      </c>
      <c r="N675" t="s">
        <v>1161</v>
      </c>
      <c r="O675" t="s">
        <v>1163</v>
      </c>
      <c r="Q675">
        <v>3</v>
      </c>
      <c r="R675" t="s">
        <v>1167</v>
      </c>
    </row>
    <row r="676" spans="1:18" x14ac:dyDescent="0.3">
      <c r="A676" s="2">
        <v>45809</v>
      </c>
      <c r="B676" t="s">
        <v>260</v>
      </c>
      <c r="C676" t="s">
        <v>1121</v>
      </c>
      <c r="D676" t="s">
        <v>1136</v>
      </c>
      <c r="E676" t="s">
        <v>1148</v>
      </c>
      <c r="F676" t="s">
        <v>1149</v>
      </c>
      <c r="G676" t="s">
        <v>1152</v>
      </c>
      <c r="H676">
        <v>5</v>
      </c>
      <c r="I676">
        <v>37050</v>
      </c>
      <c r="J676">
        <v>20</v>
      </c>
      <c r="K676">
        <v>29640</v>
      </c>
      <c r="L676">
        <v>148200</v>
      </c>
      <c r="M676">
        <v>1500</v>
      </c>
      <c r="N676" t="s">
        <v>1161</v>
      </c>
      <c r="O676" t="s">
        <v>1162</v>
      </c>
      <c r="Q676">
        <v>3</v>
      </c>
      <c r="R676" t="s">
        <v>1169</v>
      </c>
    </row>
    <row r="677" spans="1:18" x14ac:dyDescent="0.3">
      <c r="A677" s="2">
        <v>45793</v>
      </c>
      <c r="B677" t="s">
        <v>687</v>
      </c>
      <c r="C677" t="s">
        <v>1120</v>
      </c>
      <c r="D677" t="s">
        <v>1135</v>
      </c>
      <c r="E677" t="s">
        <v>1139</v>
      </c>
      <c r="F677" t="s">
        <v>1150</v>
      </c>
      <c r="G677" t="s">
        <v>1154</v>
      </c>
      <c r="H677">
        <v>1</v>
      </c>
      <c r="I677">
        <v>20973</v>
      </c>
      <c r="J677">
        <v>10</v>
      </c>
      <c r="K677">
        <v>18875.7</v>
      </c>
      <c r="L677">
        <v>18875.7</v>
      </c>
      <c r="M677">
        <v>2000</v>
      </c>
      <c r="N677" t="s">
        <v>1159</v>
      </c>
      <c r="O677" t="s">
        <v>1163</v>
      </c>
      <c r="Q677">
        <v>2</v>
      </c>
      <c r="R677" t="s">
        <v>1168</v>
      </c>
    </row>
    <row r="678" spans="1:18" x14ac:dyDescent="0.3">
      <c r="A678" s="2">
        <v>45656</v>
      </c>
      <c r="B678" t="s">
        <v>688</v>
      </c>
      <c r="C678" t="s">
        <v>1125</v>
      </c>
      <c r="D678" t="s">
        <v>1133</v>
      </c>
      <c r="E678" t="s">
        <v>1147</v>
      </c>
      <c r="F678" t="s">
        <v>1150</v>
      </c>
      <c r="G678" t="s">
        <v>1156</v>
      </c>
      <c r="H678">
        <v>1</v>
      </c>
      <c r="I678">
        <v>55237</v>
      </c>
      <c r="J678">
        <v>15</v>
      </c>
      <c r="K678">
        <v>46951.45</v>
      </c>
      <c r="L678">
        <v>46951.45</v>
      </c>
      <c r="M678">
        <v>1000</v>
      </c>
      <c r="N678" t="s">
        <v>1161</v>
      </c>
      <c r="O678" t="s">
        <v>1163</v>
      </c>
      <c r="Q678">
        <v>2</v>
      </c>
      <c r="R678" t="s">
        <v>1167</v>
      </c>
    </row>
    <row r="679" spans="1:18" x14ac:dyDescent="0.3">
      <c r="A679" s="2">
        <v>45706</v>
      </c>
      <c r="B679" t="s">
        <v>689</v>
      </c>
      <c r="C679" t="s">
        <v>1121</v>
      </c>
      <c r="D679" t="s">
        <v>1136</v>
      </c>
      <c r="E679" t="s">
        <v>1138</v>
      </c>
      <c r="F679" t="s">
        <v>1149</v>
      </c>
      <c r="G679" t="s">
        <v>1153</v>
      </c>
      <c r="H679">
        <v>4</v>
      </c>
      <c r="I679">
        <v>78097</v>
      </c>
      <c r="J679">
        <v>20</v>
      </c>
      <c r="K679">
        <v>62477.599999999999</v>
      </c>
      <c r="L679">
        <v>249910.39999999999</v>
      </c>
      <c r="M679">
        <v>1500</v>
      </c>
      <c r="N679" t="s">
        <v>1159</v>
      </c>
      <c r="O679" t="s">
        <v>1164</v>
      </c>
      <c r="P679" s="2">
        <v>45713</v>
      </c>
      <c r="R679" t="s">
        <v>1166</v>
      </c>
    </row>
    <row r="680" spans="1:18" x14ac:dyDescent="0.3">
      <c r="A680" s="2">
        <v>45691</v>
      </c>
      <c r="B680" t="s">
        <v>690</v>
      </c>
      <c r="C680" t="s">
        <v>1122</v>
      </c>
      <c r="D680" t="s">
        <v>1136</v>
      </c>
      <c r="E680" t="s">
        <v>1147</v>
      </c>
      <c r="F680" t="s">
        <v>1150</v>
      </c>
      <c r="G680" t="s">
        <v>1156</v>
      </c>
      <c r="H680">
        <v>2</v>
      </c>
      <c r="I680">
        <v>24037</v>
      </c>
      <c r="J680">
        <v>20</v>
      </c>
      <c r="K680">
        <v>19229.599999999999</v>
      </c>
      <c r="L680">
        <v>38459.199999999997</v>
      </c>
      <c r="M680">
        <v>1500</v>
      </c>
      <c r="N680" t="s">
        <v>1160</v>
      </c>
      <c r="O680" t="s">
        <v>1164</v>
      </c>
      <c r="P680" s="2">
        <v>45696</v>
      </c>
      <c r="Q680">
        <v>2</v>
      </c>
      <c r="R680" t="s">
        <v>1170</v>
      </c>
    </row>
    <row r="681" spans="1:18" x14ac:dyDescent="0.3">
      <c r="A681" s="2">
        <v>45718</v>
      </c>
      <c r="B681" t="s">
        <v>691</v>
      </c>
      <c r="C681" t="s">
        <v>1124</v>
      </c>
      <c r="D681" t="s">
        <v>1135</v>
      </c>
      <c r="E681" t="s">
        <v>1140</v>
      </c>
      <c r="F681" t="s">
        <v>1150</v>
      </c>
      <c r="G681" t="s">
        <v>1154</v>
      </c>
      <c r="H681">
        <v>1</v>
      </c>
      <c r="I681">
        <v>69854</v>
      </c>
      <c r="J681">
        <v>0</v>
      </c>
      <c r="K681">
        <v>69854</v>
      </c>
      <c r="L681">
        <v>69854</v>
      </c>
      <c r="M681">
        <v>2000</v>
      </c>
      <c r="N681" t="s">
        <v>1161</v>
      </c>
      <c r="O681" t="s">
        <v>1162</v>
      </c>
      <c r="Q681">
        <v>2</v>
      </c>
      <c r="R681" t="s">
        <v>1168</v>
      </c>
    </row>
    <row r="682" spans="1:18" x14ac:dyDescent="0.3">
      <c r="A682" s="2">
        <v>45810</v>
      </c>
      <c r="B682" t="s">
        <v>692</v>
      </c>
      <c r="C682" t="s">
        <v>1118</v>
      </c>
      <c r="D682" t="s">
        <v>1134</v>
      </c>
      <c r="E682" t="s">
        <v>1138</v>
      </c>
      <c r="F682" t="s">
        <v>1149</v>
      </c>
      <c r="G682" t="s">
        <v>1153</v>
      </c>
      <c r="H682">
        <v>5</v>
      </c>
      <c r="I682">
        <v>53730</v>
      </c>
      <c r="J682">
        <v>5</v>
      </c>
      <c r="K682">
        <v>51043.5</v>
      </c>
      <c r="L682">
        <v>255217.5</v>
      </c>
      <c r="M682">
        <v>2000</v>
      </c>
      <c r="N682" t="s">
        <v>1159</v>
      </c>
      <c r="O682" t="s">
        <v>1163</v>
      </c>
      <c r="Q682">
        <v>4</v>
      </c>
      <c r="R682" t="s">
        <v>1170</v>
      </c>
    </row>
    <row r="683" spans="1:18" x14ac:dyDescent="0.3">
      <c r="A683" s="2">
        <v>45771</v>
      </c>
      <c r="B683" t="s">
        <v>693</v>
      </c>
      <c r="C683" t="s">
        <v>1120</v>
      </c>
      <c r="D683" t="s">
        <v>1135</v>
      </c>
      <c r="E683" t="s">
        <v>1142</v>
      </c>
      <c r="F683" t="s">
        <v>1150</v>
      </c>
      <c r="G683" t="s">
        <v>1156</v>
      </c>
      <c r="H683">
        <v>1</v>
      </c>
      <c r="I683">
        <v>52012</v>
      </c>
      <c r="J683">
        <v>5</v>
      </c>
      <c r="K683">
        <v>49411.4</v>
      </c>
      <c r="L683">
        <v>49411.4</v>
      </c>
      <c r="M683">
        <v>2000</v>
      </c>
      <c r="N683" t="s">
        <v>1161</v>
      </c>
      <c r="O683" t="s">
        <v>1163</v>
      </c>
      <c r="R683" t="s">
        <v>1169</v>
      </c>
    </row>
    <row r="684" spans="1:18" x14ac:dyDescent="0.3">
      <c r="A684" s="2">
        <v>45811</v>
      </c>
      <c r="B684" t="s">
        <v>694</v>
      </c>
      <c r="C684" t="s">
        <v>1124</v>
      </c>
      <c r="D684" t="s">
        <v>1135</v>
      </c>
      <c r="E684" t="s">
        <v>1138</v>
      </c>
      <c r="F684" t="s">
        <v>1149</v>
      </c>
      <c r="G684" t="s">
        <v>1153</v>
      </c>
      <c r="H684">
        <v>3</v>
      </c>
      <c r="I684">
        <v>8722</v>
      </c>
      <c r="J684">
        <v>20</v>
      </c>
      <c r="K684">
        <v>6977.6</v>
      </c>
      <c r="L684">
        <v>20932.8</v>
      </c>
      <c r="M684">
        <v>1500</v>
      </c>
      <c r="N684" t="s">
        <v>1159</v>
      </c>
      <c r="O684" t="s">
        <v>1164</v>
      </c>
      <c r="P684" s="2">
        <v>45816</v>
      </c>
      <c r="Q684">
        <v>1</v>
      </c>
      <c r="R684" t="s">
        <v>1168</v>
      </c>
    </row>
    <row r="685" spans="1:18" x14ac:dyDescent="0.3">
      <c r="A685" s="2">
        <v>45742</v>
      </c>
      <c r="B685" t="s">
        <v>695</v>
      </c>
      <c r="C685" t="s">
        <v>1125</v>
      </c>
      <c r="D685" t="s">
        <v>1133</v>
      </c>
      <c r="E685" t="s">
        <v>1143</v>
      </c>
      <c r="F685" t="s">
        <v>1151</v>
      </c>
      <c r="G685" t="s">
        <v>1157</v>
      </c>
      <c r="H685">
        <v>1</v>
      </c>
      <c r="I685">
        <v>75563</v>
      </c>
      <c r="J685">
        <v>20</v>
      </c>
      <c r="K685">
        <v>60450.400000000001</v>
      </c>
      <c r="L685">
        <v>60450.400000000001</v>
      </c>
      <c r="M685">
        <v>1000</v>
      </c>
      <c r="N685" t="s">
        <v>1161</v>
      </c>
      <c r="O685" t="s">
        <v>1164</v>
      </c>
      <c r="P685" s="2">
        <v>45748</v>
      </c>
    </row>
    <row r="686" spans="1:18" x14ac:dyDescent="0.3">
      <c r="A686" s="2">
        <v>45728</v>
      </c>
      <c r="B686" t="s">
        <v>696</v>
      </c>
      <c r="C686" t="s">
        <v>1124</v>
      </c>
      <c r="D686" t="s">
        <v>1135</v>
      </c>
      <c r="E686" t="s">
        <v>1140</v>
      </c>
      <c r="F686" t="s">
        <v>1150</v>
      </c>
      <c r="G686" t="s">
        <v>1154</v>
      </c>
      <c r="H686">
        <v>5</v>
      </c>
      <c r="I686">
        <v>11959</v>
      </c>
      <c r="J686">
        <v>15</v>
      </c>
      <c r="K686">
        <v>10165.15</v>
      </c>
      <c r="L686">
        <v>50825.75</v>
      </c>
      <c r="M686">
        <v>1500</v>
      </c>
      <c r="N686" t="s">
        <v>1161</v>
      </c>
      <c r="O686" t="s">
        <v>1164</v>
      </c>
      <c r="P686" s="2">
        <v>45739</v>
      </c>
      <c r="Q686">
        <v>4</v>
      </c>
      <c r="R686" t="s">
        <v>1168</v>
      </c>
    </row>
    <row r="687" spans="1:18" x14ac:dyDescent="0.3">
      <c r="A687" s="2">
        <v>45792</v>
      </c>
      <c r="B687" t="s">
        <v>697</v>
      </c>
      <c r="C687" t="s">
        <v>1124</v>
      </c>
      <c r="D687" t="s">
        <v>1135</v>
      </c>
      <c r="E687" t="s">
        <v>1137</v>
      </c>
      <c r="F687" t="s">
        <v>1149</v>
      </c>
      <c r="G687" t="s">
        <v>1152</v>
      </c>
      <c r="H687">
        <v>5</v>
      </c>
      <c r="I687">
        <v>8384</v>
      </c>
      <c r="J687">
        <v>15</v>
      </c>
      <c r="K687">
        <v>7126.4</v>
      </c>
      <c r="L687">
        <v>35632</v>
      </c>
      <c r="M687">
        <v>1000</v>
      </c>
      <c r="N687" t="s">
        <v>1159</v>
      </c>
      <c r="O687" t="s">
        <v>1162</v>
      </c>
      <c r="Q687">
        <v>2</v>
      </c>
      <c r="R687" t="s">
        <v>1170</v>
      </c>
    </row>
    <row r="688" spans="1:18" x14ac:dyDescent="0.3">
      <c r="A688" s="2">
        <v>45832</v>
      </c>
      <c r="B688" t="s">
        <v>698</v>
      </c>
      <c r="C688" t="s">
        <v>1120</v>
      </c>
      <c r="D688" t="s">
        <v>1135</v>
      </c>
      <c r="E688" t="s">
        <v>1141</v>
      </c>
      <c r="F688" t="s">
        <v>1151</v>
      </c>
      <c r="G688" t="s">
        <v>1155</v>
      </c>
      <c r="H688">
        <v>1</v>
      </c>
      <c r="I688">
        <v>55606</v>
      </c>
      <c r="J688">
        <v>10</v>
      </c>
      <c r="K688">
        <v>50045.4</v>
      </c>
      <c r="L688">
        <v>50045.4</v>
      </c>
      <c r="M688">
        <v>2000</v>
      </c>
      <c r="N688" t="s">
        <v>1161</v>
      </c>
      <c r="O688" t="s">
        <v>1164</v>
      </c>
      <c r="P688" s="2">
        <v>45838</v>
      </c>
      <c r="Q688">
        <v>5</v>
      </c>
      <c r="R688" t="s">
        <v>1166</v>
      </c>
    </row>
    <row r="689" spans="1:18" x14ac:dyDescent="0.3">
      <c r="A689" s="2">
        <v>45777</v>
      </c>
      <c r="B689" t="s">
        <v>699</v>
      </c>
      <c r="C689" t="s">
        <v>1124</v>
      </c>
      <c r="D689" t="s">
        <v>1135</v>
      </c>
      <c r="E689" t="s">
        <v>1144</v>
      </c>
      <c r="F689" t="s">
        <v>1151</v>
      </c>
      <c r="G689" t="s">
        <v>1157</v>
      </c>
      <c r="H689">
        <v>1</v>
      </c>
      <c r="I689">
        <v>75870</v>
      </c>
      <c r="J689">
        <v>15</v>
      </c>
      <c r="K689">
        <v>64489.5</v>
      </c>
      <c r="L689">
        <v>64489.5</v>
      </c>
      <c r="M689">
        <v>1500</v>
      </c>
      <c r="N689" t="s">
        <v>1159</v>
      </c>
      <c r="O689" t="s">
        <v>1163</v>
      </c>
      <c r="Q689">
        <v>4</v>
      </c>
      <c r="R689" t="s">
        <v>1170</v>
      </c>
    </row>
    <row r="690" spans="1:18" x14ac:dyDescent="0.3">
      <c r="A690" s="2">
        <v>45773</v>
      </c>
      <c r="B690" t="s">
        <v>700</v>
      </c>
      <c r="C690" t="s">
        <v>1124</v>
      </c>
      <c r="D690" t="s">
        <v>1135</v>
      </c>
      <c r="E690" t="s">
        <v>1147</v>
      </c>
      <c r="F690" t="s">
        <v>1150</v>
      </c>
      <c r="G690" t="s">
        <v>1156</v>
      </c>
      <c r="H690">
        <v>5</v>
      </c>
      <c r="I690">
        <v>12947</v>
      </c>
      <c r="J690">
        <v>15</v>
      </c>
      <c r="K690">
        <v>11004.95</v>
      </c>
      <c r="L690">
        <v>55024.75</v>
      </c>
      <c r="M690">
        <v>1500</v>
      </c>
      <c r="N690" t="s">
        <v>1159</v>
      </c>
      <c r="O690" t="s">
        <v>1162</v>
      </c>
      <c r="Q690">
        <v>4</v>
      </c>
      <c r="R690" t="s">
        <v>1169</v>
      </c>
    </row>
    <row r="691" spans="1:18" x14ac:dyDescent="0.3">
      <c r="A691" s="2">
        <v>45768</v>
      </c>
      <c r="B691" t="s">
        <v>701</v>
      </c>
      <c r="C691" t="s">
        <v>1130</v>
      </c>
      <c r="D691" t="s">
        <v>1136</v>
      </c>
      <c r="E691" t="s">
        <v>1140</v>
      </c>
      <c r="F691" t="s">
        <v>1150</v>
      </c>
      <c r="G691" t="s">
        <v>1154</v>
      </c>
      <c r="H691">
        <v>4</v>
      </c>
      <c r="I691">
        <v>66667</v>
      </c>
      <c r="J691">
        <v>20</v>
      </c>
      <c r="K691">
        <v>53333.599999999999</v>
      </c>
      <c r="L691">
        <v>213334.39999999999</v>
      </c>
      <c r="M691">
        <v>1500</v>
      </c>
      <c r="N691" t="s">
        <v>1161</v>
      </c>
      <c r="O691" t="s">
        <v>1162</v>
      </c>
      <c r="Q691">
        <v>3</v>
      </c>
      <c r="R691" t="s">
        <v>1166</v>
      </c>
    </row>
    <row r="692" spans="1:18" x14ac:dyDescent="0.3">
      <c r="A692" s="2">
        <v>45693</v>
      </c>
      <c r="B692" t="s">
        <v>702</v>
      </c>
      <c r="C692" t="s">
        <v>1132</v>
      </c>
      <c r="D692" t="s">
        <v>1134</v>
      </c>
      <c r="E692" t="s">
        <v>1139</v>
      </c>
      <c r="F692" t="s">
        <v>1150</v>
      </c>
      <c r="G692" t="s">
        <v>1154</v>
      </c>
      <c r="H692">
        <v>2</v>
      </c>
      <c r="I692">
        <v>33037</v>
      </c>
      <c r="J692">
        <v>0</v>
      </c>
      <c r="K692">
        <v>33037</v>
      </c>
      <c r="L692">
        <v>66074</v>
      </c>
      <c r="M692">
        <v>1500</v>
      </c>
      <c r="N692" t="s">
        <v>1161</v>
      </c>
      <c r="O692" t="s">
        <v>1164</v>
      </c>
      <c r="P692" s="2">
        <v>45696</v>
      </c>
      <c r="R692" t="s">
        <v>1168</v>
      </c>
    </row>
    <row r="693" spans="1:18" x14ac:dyDescent="0.3">
      <c r="A693" s="2">
        <v>45832</v>
      </c>
      <c r="B693" t="s">
        <v>703</v>
      </c>
      <c r="C693" t="s">
        <v>1129</v>
      </c>
      <c r="D693" t="s">
        <v>1133</v>
      </c>
      <c r="E693" t="s">
        <v>1143</v>
      </c>
      <c r="F693" t="s">
        <v>1151</v>
      </c>
      <c r="G693" t="s">
        <v>1157</v>
      </c>
      <c r="H693">
        <v>5</v>
      </c>
      <c r="I693">
        <v>57713</v>
      </c>
      <c r="J693">
        <v>10</v>
      </c>
      <c r="K693">
        <v>51941.7</v>
      </c>
      <c r="L693">
        <v>259708.5</v>
      </c>
      <c r="M693">
        <v>1000</v>
      </c>
      <c r="N693" t="s">
        <v>1160</v>
      </c>
      <c r="O693" t="s">
        <v>1162</v>
      </c>
      <c r="Q693">
        <v>2</v>
      </c>
      <c r="R693" t="s">
        <v>1169</v>
      </c>
    </row>
    <row r="694" spans="1:18" x14ac:dyDescent="0.3">
      <c r="A694" s="2">
        <v>45778</v>
      </c>
      <c r="B694" t="s">
        <v>704</v>
      </c>
      <c r="C694" t="s">
        <v>1125</v>
      </c>
      <c r="D694" t="s">
        <v>1133</v>
      </c>
      <c r="E694" t="s">
        <v>1139</v>
      </c>
      <c r="F694" t="s">
        <v>1150</v>
      </c>
      <c r="G694" t="s">
        <v>1154</v>
      </c>
      <c r="H694">
        <v>3</v>
      </c>
      <c r="I694">
        <v>24175</v>
      </c>
      <c r="J694">
        <v>5</v>
      </c>
      <c r="K694">
        <v>22966.25</v>
      </c>
      <c r="L694">
        <v>68898.75</v>
      </c>
      <c r="M694">
        <v>1500</v>
      </c>
      <c r="N694" t="s">
        <v>1159</v>
      </c>
      <c r="O694" t="s">
        <v>1162</v>
      </c>
      <c r="Q694">
        <v>2</v>
      </c>
      <c r="R694" t="s">
        <v>1166</v>
      </c>
    </row>
    <row r="695" spans="1:18" x14ac:dyDescent="0.3">
      <c r="A695" s="2">
        <v>45733</v>
      </c>
      <c r="B695" t="s">
        <v>705</v>
      </c>
      <c r="C695" t="s">
        <v>1128</v>
      </c>
      <c r="D695" t="s">
        <v>1135</v>
      </c>
      <c r="E695" t="s">
        <v>1148</v>
      </c>
      <c r="F695" t="s">
        <v>1149</v>
      </c>
      <c r="G695" t="s">
        <v>1152</v>
      </c>
      <c r="H695">
        <v>2</v>
      </c>
      <c r="I695">
        <v>58053</v>
      </c>
      <c r="J695">
        <v>20</v>
      </c>
      <c r="K695">
        <v>46442.400000000001</v>
      </c>
      <c r="L695">
        <v>92884.800000000003</v>
      </c>
      <c r="M695">
        <v>1000</v>
      </c>
      <c r="N695" t="s">
        <v>1161</v>
      </c>
      <c r="O695" t="s">
        <v>1164</v>
      </c>
      <c r="P695" s="2">
        <v>45742</v>
      </c>
      <c r="Q695">
        <v>5</v>
      </c>
    </row>
    <row r="696" spans="1:18" x14ac:dyDescent="0.3">
      <c r="A696" s="2">
        <v>45777</v>
      </c>
      <c r="B696" t="s">
        <v>706</v>
      </c>
      <c r="C696" t="s">
        <v>1132</v>
      </c>
      <c r="D696" t="s">
        <v>1134</v>
      </c>
      <c r="E696" t="s">
        <v>1144</v>
      </c>
      <c r="F696" t="s">
        <v>1151</v>
      </c>
      <c r="G696" t="s">
        <v>1157</v>
      </c>
      <c r="H696">
        <v>3</v>
      </c>
      <c r="I696">
        <v>34618</v>
      </c>
      <c r="J696">
        <v>0</v>
      </c>
      <c r="K696">
        <v>34618</v>
      </c>
      <c r="L696">
        <v>103854</v>
      </c>
      <c r="M696">
        <v>2000</v>
      </c>
      <c r="N696" t="s">
        <v>1160</v>
      </c>
      <c r="O696" t="s">
        <v>1164</v>
      </c>
      <c r="P696" s="2">
        <v>45781</v>
      </c>
      <c r="R696" t="s">
        <v>1167</v>
      </c>
    </row>
    <row r="697" spans="1:18" x14ac:dyDescent="0.3">
      <c r="A697" s="2">
        <v>45811</v>
      </c>
      <c r="B697" t="s">
        <v>707</v>
      </c>
      <c r="C697" t="s">
        <v>1129</v>
      </c>
      <c r="D697" t="s">
        <v>1133</v>
      </c>
      <c r="E697" t="s">
        <v>1148</v>
      </c>
      <c r="F697" t="s">
        <v>1149</v>
      </c>
      <c r="G697" t="s">
        <v>1152</v>
      </c>
      <c r="H697">
        <v>4</v>
      </c>
      <c r="I697">
        <v>77442</v>
      </c>
      <c r="J697">
        <v>0</v>
      </c>
      <c r="K697">
        <v>77442</v>
      </c>
      <c r="L697">
        <v>309768</v>
      </c>
      <c r="M697">
        <v>1500</v>
      </c>
      <c r="N697" t="s">
        <v>1159</v>
      </c>
      <c r="O697" t="s">
        <v>1164</v>
      </c>
      <c r="P697" s="2">
        <v>45822</v>
      </c>
      <c r="Q697">
        <v>4</v>
      </c>
      <c r="R697" t="s">
        <v>1168</v>
      </c>
    </row>
    <row r="698" spans="1:18" x14ac:dyDescent="0.3">
      <c r="A698" s="2">
        <v>45732</v>
      </c>
      <c r="B698" t="s">
        <v>708</v>
      </c>
      <c r="C698" t="s">
        <v>1128</v>
      </c>
      <c r="D698" t="s">
        <v>1135</v>
      </c>
      <c r="E698" t="s">
        <v>1142</v>
      </c>
      <c r="F698" t="s">
        <v>1150</v>
      </c>
      <c r="G698" t="s">
        <v>1156</v>
      </c>
      <c r="H698">
        <v>5</v>
      </c>
      <c r="I698">
        <v>57758</v>
      </c>
      <c r="J698">
        <v>10</v>
      </c>
      <c r="K698">
        <v>51982.2</v>
      </c>
      <c r="L698">
        <v>259911</v>
      </c>
      <c r="M698">
        <v>1000</v>
      </c>
      <c r="N698" t="s">
        <v>1159</v>
      </c>
      <c r="O698" t="s">
        <v>1164</v>
      </c>
      <c r="P698" s="2">
        <v>45737</v>
      </c>
      <c r="Q698">
        <v>5</v>
      </c>
      <c r="R698" t="s">
        <v>1166</v>
      </c>
    </row>
    <row r="699" spans="1:18" x14ac:dyDescent="0.3">
      <c r="A699" s="2">
        <v>45727</v>
      </c>
      <c r="B699" t="s">
        <v>709</v>
      </c>
      <c r="C699" t="s">
        <v>1117</v>
      </c>
      <c r="D699" t="s">
        <v>1133</v>
      </c>
      <c r="E699" t="s">
        <v>1144</v>
      </c>
      <c r="F699" t="s">
        <v>1151</v>
      </c>
      <c r="G699" t="s">
        <v>1157</v>
      </c>
      <c r="H699">
        <v>5</v>
      </c>
      <c r="I699">
        <v>54022</v>
      </c>
      <c r="J699">
        <v>0</v>
      </c>
      <c r="K699">
        <v>54022</v>
      </c>
      <c r="L699">
        <v>270110</v>
      </c>
      <c r="M699">
        <v>1000</v>
      </c>
      <c r="N699" t="s">
        <v>1161</v>
      </c>
      <c r="O699" t="s">
        <v>1162</v>
      </c>
      <c r="Q699">
        <v>4</v>
      </c>
      <c r="R699" t="s">
        <v>1168</v>
      </c>
    </row>
    <row r="700" spans="1:18" x14ac:dyDescent="0.3">
      <c r="A700" s="2">
        <v>45779</v>
      </c>
      <c r="B700" t="s">
        <v>710</v>
      </c>
      <c r="C700" t="s">
        <v>1128</v>
      </c>
      <c r="D700" t="s">
        <v>1135</v>
      </c>
      <c r="E700" t="s">
        <v>1139</v>
      </c>
      <c r="F700" t="s">
        <v>1150</v>
      </c>
      <c r="G700" t="s">
        <v>1154</v>
      </c>
      <c r="H700">
        <v>1</v>
      </c>
      <c r="I700">
        <v>75684</v>
      </c>
      <c r="J700">
        <v>5</v>
      </c>
      <c r="K700">
        <v>71899.8</v>
      </c>
      <c r="L700">
        <v>71899.8</v>
      </c>
      <c r="M700">
        <v>1500</v>
      </c>
      <c r="N700" t="s">
        <v>1159</v>
      </c>
      <c r="O700" t="s">
        <v>1162</v>
      </c>
      <c r="Q700">
        <v>1</v>
      </c>
    </row>
    <row r="701" spans="1:18" x14ac:dyDescent="0.3">
      <c r="A701" s="2">
        <v>45689</v>
      </c>
      <c r="B701" t="s">
        <v>711</v>
      </c>
      <c r="C701" t="s">
        <v>1128</v>
      </c>
      <c r="D701" t="s">
        <v>1135</v>
      </c>
      <c r="E701" t="s">
        <v>1140</v>
      </c>
      <c r="F701" t="s">
        <v>1150</v>
      </c>
      <c r="G701" t="s">
        <v>1154</v>
      </c>
      <c r="H701">
        <v>1</v>
      </c>
      <c r="I701">
        <v>74807</v>
      </c>
      <c r="J701">
        <v>10</v>
      </c>
      <c r="K701">
        <v>67326.3</v>
      </c>
      <c r="L701">
        <v>67326.3</v>
      </c>
      <c r="M701">
        <v>1000</v>
      </c>
      <c r="N701" t="s">
        <v>1159</v>
      </c>
      <c r="O701" t="s">
        <v>1162</v>
      </c>
      <c r="Q701" t="s">
        <v>1165</v>
      </c>
      <c r="R701" t="s">
        <v>1169</v>
      </c>
    </row>
    <row r="702" spans="1:18" x14ac:dyDescent="0.3">
      <c r="A702" s="2">
        <v>45690</v>
      </c>
      <c r="B702" t="s">
        <v>712</v>
      </c>
      <c r="C702" t="s">
        <v>1117</v>
      </c>
      <c r="D702" t="s">
        <v>1133</v>
      </c>
      <c r="E702" t="s">
        <v>1141</v>
      </c>
      <c r="F702" t="s">
        <v>1151</v>
      </c>
      <c r="G702" t="s">
        <v>1155</v>
      </c>
      <c r="H702">
        <v>5</v>
      </c>
      <c r="I702">
        <v>19801</v>
      </c>
      <c r="J702">
        <v>15</v>
      </c>
      <c r="K702">
        <v>16830.849999999999</v>
      </c>
      <c r="L702">
        <v>84154.25</v>
      </c>
      <c r="M702">
        <v>1000</v>
      </c>
      <c r="N702" t="s">
        <v>1159</v>
      </c>
      <c r="O702" t="s">
        <v>1163</v>
      </c>
      <c r="Q702">
        <v>4</v>
      </c>
      <c r="R702" t="s">
        <v>1170</v>
      </c>
    </row>
    <row r="703" spans="1:18" x14ac:dyDescent="0.3">
      <c r="A703" s="2">
        <v>45800</v>
      </c>
      <c r="B703" t="s">
        <v>713</v>
      </c>
      <c r="C703" t="s">
        <v>1128</v>
      </c>
      <c r="D703" t="s">
        <v>1135</v>
      </c>
      <c r="E703" t="s">
        <v>1146</v>
      </c>
      <c r="F703" t="s">
        <v>1151</v>
      </c>
      <c r="G703" t="s">
        <v>1155</v>
      </c>
      <c r="H703">
        <v>5</v>
      </c>
      <c r="I703">
        <v>5125</v>
      </c>
      <c r="J703">
        <v>0</v>
      </c>
      <c r="K703">
        <v>5125</v>
      </c>
      <c r="L703">
        <v>25625</v>
      </c>
      <c r="M703">
        <v>2000</v>
      </c>
      <c r="N703" t="s">
        <v>1159</v>
      </c>
      <c r="O703" t="s">
        <v>1163</v>
      </c>
      <c r="Q703">
        <v>5</v>
      </c>
      <c r="R703" t="s">
        <v>1169</v>
      </c>
    </row>
    <row r="704" spans="1:18" x14ac:dyDescent="0.3">
      <c r="A704" s="2">
        <v>45727</v>
      </c>
      <c r="B704" t="s">
        <v>714</v>
      </c>
      <c r="C704" t="s">
        <v>1120</v>
      </c>
      <c r="D704" t="s">
        <v>1135</v>
      </c>
      <c r="E704" t="s">
        <v>1141</v>
      </c>
      <c r="F704" t="s">
        <v>1151</v>
      </c>
      <c r="G704" t="s">
        <v>1155</v>
      </c>
      <c r="H704">
        <v>5</v>
      </c>
      <c r="I704">
        <v>57214</v>
      </c>
      <c r="J704">
        <v>0</v>
      </c>
      <c r="K704">
        <v>57214</v>
      </c>
      <c r="L704">
        <v>286070</v>
      </c>
      <c r="M704">
        <v>1000</v>
      </c>
      <c r="N704" t="s">
        <v>1160</v>
      </c>
      <c r="O704" t="s">
        <v>1162</v>
      </c>
      <c r="R704" t="s">
        <v>1167</v>
      </c>
    </row>
    <row r="705" spans="1:18" x14ac:dyDescent="0.3">
      <c r="A705" s="2">
        <v>45748</v>
      </c>
      <c r="B705" t="s">
        <v>715</v>
      </c>
      <c r="C705" t="s">
        <v>1121</v>
      </c>
      <c r="D705" t="s">
        <v>1136</v>
      </c>
      <c r="E705" t="s">
        <v>1144</v>
      </c>
      <c r="F705" t="s">
        <v>1151</v>
      </c>
      <c r="G705" t="s">
        <v>1157</v>
      </c>
      <c r="H705">
        <v>1</v>
      </c>
      <c r="I705">
        <v>14881</v>
      </c>
      <c r="J705">
        <v>5</v>
      </c>
      <c r="K705">
        <v>14136.95</v>
      </c>
      <c r="L705">
        <v>14136.95</v>
      </c>
      <c r="M705">
        <v>1500</v>
      </c>
      <c r="N705" t="s">
        <v>1159</v>
      </c>
      <c r="O705" t="s">
        <v>1163</v>
      </c>
      <c r="R705" t="s">
        <v>1168</v>
      </c>
    </row>
    <row r="706" spans="1:18" x14ac:dyDescent="0.3">
      <c r="A706" s="2">
        <v>45688</v>
      </c>
      <c r="B706" t="s">
        <v>716</v>
      </c>
      <c r="C706" t="s">
        <v>1128</v>
      </c>
      <c r="D706" t="s">
        <v>1135</v>
      </c>
      <c r="E706" t="s">
        <v>1143</v>
      </c>
      <c r="F706" t="s">
        <v>1151</v>
      </c>
      <c r="G706" t="s">
        <v>1157</v>
      </c>
      <c r="H706">
        <v>1</v>
      </c>
      <c r="I706">
        <v>18003</v>
      </c>
      <c r="J706">
        <v>20</v>
      </c>
      <c r="K706">
        <v>14402.4</v>
      </c>
      <c r="L706">
        <v>14402.4</v>
      </c>
      <c r="M706">
        <v>1000</v>
      </c>
      <c r="N706" t="s">
        <v>1160</v>
      </c>
      <c r="O706" t="s">
        <v>1163</v>
      </c>
      <c r="R706" t="s">
        <v>1167</v>
      </c>
    </row>
    <row r="707" spans="1:18" x14ac:dyDescent="0.3">
      <c r="A707" s="2">
        <v>45832</v>
      </c>
      <c r="B707" t="s">
        <v>717</v>
      </c>
      <c r="C707" t="s">
        <v>1130</v>
      </c>
      <c r="D707" t="s">
        <v>1136</v>
      </c>
      <c r="E707" t="s">
        <v>1143</v>
      </c>
      <c r="F707" t="s">
        <v>1151</v>
      </c>
      <c r="G707" t="s">
        <v>1157</v>
      </c>
      <c r="H707">
        <v>2</v>
      </c>
      <c r="I707">
        <v>46581</v>
      </c>
      <c r="J707">
        <v>0</v>
      </c>
      <c r="K707">
        <v>46581</v>
      </c>
      <c r="L707">
        <v>93162</v>
      </c>
      <c r="M707">
        <v>2000</v>
      </c>
      <c r="N707" t="s">
        <v>1159</v>
      </c>
      <c r="O707" t="s">
        <v>1163</v>
      </c>
      <c r="Q707">
        <v>2</v>
      </c>
      <c r="R707" t="s">
        <v>1170</v>
      </c>
    </row>
    <row r="708" spans="1:18" x14ac:dyDescent="0.3">
      <c r="A708" s="2">
        <v>45782</v>
      </c>
      <c r="B708" t="s">
        <v>718</v>
      </c>
      <c r="C708" t="s">
        <v>1120</v>
      </c>
      <c r="D708" t="s">
        <v>1135</v>
      </c>
      <c r="E708" t="s">
        <v>1141</v>
      </c>
      <c r="F708" t="s">
        <v>1151</v>
      </c>
      <c r="G708" t="s">
        <v>1155</v>
      </c>
      <c r="H708">
        <v>2</v>
      </c>
      <c r="I708">
        <v>31092</v>
      </c>
      <c r="J708">
        <v>5</v>
      </c>
      <c r="K708">
        <v>29537.4</v>
      </c>
      <c r="L708">
        <v>59074.8</v>
      </c>
      <c r="M708">
        <v>1500</v>
      </c>
      <c r="N708" t="s">
        <v>1161</v>
      </c>
      <c r="O708" t="s">
        <v>1164</v>
      </c>
      <c r="P708" s="2">
        <v>45793</v>
      </c>
      <c r="Q708">
        <v>4</v>
      </c>
      <c r="R708" t="s">
        <v>1168</v>
      </c>
    </row>
    <row r="709" spans="1:18" x14ac:dyDescent="0.3">
      <c r="A709" s="2">
        <v>45793</v>
      </c>
      <c r="B709" t="s">
        <v>301</v>
      </c>
      <c r="C709" t="s">
        <v>1121</v>
      </c>
      <c r="D709" t="s">
        <v>1136</v>
      </c>
      <c r="E709" t="s">
        <v>1137</v>
      </c>
      <c r="F709" t="s">
        <v>1149</v>
      </c>
      <c r="G709" t="s">
        <v>1152</v>
      </c>
      <c r="H709">
        <v>4</v>
      </c>
      <c r="I709">
        <v>34208</v>
      </c>
      <c r="J709">
        <v>20</v>
      </c>
      <c r="K709">
        <v>27366.400000000001</v>
      </c>
      <c r="L709">
        <v>109465.60000000001</v>
      </c>
      <c r="M709">
        <v>2000</v>
      </c>
      <c r="N709" t="s">
        <v>1161</v>
      </c>
      <c r="O709" t="s">
        <v>1163</v>
      </c>
    </row>
    <row r="710" spans="1:18" x14ac:dyDescent="0.3">
      <c r="A710" s="2">
        <v>45749</v>
      </c>
      <c r="B710" t="s">
        <v>719</v>
      </c>
      <c r="C710" t="s">
        <v>1126</v>
      </c>
      <c r="D710" t="s">
        <v>1133</v>
      </c>
      <c r="E710" t="s">
        <v>1145</v>
      </c>
      <c r="F710" t="s">
        <v>1149</v>
      </c>
      <c r="G710" t="s">
        <v>1153</v>
      </c>
      <c r="H710">
        <v>1</v>
      </c>
      <c r="I710">
        <v>52251</v>
      </c>
      <c r="J710">
        <v>10</v>
      </c>
      <c r="K710">
        <v>47025.9</v>
      </c>
      <c r="L710">
        <v>47025.9</v>
      </c>
      <c r="M710">
        <v>1500</v>
      </c>
      <c r="N710" t="s">
        <v>1159</v>
      </c>
      <c r="O710" t="s">
        <v>1163</v>
      </c>
      <c r="Q710">
        <v>5</v>
      </c>
    </row>
    <row r="711" spans="1:18" x14ac:dyDescent="0.3">
      <c r="A711" s="2">
        <v>45710</v>
      </c>
      <c r="B711" t="s">
        <v>720</v>
      </c>
      <c r="C711" t="s">
        <v>1130</v>
      </c>
      <c r="D711" t="s">
        <v>1136</v>
      </c>
      <c r="E711" t="s">
        <v>1137</v>
      </c>
      <c r="F711" t="s">
        <v>1149</v>
      </c>
      <c r="G711" t="s">
        <v>1152</v>
      </c>
      <c r="H711">
        <v>1</v>
      </c>
      <c r="I711">
        <v>22573</v>
      </c>
      <c r="J711">
        <v>10</v>
      </c>
      <c r="K711">
        <v>20315.7</v>
      </c>
      <c r="L711">
        <v>20315.7</v>
      </c>
      <c r="M711">
        <v>2000</v>
      </c>
      <c r="N711" t="s">
        <v>1160</v>
      </c>
      <c r="O711" t="s">
        <v>1163</v>
      </c>
      <c r="Q711">
        <v>5</v>
      </c>
      <c r="R711" t="s">
        <v>1169</v>
      </c>
    </row>
    <row r="712" spans="1:18" x14ac:dyDescent="0.3">
      <c r="A712" s="2">
        <v>45776</v>
      </c>
      <c r="B712" t="s">
        <v>721</v>
      </c>
      <c r="C712" t="s">
        <v>1120</v>
      </c>
      <c r="D712" t="s">
        <v>1135</v>
      </c>
      <c r="E712" t="s">
        <v>1137</v>
      </c>
      <c r="F712" t="s">
        <v>1149</v>
      </c>
      <c r="G712" t="s">
        <v>1152</v>
      </c>
      <c r="H712">
        <v>5</v>
      </c>
      <c r="I712">
        <v>23441</v>
      </c>
      <c r="J712">
        <v>20</v>
      </c>
      <c r="K712">
        <v>18752.8</v>
      </c>
      <c r="L712">
        <v>93764</v>
      </c>
      <c r="M712">
        <v>1500</v>
      </c>
      <c r="N712" t="s">
        <v>1159</v>
      </c>
      <c r="O712" t="s">
        <v>1163</v>
      </c>
      <c r="Q712">
        <v>1</v>
      </c>
      <c r="R712" t="s">
        <v>1170</v>
      </c>
    </row>
    <row r="713" spans="1:18" x14ac:dyDescent="0.3">
      <c r="A713" s="2">
        <v>45715</v>
      </c>
      <c r="B713" t="s">
        <v>722</v>
      </c>
      <c r="C713" t="s">
        <v>1132</v>
      </c>
      <c r="D713" t="s">
        <v>1134</v>
      </c>
      <c r="E713" t="s">
        <v>1145</v>
      </c>
      <c r="F713" t="s">
        <v>1149</v>
      </c>
      <c r="G713" t="s">
        <v>1153</v>
      </c>
      <c r="H713">
        <v>1</v>
      </c>
      <c r="I713">
        <v>3818</v>
      </c>
      <c r="J713">
        <v>10</v>
      </c>
      <c r="K713">
        <v>3436.2</v>
      </c>
      <c r="L713">
        <v>3436.2</v>
      </c>
      <c r="M713">
        <v>1500</v>
      </c>
      <c r="N713" t="s">
        <v>1161</v>
      </c>
      <c r="O713" t="s">
        <v>1162</v>
      </c>
      <c r="Q713">
        <v>4</v>
      </c>
      <c r="R713" t="s">
        <v>1170</v>
      </c>
    </row>
    <row r="714" spans="1:18" x14ac:dyDescent="0.3">
      <c r="A714" s="2">
        <v>45799</v>
      </c>
      <c r="B714" t="s">
        <v>723</v>
      </c>
      <c r="C714" t="s">
        <v>1126</v>
      </c>
      <c r="D714" t="s">
        <v>1133</v>
      </c>
      <c r="E714" t="s">
        <v>1139</v>
      </c>
      <c r="F714" t="s">
        <v>1150</v>
      </c>
      <c r="G714" t="s">
        <v>1154</v>
      </c>
      <c r="H714">
        <v>3</v>
      </c>
      <c r="I714">
        <v>28471</v>
      </c>
      <c r="J714">
        <v>15</v>
      </c>
      <c r="K714">
        <v>24200.35</v>
      </c>
      <c r="L714">
        <v>72601.049999999988</v>
      </c>
      <c r="M714">
        <v>1000</v>
      </c>
      <c r="N714" t="s">
        <v>1160</v>
      </c>
      <c r="O714" t="s">
        <v>1163</v>
      </c>
      <c r="Q714">
        <v>4</v>
      </c>
      <c r="R714" t="s">
        <v>1167</v>
      </c>
    </row>
    <row r="715" spans="1:18" x14ac:dyDescent="0.3">
      <c r="A715" s="2">
        <v>45784</v>
      </c>
      <c r="B715" t="s">
        <v>724</v>
      </c>
      <c r="C715" t="s">
        <v>1132</v>
      </c>
      <c r="D715" t="s">
        <v>1134</v>
      </c>
      <c r="E715" t="s">
        <v>1137</v>
      </c>
      <c r="F715" t="s">
        <v>1149</v>
      </c>
      <c r="G715" t="s">
        <v>1152</v>
      </c>
      <c r="H715">
        <v>4</v>
      </c>
      <c r="I715">
        <v>19698</v>
      </c>
      <c r="J715">
        <v>5</v>
      </c>
      <c r="K715">
        <v>18713.099999999999</v>
      </c>
      <c r="L715">
        <v>74852.399999999994</v>
      </c>
      <c r="M715">
        <v>2000</v>
      </c>
      <c r="N715" t="s">
        <v>1159</v>
      </c>
      <c r="O715" t="s">
        <v>1163</v>
      </c>
      <c r="Q715">
        <v>5</v>
      </c>
      <c r="R715" t="s">
        <v>1170</v>
      </c>
    </row>
    <row r="716" spans="1:18" x14ac:dyDescent="0.3">
      <c r="A716" s="2">
        <v>45771</v>
      </c>
      <c r="B716" t="s">
        <v>725</v>
      </c>
      <c r="C716" t="s">
        <v>1118</v>
      </c>
      <c r="D716" t="s">
        <v>1134</v>
      </c>
      <c r="E716" t="s">
        <v>1146</v>
      </c>
      <c r="F716" t="s">
        <v>1151</v>
      </c>
      <c r="G716" t="s">
        <v>1155</v>
      </c>
      <c r="H716">
        <v>2</v>
      </c>
      <c r="I716">
        <v>42144</v>
      </c>
      <c r="J716">
        <v>20</v>
      </c>
      <c r="K716">
        <v>33715.199999999997</v>
      </c>
      <c r="L716">
        <v>67430.399999999994</v>
      </c>
      <c r="M716">
        <v>1000</v>
      </c>
      <c r="N716" t="s">
        <v>1160</v>
      </c>
      <c r="O716" t="s">
        <v>1162</v>
      </c>
      <c r="R716" t="s">
        <v>1168</v>
      </c>
    </row>
    <row r="717" spans="1:18" x14ac:dyDescent="0.3">
      <c r="A717" s="2">
        <v>45771</v>
      </c>
      <c r="B717" t="s">
        <v>726</v>
      </c>
      <c r="C717" t="s">
        <v>1128</v>
      </c>
      <c r="D717" t="s">
        <v>1135</v>
      </c>
      <c r="E717" t="s">
        <v>1137</v>
      </c>
      <c r="F717" t="s">
        <v>1149</v>
      </c>
      <c r="G717" t="s">
        <v>1152</v>
      </c>
      <c r="H717">
        <v>5</v>
      </c>
      <c r="I717">
        <v>16410</v>
      </c>
      <c r="J717">
        <v>10</v>
      </c>
      <c r="K717">
        <v>14769</v>
      </c>
      <c r="L717">
        <v>73845</v>
      </c>
      <c r="M717">
        <v>1500</v>
      </c>
      <c r="N717" t="s">
        <v>1160</v>
      </c>
      <c r="O717" t="s">
        <v>1163</v>
      </c>
      <c r="Q717">
        <v>1</v>
      </c>
      <c r="R717" t="s">
        <v>1167</v>
      </c>
    </row>
    <row r="718" spans="1:18" x14ac:dyDescent="0.3">
      <c r="A718" s="2">
        <v>45761</v>
      </c>
      <c r="B718" t="s">
        <v>727</v>
      </c>
      <c r="C718" t="s">
        <v>1128</v>
      </c>
      <c r="D718" t="s">
        <v>1135</v>
      </c>
      <c r="E718" t="s">
        <v>1146</v>
      </c>
      <c r="F718" t="s">
        <v>1151</v>
      </c>
      <c r="G718" t="s">
        <v>1155</v>
      </c>
      <c r="H718">
        <v>4</v>
      </c>
      <c r="I718">
        <v>53457</v>
      </c>
      <c r="J718">
        <v>15</v>
      </c>
      <c r="K718">
        <v>45438.45</v>
      </c>
      <c r="L718">
        <v>181753.8</v>
      </c>
      <c r="M718">
        <v>2000</v>
      </c>
      <c r="N718" t="s">
        <v>1161</v>
      </c>
      <c r="O718" t="s">
        <v>1164</v>
      </c>
      <c r="P718" s="2">
        <v>45775</v>
      </c>
      <c r="Q718">
        <v>2</v>
      </c>
      <c r="R718" t="s">
        <v>1167</v>
      </c>
    </row>
    <row r="719" spans="1:18" x14ac:dyDescent="0.3">
      <c r="A719" s="2">
        <v>45664</v>
      </c>
      <c r="B719" t="s">
        <v>728</v>
      </c>
      <c r="C719" t="s">
        <v>1124</v>
      </c>
      <c r="D719" t="s">
        <v>1135</v>
      </c>
      <c r="E719" t="s">
        <v>1148</v>
      </c>
      <c r="F719" t="s">
        <v>1149</v>
      </c>
      <c r="G719" t="s">
        <v>1152</v>
      </c>
      <c r="H719">
        <v>2</v>
      </c>
      <c r="I719">
        <v>22650</v>
      </c>
      <c r="J719">
        <v>10</v>
      </c>
      <c r="K719">
        <v>20385</v>
      </c>
      <c r="L719">
        <v>40770</v>
      </c>
      <c r="M719">
        <v>1500</v>
      </c>
      <c r="N719" t="s">
        <v>1161</v>
      </c>
      <c r="O719" t="s">
        <v>1163</v>
      </c>
      <c r="Q719">
        <v>2</v>
      </c>
      <c r="R719" t="s">
        <v>1166</v>
      </c>
    </row>
    <row r="720" spans="1:18" x14ac:dyDescent="0.3">
      <c r="A720" s="2">
        <v>45827</v>
      </c>
      <c r="B720" t="s">
        <v>729</v>
      </c>
      <c r="C720" t="s">
        <v>1122</v>
      </c>
      <c r="D720" t="s">
        <v>1136</v>
      </c>
      <c r="E720" t="s">
        <v>1141</v>
      </c>
      <c r="F720" t="s">
        <v>1151</v>
      </c>
      <c r="G720" t="s">
        <v>1155</v>
      </c>
      <c r="H720">
        <v>3</v>
      </c>
      <c r="I720">
        <v>30167</v>
      </c>
      <c r="J720">
        <v>0</v>
      </c>
      <c r="K720">
        <v>30167</v>
      </c>
      <c r="L720">
        <v>90501</v>
      </c>
      <c r="M720">
        <v>2000</v>
      </c>
      <c r="N720" t="s">
        <v>1160</v>
      </c>
      <c r="O720" t="s">
        <v>1164</v>
      </c>
      <c r="P720" s="2">
        <v>45835</v>
      </c>
      <c r="Q720">
        <v>1</v>
      </c>
    </row>
    <row r="721" spans="1:18" x14ac:dyDescent="0.3">
      <c r="A721" s="2">
        <v>45828</v>
      </c>
      <c r="B721" t="s">
        <v>730</v>
      </c>
      <c r="C721" t="s">
        <v>1130</v>
      </c>
      <c r="D721" t="s">
        <v>1136</v>
      </c>
      <c r="E721" t="s">
        <v>1147</v>
      </c>
      <c r="F721" t="s">
        <v>1150</v>
      </c>
      <c r="G721" t="s">
        <v>1156</v>
      </c>
      <c r="H721">
        <v>5</v>
      </c>
      <c r="I721">
        <v>28624</v>
      </c>
      <c r="J721">
        <v>10</v>
      </c>
      <c r="K721">
        <v>25761.599999999999</v>
      </c>
      <c r="L721">
        <v>128808</v>
      </c>
      <c r="M721">
        <v>1500</v>
      </c>
      <c r="N721" t="s">
        <v>1161</v>
      </c>
      <c r="O721" t="s">
        <v>1162</v>
      </c>
      <c r="Q721">
        <v>1</v>
      </c>
    </row>
    <row r="722" spans="1:18" x14ac:dyDescent="0.3">
      <c r="A722" s="2">
        <v>45704</v>
      </c>
      <c r="B722" t="s">
        <v>731</v>
      </c>
      <c r="C722" t="s">
        <v>1121</v>
      </c>
      <c r="D722" t="s">
        <v>1136</v>
      </c>
      <c r="E722" t="s">
        <v>1146</v>
      </c>
      <c r="F722" t="s">
        <v>1151</v>
      </c>
      <c r="G722" t="s">
        <v>1155</v>
      </c>
      <c r="H722">
        <v>5</v>
      </c>
      <c r="I722">
        <v>13328</v>
      </c>
      <c r="J722">
        <v>15</v>
      </c>
      <c r="K722">
        <v>11328.8</v>
      </c>
      <c r="L722">
        <v>56644</v>
      </c>
      <c r="M722">
        <v>2000</v>
      </c>
      <c r="N722" t="s">
        <v>1161</v>
      </c>
      <c r="O722" t="s">
        <v>1164</v>
      </c>
      <c r="P722" s="2">
        <v>45712</v>
      </c>
      <c r="Q722">
        <v>1</v>
      </c>
      <c r="R722" t="s">
        <v>1166</v>
      </c>
    </row>
    <row r="723" spans="1:18" x14ac:dyDescent="0.3">
      <c r="A723" s="2">
        <v>45746</v>
      </c>
      <c r="B723" t="s">
        <v>732</v>
      </c>
      <c r="C723" t="s">
        <v>1126</v>
      </c>
      <c r="D723" t="s">
        <v>1133</v>
      </c>
      <c r="E723" t="s">
        <v>1140</v>
      </c>
      <c r="F723" t="s">
        <v>1150</v>
      </c>
      <c r="G723" t="s">
        <v>1154</v>
      </c>
      <c r="H723">
        <v>3</v>
      </c>
      <c r="I723">
        <v>29760</v>
      </c>
      <c r="J723">
        <v>10</v>
      </c>
      <c r="K723">
        <v>26784</v>
      </c>
      <c r="L723">
        <v>80352</v>
      </c>
      <c r="M723">
        <v>2000</v>
      </c>
      <c r="N723" t="s">
        <v>1159</v>
      </c>
      <c r="O723" t="s">
        <v>1163</v>
      </c>
      <c r="Q723">
        <v>3</v>
      </c>
      <c r="R723" t="s">
        <v>1167</v>
      </c>
    </row>
    <row r="724" spans="1:18" x14ac:dyDescent="0.3">
      <c r="A724" s="2">
        <v>45772</v>
      </c>
      <c r="B724" t="s">
        <v>733</v>
      </c>
      <c r="C724" t="s">
        <v>1131</v>
      </c>
      <c r="D724" t="s">
        <v>1136</v>
      </c>
      <c r="E724" t="s">
        <v>1147</v>
      </c>
      <c r="F724" t="s">
        <v>1150</v>
      </c>
      <c r="G724" t="s">
        <v>1156</v>
      </c>
      <c r="H724">
        <v>3</v>
      </c>
      <c r="I724">
        <v>24667</v>
      </c>
      <c r="J724">
        <v>5</v>
      </c>
      <c r="K724">
        <v>23433.65</v>
      </c>
      <c r="L724">
        <v>70300.950000000012</v>
      </c>
      <c r="M724">
        <v>1500</v>
      </c>
      <c r="N724" t="s">
        <v>1159</v>
      </c>
      <c r="O724" t="s">
        <v>1163</v>
      </c>
      <c r="Q724">
        <v>1</v>
      </c>
      <c r="R724" t="s">
        <v>1167</v>
      </c>
    </row>
    <row r="725" spans="1:18" x14ac:dyDescent="0.3">
      <c r="A725" s="2">
        <v>45725</v>
      </c>
      <c r="B725" t="s">
        <v>734</v>
      </c>
      <c r="C725" t="s">
        <v>1127</v>
      </c>
      <c r="D725" t="s">
        <v>1134</v>
      </c>
      <c r="E725" t="s">
        <v>1147</v>
      </c>
      <c r="F725" t="s">
        <v>1150</v>
      </c>
      <c r="G725" t="s">
        <v>1156</v>
      </c>
      <c r="H725">
        <v>3</v>
      </c>
      <c r="I725">
        <v>66511</v>
      </c>
      <c r="J725">
        <v>0</v>
      </c>
      <c r="K725">
        <v>66511</v>
      </c>
      <c r="L725">
        <v>199533</v>
      </c>
      <c r="M725">
        <v>1500</v>
      </c>
      <c r="N725" t="s">
        <v>1161</v>
      </c>
      <c r="O725" t="s">
        <v>1163</v>
      </c>
      <c r="Q725">
        <v>3</v>
      </c>
      <c r="R725" t="s">
        <v>1170</v>
      </c>
    </row>
    <row r="726" spans="1:18" x14ac:dyDescent="0.3">
      <c r="A726" s="2">
        <v>45692</v>
      </c>
      <c r="B726" t="s">
        <v>735</v>
      </c>
      <c r="C726" t="s">
        <v>1124</v>
      </c>
      <c r="D726" t="s">
        <v>1135</v>
      </c>
      <c r="E726" t="s">
        <v>1147</v>
      </c>
      <c r="F726" t="s">
        <v>1150</v>
      </c>
      <c r="G726" t="s">
        <v>1156</v>
      </c>
      <c r="H726">
        <v>2</v>
      </c>
      <c r="I726">
        <v>70848</v>
      </c>
      <c r="J726" t="s">
        <v>1158</v>
      </c>
      <c r="K726">
        <v>60220.800000000003</v>
      </c>
      <c r="L726">
        <v>120441.60000000001</v>
      </c>
      <c r="M726">
        <v>1500</v>
      </c>
      <c r="N726" t="s">
        <v>1159</v>
      </c>
      <c r="O726" t="s">
        <v>1163</v>
      </c>
      <c r="R726" t="s">
        <v>1166</v>
      </c>
    </row>
    <row r="727" spans="1:18" x14ac:dyDescent="0.3">
      <c r="A727" s="2">
        <v>45697</v>
      </c>
      <c r="B727" t="s">
        <v>736</v>
      </c>
      <c r="C727" t="s">
        <v>1131</v>
      </c>
      <c r="D727" t="s">
        <v>1136</v>
      </c>
      <c r="E727" t="s">
        <v>1147</v>
      </c>
      <c r="F727" t="s">
        <v>1150</v>
      </c>
      <c r="G727" t="s">
        <v>1156</v>
      </c>
      <c r="H727">
        <v>2</v>
      </c>
      <c r="I727">
        <v>72871</v>
      </c>
      <c r="J727">
        <v>20</v>
      </c>
      <c r="K727">
        <v>58296.800000000003</v>
      </c>
      <c r="L727">
        <v>116593.60000000001</v>
      </c>
      <c r="M727">
        <v>2000</v>
      </c>
      <c r="N727" t="s">
        <v>1160</v>
      </c>
      <c r="O727" t="s">
        <v>1164</v>
      </c>
      <c r="P727" s="2">
        <v>45706</v>
      </c>
      <c r="R727" t="s">
        <v>1166</v>
      </c>
    </row>
    <row r="728" spans="1:18" x14ac:dyDescent="0.3">
      <c r="A728" s="2">
        <v>45811</v>
      </c>
      <c r="B728" t="s">
        <v>737</v>
      </c>
      <c r="C728" t="s">
        <v>1125</v>
      </c>
      <c r="D728" t="s">
        <v>1133</v>
      </c>
      <c r="E728" t="s">
        <v>1141</v>
      </c>
      <c r="F728" t="s">
        <v>1151</v>
      </c>
      <c r="G728" t="s">
        <v>1155</v>
      </c>
      <c r="H728">
        <v>3</v>
      </c>
      <c r="I728">
        <v>71455</v>
      </c>
      <c r="J728">
        <v>20</v>
      </c>
      <c r="K728">
        <v>57164</v>
      </c>
      <c r="L728">
        <v>171492</v>
      </c>
      <c r="M728">
        <v>1000</v>
      </c>
      <c r="N728" t="s">
        <v>1161</v>
      </c>
      <c r="O728" t="s">
        <v>1163</v>
      </c>
      <c r="Q728">
        <v>3</v>
      </c>
      <c r="R728" t="s">
        <v>1168</v>
      </c>
    </row>
    <row r="729" spans="1:18" x14ac:dyDescent="0.3">
      <c r="A729" s="2">
        <v>45700</v>
      </c>
      <c r="B729" t="s">
        <v>738</v>
      </c>
      <c r="C729" t="s">
        <v>1124</v>
      </c>
      <c r="D729" t="s">
        <v>1135</v>
      </c>
      <c r="E729" t="s">
        <v>1139</v>
      </c>
      <c r="F729" t="s">
        <v>1150</v>
      </c>
      <c r="G729" t="s">
        <v>1154</v>
      </c>
      <c r="H729">
        <v>5</v>
      </c>
      <c r="I729">
        <v>50754</v>
      </c>
      <c r="J729">
        <v>10</v>
      </c>
      <c r="K729">
        <v>45678.6</v>
      </c>
      <c r="L729">
        <v>228393</v>
      </c>
      <c r="M729">
        <v>1000</v>
      </c>
      <c r="N729" t="s">
        <v>1160</v>
      </c>
      <c r="O729" t="s">
        <v>1163</v>
      </c>
      <c r="Q729">
        <v>3</v>
      </c>
      <c r="R729" t="s">
        <v>1170</v>
      </c>
    </row>
    <row r="730" spans="1:18" x14ac:dyDescent="0.3">
      <c r="A730" s="2">
        <v>45784</v>
      </c>
      <c r="B730" t="s">
        <v>739</v>
      </c>
      <c r="C730" t="s">
        <v>1126</v>
      </c>
      <c r="D730" t="s">
        <v>1133</v>
      </c>
      <c r="E730" t="s">
        <v>1137</v>
      </c>
      <c r="F730" t="s">
        <v>1149</v>
      </c>
      <c r="G730" t="s">
        <v>1152</v>
      </c>
      <c r="H730">
        <v>1</v>
      </c>
      <c r="I730">
        <v>79625</v>
      </c>
      <c r="J730">
        <v>20</v>
      </c>
      <c r="K730">
        <v>63700</v>
      </c>
      <c r="L730">
        <v>63700</v>
      </c>
      <c r="M730">
        <v>2000</v>
      </c>
      <c r="N730" t="s">
        <v>1161</v>
      </c>
      <c r="O730" t="s">
        <v>1162</v>
      </c>
      <c r="Q730">
        <v>1</v>
      </c>
      <c r="R730" t="s">
        <v>1170</v>
      </c>
    </row>
    <row r="731" spans="1:18" x14ac:dyDescent="0.3">
      <c r="A731" s="2">
        <v>45808</v>
      </c>
      <c r="B731" t="s">
        <v>740</v>
      </c>
      <c r="C731" t="s">
        <v>1126</v>
      </c>
      <c r="D731" t="s">
        <v>1133</v>
      </c>
      <c r="E731" t="s">
        <v>1148</v>
      </c>
      <c r="F731" t="s">
        <v>1149</v>
      </c>
      <c r="G731" t="s">
        <v>1152</v>
      </c>
      <c r="H731">
        <v>1</v>
      </c>
      <c r="I731">
        <v>19986</v>
      </c>
      <c r="J731">
        <v>10</v>
      </c>
      <c r="K731">
        <v>17987.400000000001</v>
      </c>
      <c r="L731">
        <v>17987.400000000001</v>
      </c>
      <c r="M731">
        <v>1500</v>
      </c>
      <c r="N731" t="s">
        <v>1161</v>
      </c>
      <c r="O731" t="s">
        <v>1163</v>
      </c>
      <c r="Q731">
        <v>1</v>
      </c>
      <c r="R731" t="s">
        <v>1167</v>
      </c>
    </row>
    <row r="732" spans="1:18" x14ac:dyDescent="0.3">
      <c r="A732" s="2">
        <v>45704</v>
      </c>
      <c r="B732" t="s">
        <v>741</v>
      </c>
      <c r="C732" t="s">
        <v>1128</v>
      </c>
      <c r="D732" t="s">
        <v>1135</v>
      </c>
      <c r="E732" t="s">
        <v>1147</v>
      </c>
      <c r="F732" t="s">
        <v>1150</v>
      </c>
      <c r="G732" t="s">
        <v>1156</v>
      </c>
      <c r="H732">
        <v>5</v>
      </c>
      <c r="I732">
        <v>16181</v>
      </c>
      <c r="J732">
        <v>15</v>
      </c>
      <c r="K732">
        <v>13753.85</v>
      </c>
      <c r="L732">
        <v>68769.25</v>
      </c>
      <c r="M732">
        <v>1000</v>
      </c>
      <c r="N732" t="s">
        <v>1159</v>
      </c>
      <c r="O732" t="s">
        <v>1162</v>
      </c>
      <c r="Q732">
        <v>2</v>
      </c>
    </row>
    <row r="733" spans="1:18" x14ac:dyDescent="0.3">
      <c r="A733" s="2">
        <v>45792</v>
      </c>
      <c r="B733" t="s">
        <v>742</v>
      </c>
      <c r="C733" t="s">
        <v>1132</v>
      </c>
      <c r="D733" t="s">
        <v>1134</v>
      </c>
      <c r="E733" t="s">
        <v>1143</v>
      </c>
      <c r="F733" t="s">
        <v>1151</v>
      </c>
      <c r="G733" t="s">
        <v>1157</v>
      </c>
      <c r="H733">
        <v>1</v>
      </c>
      <c r="I733">
        <v>49086</v>
      </c>
      <c r="J733">
        <v>5</v>
      </c>
      <c r="K733">
        <v>46631.7</v>
      </c>
      <c r="L733">
        <v>46631.7</v>
      </c>
      <c r="M733">
        <v>1500</v>
      </c>
      <c r="N733" t="s">
        <v>1159</v>
      </c>
      <c r="O733" t="s">
        <v>1163</v>
      </c>
      <c r="Q733">
        <v>4</v>
      </c>
      <c r="R733" t="s">
        <v>1170</v>
      </c>
    </row>
    <row r="734" spans="1:18" x14ac:dyDescent="0.3">
      <c r="A734" s="2">
        <v>45801</v>
      </c>
      <c r="B734" t="s">
        <v>743</v>
      </c>
      <c r="C734" t="s">
        <v>1119</v>
      </c>
      <c r="D734" t="s">
        <v>1134</v>
      </c>
      <c r="E734" t="s">
        <v>1147</v>
      </c>
      <c r="F734" t="s">
        <v>1150</v>
      </c>
      <c r="G734" t="s">
        <v>1156</v>
      </c>
      <c r="H734">
        <v>3</v>
      </c>
      <c r="I734">
        <v>67511</v>
      </c>
      <c r="J734">
        <v>15</v>
      </c>
      <c r="K734">
        <v>57384.35</v>
      </c>
      <c r="L734">
        <v>172153.05</v>
      </c>
      <c r="M734">
        <v>2000</v>
      </c>
      <c r="N734" t="s">
        <v>1161</v>
      </c>
      <c r="O734" t="s">
        <v>1164</v>
      </c>
      <c r="P734" s="2">
        <v>45808</v>
      </c>
      <c r="Q734">
        <v>2</v>
      </c>
      <c r="R734" t="s">
        <v>1168</v>
      </c>
    </row>
    <row r="735" spans="1:18" x14ac:dyDescent="0.3">
      <c r="A735" s="2">
        <v>45775</v>
      </c>
      <c r="B735" t="s">
        <v>744</v>
      </c>
      <c r="C735" t="s">
        <v>1119</v>
      </c>
      <c r="D735" t="s">
        <v>1134</v>
      </c>
      <c r="E735" t="s">
        <v>1145</v>
      </c>
      <c r="F735" t="s">
        <v>1149</v>
      </c>
      <c r="G735" t="s">
        <v>1153</v>
      </c>
      <c r="H735">
        <v>4</v>
      </c>
      <c r="I735">
        <v>57143</v>
      </c>
      <c r="J735">
        <v>0</v>
      </c>
      <c r="K735">
        <v>57143</v>
      </c>
      <c r="L735">
        <v>228572</v>
      </c>
      <c r="M735">
        <v>1500</v>
      </c>
      <c r="N735" t="s">
        <v>1159</v>
      </c>
      <c r="O735" t="s">
        <v>1162</v>
      </c>
      <c r="Q735">
        <v>3</v>
      </c>
    </row>
    <row r="736" spans="1:18" x14ac:dyDescent="0.3">
      <c r="A736" s="2">
        <v>45782</v>
      </c>
      <c r="B736" t="s">
        <v>745</v>
      </c>
      <c r="C736" t="s">
        <v>1119</v>
      </c>
      <c r="D736" t="s">
        <v>1134</v>
      </c>
      <c r="E736" t="s">
        <v>1143</v>
      </c>
      <c r="F736" t="s">
        <v>1151</v>
      </c>
      <c r="G736" t="s">
        <v>1157</v>
      </c>
      <c r="H736">
        <v>1</v>
      </c>
      <c r="I736">
        <v>14949</v>
      </c>
      <c r="J736">
        <v>15</v>
      </c>
      <c r="K736">
        <v>12706.65</v>
      </c>
      <c r="L736">
        <v>12706.65</v>
      </c>
      <c r="M736">
        <v>1000</v>
      </c>
      <c r="N736" t="s">
        <v>1161</v>
      </c>
      <c r="O736" t="s">
        <v>1164</v>
      </c>
      <c r="P736" s="2">
        <v>45790</v>
      </c>
      <c r="Q736">
        <v>1</v>
      </c>
      <c r="R736" t="s">
        <v>1170</v>
      </c>
    </row>
    <row r="737" spans="1:18" x14ac:dyDescent="0.3">
      <c r="A737" s="2">
        <v>45735</v>
      </c>
      <c r="B737" t="s">
        <v>746</v>
      </c>
      <c r="C737" t="s">
        <v>1124</v>
      </c>
      <c r="D737" t="s">
        <v>1135</v>
      </c>
      <c r="E737" t="s">
        <v>1148</v>
      </c>
      <c r="F737" t="s">
        <v>1149</v>
      </c>
      <c r="G737" t="s">
        <v>1152</v>
      </c>
      <c r="H737">
        <v>3</v>
      </c>
      <c r="I737">
        <v>37433</v>
      </c>
      <c r="J737">
        <v>10</v>
      </c>
      <c r="K737">
        <v>33689.699999999997</v>
      </c>
      <c r="L737">
        <v>101069.1</v>
      </c>
      <c r="M737">
        <v>1000</v>
      </c>
      <c r="N737" t="s">
        <v>1160</v>
      </c>
      <c r="O737" t="s">
        <v>1162</v>
      </c>
      <c r="Q737">
        <v>1</v>
      </c>
      <c r="R737" t="s">
        <v>1169</v>
      </c>
    </row>
    <row r="738" spans="1:18" x14ac:dyDescent="0.3">
      <c r="A738" s="2">
        <v>45736</v>
      </c>
      <c r="B738" t="s">
        <v>747</v>
      </c>
      <c r="C738" t="s">
        <v>1127</v>
      </c>
      <c r="D738" t="s">
        <v>1134</v>
      </c>
      <c r="E738" t="s">
        <v>1137</v>
      </c>
      <c r="F738" t="s">
        <v>1149</v>
      </c>
      <c r="G738" t="s">
        <v>1152</v>
      </c>
      <c r="H738">
        <v>1</v>
      </c>
      <c r="I738">
        <v>25925</v>
      </c>
      <c r="J738">
        <v>10</v>
      </c>
      <c r="K738">
        <v>23332.5</v>
      </c>
      <c r="L738">
        <v>23332.5</v>
      </c>
      <c r="M738">
        <v>2000</v>
      </c>
      <c r="N738" t="s">
        <v>1159</v>
      </c>
      <c r="O738" t="s">
        <v>1163</v>
      </c>
      <c r="Q738">
        <v>4</v>
      </c>
      <c r="R738" t="s">
        <v>1168</v>
      </c>
    </row>
    <row r="739" spans="1:18" x14ac:dyDescent="0.3">
      <c r="A739" s="2">
        <v>45657</v>
      </c>
      <c r="B739" t="s">
        <v>748</v>
      </c>
      <c r="C739" t="s">
        <v>1128</v>
      </c>
      <c r="D739" t="s">
        <v>1135</v>
      </c>
      <c r="E739" t="s">
        <v>1139</v>
      </c>
      <c r="F739" t="s">
        <v>1150</v>
      </c>
      <c r="G739" t="s">
        <v>1154</v>
      </c>
      <c r="H739">
        <v>5</v>
      </c>
      <c r="I739">
        <v>9012</v>
      </c>
      <c r="J739">
        <v>5</v>
      </c>
      <c r="K739">
        <v>8561.4</v>
      </c>
      <c r="L739">
        <v>42807</v>
      </c>
      <c r="M739">
        <v>1500</v>
      </c>
      <c r="N739" t="s">
        <v>1161</v>
      </c>
      <c r="O739" t="s">
        <v>1163</v>
      </c>
      <c r="Q739">
        <v>4</v>
      </c>
    </row>
    <row r="740" spans="1:18" x14ac:dyDescent="0.3">
      <c r="A740" s="2">
        <v>45711</v>
      </c>
      <c r="B740" t="s">
        <v>749</v>
      </c>
      <c r="C740" t="s">
        <v>1127</v>
      </c>
      <c r="D740" t="s">
        <v>1134</v>
      </c>
      <c r="E740" t="s">
        <v>1144</v>
      </c>
      <c r="F740" t="s">
        <v>1151</v>
      </c>
      <c r="G740" t="s">
        <v>1157</v>
      </c>
      <c r="H740">
        <v>5</v>
      </c>
      <c r="I740">
        <v>51164</v>
      </c>
      <c r="J740">
        <v>0</v>
      </c>
      <c r="K740">
        <v>51164</v>
      </c>
      <c r="L740">
        <v>255820</v>
      </c>
      <c r="M740">
        <v>1500</v>
      </c>
      <c r="N740" t="s">
        <v>1160</v>
      </c>
      <c r="O740" t="s">
        <v>1162</v>
      </c>
      <c r="Q740">
        <v>2</v>
      </c>
      <c r="R740" t="s">
        <v>1170</v>
      </c>
    </row>
    <row r="741" spans="1:18" x14ac:dyDescent="0.3">
      <c r="A741" s="2">
        <v>45663</v>
      </c>
      <c r="B741" t="s">
        <v>750</v>
      </c>
      <c r="C741" t="s">
        <v>1122</v>
      </c>
      <c r="D741" t="s">
        <v>1136</v>
      </c>
      <c r="E741" t="s">
        <v>1148</v>
      </c>
      <c r="F741" t="s">
        <v>1149</v>
      </c>
      <c r="G741" t="s">
        <v>1152</v>
      </c>
      <c r="H741">
        <v>4</v>
      </c>
      <c r="I741">
        <v>46721</v>
      </c>
      <c r="J741">
        <v>15</v>
      </c>
      <c r="K741">
        <v>39712.85</v>
      </c>
      <c r="L741">
        <v>158851.4</v>
      </c>
      <c r="M741">
        <v>2000</v>
      </c>
      <c r="N741" t="s">
        <v>1161</v>
      </c>
      <c r="O741" t="s">
        <v>1163</v>
      </c>
      <c r="Q741">
        <v>3</v>
      </c>
    </row>
    <row r="742" spans="1:18" x14ac:dyDescent="0.3">
      <c r="A742" s="2">
        <v>45754</v>
      </c>
      <c r="B742" t="s">
        <v>751</v>
      </c>
      <c r="C742" t="s">
        <v>1126</v>
      </c>
      <c r="D742" t="s">
        <v>1133</v>
      </c>
      <c r="E742" t="s">
        <v>1144</v>
      </c>
      <c r="F742" t="s">
        <v>1151</v>
      </c>
      <c r="G742" t="s">
        <v>1157</v>
      </c>
      <c r="H742">
        <v>1</v>
      </c>
      <c r="I742">
        <v>15626</v>
      </c>
      <c r="J742">
        <v>10</v>
      </c>
      <c r="K742">
        <v>14063.4</v>
      </c>
      <c r="L742">
        <v>14063.4</v>
      </c>
      <c r="M742">
        <v>1000</v>
      </c>
      <c r="N742" t="s">
        <v>1161</v>
      </c>
      <c r="O742" t="s">
        <v>1162</v>
      </c>
      <c r="R742" t="s">
        <v>1166</v>
      </c>
    </row>
    <row r="743" spans="1:18" x14ac:dyDescent="0.3">
      <c r="A743" s="2">
        <v>45668</v>
      </c>
      <c r="B743" t="s">
        <v>752</v>
      </c>
      <c r="C743" t="s">
        <v>1130</v>
      </c>
      <c r="D743" t="s">
        <v>1136</v>
      </c>
      <c r="E743" t="s">
        <v>1148</v>
      </c>
      <c r="F743" t="s">
        <v>1149</v>
      </c>
      <c r="G743" t="s">
        <v>1152</v>
      </c>
      <c r="H743">
        <v>3</v>
      </c>
      <c r="I743">
        <v>13867</v>
      </c>
      <c r="J743">
        <v>10</v>
      </c>
      <c r="K743">
        <v>12480.3</v>
      </c>
      <c r="L743">
        <v>37440.899999999987</v>
      </c>
      <c r="M743">
        <v>1500</v>
      </c>
      <c r="N743" t="s">
        <v>1161</v>
      </c>
      <c r="O743" t="s">
        <v>1164</v>
      </c>
      <c r="P743" s="2">
        <v>45679</v>
      </c>
      <c r="Q743">
        <v>4</v>
      </c>
    </row>
    <row r="744" spans="1:18" x14ac:dyDescent="0.3">
      <c r="A744" s="2">
        <v>45721</v>
      </c>
      <c r="B744" t="s">
        <v>753</v>
      </c>
      <c r="C744" t="s">
        <v>1129</v>
      </c>
      <c r="D744" t="s">
        <v>1133</v>
      </c>
      <c r="E744" t="s">
        <v>1145</v>
      </c>
      <c r="F744" t="s">
        <v>1149</v>
      </c>
      <c r="G744" t="s">
        <v>1153</v>
      </c>
      <c r="H744">
        <v>1</v>
      </c>
      <c r="I744">
        <v>59050</v>
      </c>
      <c r="J744">
        <v>10</v>
      </c>
      <c r="K744">
        <v>53145</v>
      </c>
      <c r="L744">
        <v>53145</v>
      </c>
      <c r="M744">
        <v>2000</v>
      </c>
      <c r="N744" t="s">
        <v>1160</v>
      </c>
      <c r="O744" t="s">
        <v>1164</v>
      </c>
      <c r="P744" s="2">
        <v>45733</v>
      </c>
      <c r="Q744">
        <v>1</v>
      </c>
      <c r="R744" t="s">
        <v>1169</v>
      </c>
    </row>
    <row r="745" spans="1:18" x14ac:dyDescent="0.3">
      <c r="A745" s="2">
        <v>45703</v>
      </c>
      <c r="B745" t="s">
        <v>754</v>
      </c>
      <c r="C745" t="s">
        <v>1129</v>
      </c>
      <c r="D745" t="s">
        <v>1133</v>
      </c>
      <c r="E745" t="s">
        <v>1138</v>
      </c>
      <c r="F745" t="s">
        <v>1149</v>
      </c>
      <c r="G745" t="s">
        <v>1153</v>
      </c>
      <c r="H745">
        <v>3</v>
      </c>
      <c r="I745">
        <v>78075</v>
      </c>
      <c r="J745">
        <v>5</v>
      </c>
      <c r="K745">
        <v>74171.25</v>
      </c>
      <c r="L745">
        <v>222513.75</v>
      </c>
      <c r="M745">
        <v>1500</v>
      </c>
      <c r="N745" t="s">
        <v>1159</v>
      </c>
      <c r="O745" t="s">
        <v>1163</v>
      </c>
      <c r="Q745">
        <v>2</v>
      </c>
      <c r="R745" t="s">
        <v>1169</v>
      </c>
    </row>
    <row r="746" spans="1:18" x14ac:dyDescent="0.3">
      <c r="A746" s="2">
        <v>45718</v>
      </c>
      <c r="B746" t="s">
        <v>755</v>
      </c>
      <c r="C746" t="s">
        <v>1132</v>
      </c>
      <c r="D746" t="s">
        <v>1134</v>
      </c>
      <c r="E746" t="s">
        <v>1139</v>
      </c>
      <c r="F746" t="s">
        <v>1150</v>
      </c>
      <c r="G746" t="s">
        <v>1154</v>
      </c>
      <c r="H746">
        <v>2</v>
      </c>
      <c r="I746">
        <v>39703</v>
      </c>
      <c r="J746">
        <v>15</v>
      </c>
      <c r="K746">
        <v>33747.550000000003</v>
      </c>
      <c r="L746">
        <v>67495.100000000006</v>
      </c>
      <c r="M746">
        <v>1500</v>
      </c>
      <c r="N746" t="s">
        <v>1161</v>
      </c>
      <c r="O746" t="s">
        <v>1164</v>
      </c>
      <c r="P746" s="2">
        <v>45726</v>
      </c>
      <c r="Q746">
        <v>4</v>
      </c>
      <c r="R746" t="s">
        <v>1170</v>
      </c>
    </row>
    <row r="747" spans="1:18" x14ac:dyDescent="0.3">
      <c r="A747" s="2">
        <v>45776</v>
      </c>
      <c r="B747" t="s">
        <v>756</v>
      </c>
      <c r="C747" t="s">
        <v>1132</v>
      </c>
      <c r="D747" t="s">
        <v>1134</v>
      </c>
      <c r="E747" t="s">
        <v>1148</v>
      </c>
      <c r="F747" t="s">
        <v>1149</v>
      </c>
      <c r="G747" t="s">
        <v>1152</v>
      </c>
      <c r="H747">
        <v>3</v>
      </c>
      <c r="I747">
        <v>51035</v>
      </c>
      <c r="J747">
        <v>15</v>
      </c>
      <c r="K747">
        <v>43379.75</v>
      </c>
      <c r="L747">
        <v>130139.25</v>
      </c>
      <c r="M747">
        <v>2000</v>
      </c>
      <c r="N747" t="s">
        <v>1161</v>
      </c>
      <c r="O747" t="s">
        <v>1162</v>
      </c>
      <c r="Q747">
        <v>3</v>
      </c>
      <c r="R747" t="s">
        <v>1170</v>
      </c>
    </row>
    <row r="748" spans="1:18" x14ac:dyDescent="0.3">
      <c r="A748" s="2">
        <v>45732</v>
      </c>
      <c r="B748" t="s">
        <v>757</v>
      </c>
      <c r="C748" t="s">
        <v>1128</v>
      </c>
      <c r="D748" t="s">
        <v>1135</v>
      </c>
      <c r="E748" t="s">
        <v>1143</v>
      </c>
      <c r="F748" t="s">
        <v>1151</v>
      </c>
      <c r="G748" t="s">
        <v>1157</v>
      </c>
      <c r="H748">
        <v>5</v>
      </c>
      <c r="I748">
        <v>60687</v>
      </c>
      <c r="J748">
        <v>10</v>
      </c>
      <c r="K748">
        <v>54618.3</v>
      </c>
      <c r="L748">
        <v>273091.5</v>
      </c>
      <c r="M748">
        <v>1000</v>
      </c>
      <c r="N748" t="s">
        <v>1161</v>
      </c>
      <c r="O748" t="s">
        <v>1164</v>
      </c>
      <c r="P748" s="2">
        <v>45735</v>
      </c>
      <c r="Q748">
        <v>1</v>
      </c>
      <c r="R748" t="s">
        <v>1170</v>
      </c>
    </row>
    <row r="749" spans="1:18" x14ac:dyDescent="0.3">
      <c r="A749" s="2">
        <v>45837</v>
      </c>
      <c r="B749" t="s">
        <v>758</v>
      </c>
      <c r="C749" t="s">
        <v>1119</v>
      </c>
      <c r="D749" t="s">
        <v>1134</v>
      </c>
      <c r="E749" t="s">
        <v>1141</v>
      </c>
      <c r="F749" t="s">
        <v>1151</v>
      </c>
      <c r="G749" t="s">
        <v>1155</v>
      </c>
      <c r="H749">
        <v>5</v>
      </c>
      <c r="I749">
        <v>75461</v>
      </c>
      <c r="J749">
        <v>0</v>
      </c>
      <c r="K749">
        <v>75461</v>
      </c>
      <c r="L749">
        <v>377305</v>
      </c>
      <c r="M749">
        <v>2000</v>
      </c>
      <c r="N749" t="s">
        <v>1160</v>
      </c>
      <c r="O749" t="s">
        <v>1162</v>
      </c>
      <c r="Q749">
        <v>4</v>
      </c>
      <c r="R749" t="s">
        <v>1170</v>
      </c>
    </row>
    <row r="750" spans="1:18" x14ac:dyDescent="0.3">
      <c r="A750" s="2">
        <v>45776</v>
      </c>
      <c r="B750" t="s">
        <v>759</v>
      </c>
      <c r="C750" t="s">
        <v>1119</v>
      </c>
      <c r="D750" t="s">
        <v>1134</v>
      </c>
      <c r="E750" t="s">
        <v>1139</v>
      </c>
      <c r="F750" t="s">
        <v>1150</v>
      </c>
      <c r="G750" t="s">
        <v>1154</v>
      </c>
      <c r="H750">
        <v>1</v>
      </c>
      <c r="I750">
        <v>28829</v>
      </c>
      <c r="J750">
        <v>15</v>
      </c>
      <c r="K750">
        <v>24504.65</v>
      </c>
      <c r="L750">
        <v>24504.65</v>
      </c>
      <c r="M750">
        <v>2000</v>
      </c>
      <c r="N750" t="s">
        <v>1159</v>
      </c>
      <c r="O750" t="s">
        <v>1163</v>
      </c>
      <c r="Q750">
        <v>1</v>
      </c>
      <c r="R750" t="s">
        <v>1166</v>
      </c>
    </row>
    <row r="751" spans="1:18" x14ac:dyDescent="0.3">
      <c r="A751" s="2">
        <v>45762</v>
      </c>
      <c r="B751" t="s">
        <v>760</v>
      </c>
      <c r="C751" t="s">
        <v>1126</v>
      </c>
      <c r="D751" t="s">
        <v>1133</v>
      </c>
      <c r="E751" t="s">
        <v>1139</v>
      </c>
      <c r="F751" t="s">
        <v>1150</v>
      </c>
      <c r="G751" t="s">
        <v>1154</v>
      </c>
      <c r="H751">
        <v>3</v>
      </c>
      <c r="I751">
        <v>69356</v>
      </c>
      <c r="J751">
        <v>20</v>
      </c>
      <c r="K751">
        <v>55484.800000000003</v>
      </c>
      <c r="L751">
        <v>166454.39999999999</v>
      </c>
      <c r="M751">
        <v>1500</v>
      </c>
      <c r="N751" t="s">
        <v>1159</v>
      </c>
      <c r="O751" t="s">
        <v>1162</v>
      </c>
      <c r="Q751">
        <v>4</v>
      </c>
    </row>
    <row r="752" spans="1:18" x14ac:dyDescent="0.3">
      <c r="A752" s="2">
        <v>45778</v>
      </c>
      <c r="B752" t="s">
        <v>761</v>
      </c>
      <c r="C752" t="s">
        <v>1117</v>
      </c>
      <c r="D752" t="s">
        <v>1133</v>
      </c>
      <c r="E752" t="s">
        <v>1145</v>
      </c>
      <c r="F752" t="s">
        <v>1149</v>
      </c>
      <c r="G752" t="s">
        <v>1153</v>
      </c>
      <c r="H752">
        <v>2</v>
      </c>
      <c r="I752">
        <v>68548</v>
      </c>
      <c r="J752">
        <v>5</v>
      </c>
      <c r="K752">
        <v>65120.6</v>
      </c>
      <c r="L752">
        <v>130241.2</v>
      </c>
      <c r="M752">
        <v>2000</v>
      </c>
      <c r="N752" t="s">
        <v>1160</v>
      </c>
      <c r="O752" t="s">
        <v>1163</v>
      </c>
      <c r="Q752">
        <v>5</v>
      </c>
      <c r="R752" t="s">
        <v>1168</v>
      </c>
    </row>
    <row r="753" spans="1:18" x14ac:dyDescent="0.3">
      <c r="A753" s="2">
        <v>45718</v>
      </c>
      <c r="B753" t="s">
        <v>762</v>
      </c>
      <c r="C753" t="s">
        <v>1123</v>
      </c>
      <c r="D753" t="s">
        <v>1135</v>
      </c>
      <c r="E753" t="s">
        <v>1139</v>
      </c>
      <c r="F753" t="s">
        <v>1150</v>
      </c>
      <c r="G753" t="s">
        <v>1154</v>
      </c>
      <c r="H753">
        <v>1</v>
      </c>
      <c r="I753">
        <v>49677</v>
      </c>
      <c r="J753">
        <v>20</v>
      </c>
      <c r="K753">
        <v>39741.599999999999</v>
      </c>
      <c r="L753">
        <v>39741.599999999999</v>
      </c>
      <c r="M753">
        <v>2000</v>
      </c>
      <c r="N753" t="s">
        <v>1159</v>
      </c>
      <c r="O753" t="s">
        <v>1162</v>
      </c>
      <c r="Q753">
        <v>2</v>
      </c>
      <c r="R753" t="s">
        <v>1169</v>
      </c>
    </row>
    <row r="754" spans="1:18" x14ac:dyDescent="0.3">
      <c r="A754" s="2">
        <v>45742</v>
      </c>
      <c r="B754" t="s">
        <v>763</v>
      </c>
      <c r="C754" t="s">
        <v>1123</v>
      </c>
      <c r="D754" t="s">
        <v>1135</v>
      </c>
      <c r="E754" t="s">
        <v>1144</v>
      </c>
      <c r="F754" t="s">
        <v>1151</v>
      </c>
      <c r="G754" t="s">
        <v>1157</v>
      </c>
      <c r="H754">
        <v>1</v>
      </c>
      <c r="I754">
        <v>31078</v>
      </c>
      <c r="J754">
        <v>0</v>
      </c>
      <c r="K754">
        <v>31078</v>
      </c>
      <c r="L754">
        <v>31078</v>
      </c>
      <c r="M754">
        <v>1000</v>
      </c>
      <c r="N754" t="s">
        <v>1160</v>
      </c>
      <c r="O754" t="s">
        <v>1163</v>
      </c>
      <c r="R754" t="s">
        <v>1167</v>
      </c>
    </row>
    <row r="755" spans="1:18" x14ac:dyDescent="0.3">
      <c r="A755" s="2">
        <v>45661</v>
      </c>
      <c r="B755" t="s">
        <v>764</v>
      </c>
      <c r="C755" t="s">
        <v>1125</v>
      </c>
      <c r="D755" t="s">
        <v>1133</v>
      </c>
      <c r="E755" t="s">
        <v>1146</v>
      </c>
      <c r="F755" t="s">
        <v>1151</v>
      </c>
      <c r="G755" t="s">
        <v>1155</v>
      </c>
      <c r="H755">
        <v>3</v>
      </c>
      <c r="I755">
        <v>66135</v>
      </c>
      <c r="J755">
        <v>0</v>
      </c>
      <c r="K755">
        <v>66135</v>
      </c>
      <c r="L755">
        <v>198405</v>
      </c>
      <c r="M755">
        <v>1500</v>
      </c>
      <c r="N755" t="s">
        <v>1160</v>
      </c>
      <c r="O755" t="s">
        <v>1162</v>
      </c>
      <c r="Q755">
        <v>4</v>
      </c>
      <c r="R755" t="s">
        <v>1167</v>
      </c>
    </row>
    <row r="756" spans="1:18" x14ac:dyDescent="0.3">
      <c r="A756" s="2">
        <v>45731</v>
      </c>
      <c r="B756" t="s">
        <v>765</v>
      </c>
      <c r="C756" t="s">
        <v>1129</v>
      </c>
      <c r="D756" t="s">
        <v>1133</v>
      </c>
      <c r="E756" t="s">
        <v>1144</v>
      </c>
      <c r="F756" t="s">
        <v>1151</v>
      </c>
      <c r="G756" t="s">
        <v>1157</v>
      </c>
      <c r="H756">
        <v>1</v>
      </c>
      <c r="I756">
        <v>67773</v>
      </c>
      <c r="J756">
        <v>0</v>
      </c>
      <c r="K756">
        <v>67773</v>
      </c>
      <c r="L756">
        <v>67773</v>
      </c>
      <c r="M756">
        <v>1000</v>
      </c>
      <c r="N756" t="s">
        <v>1161</v>
      </c>
      <c r="O756" t="s">
        <v>1164</v>
      </c>
      <c r="P756" s="2">
        <v>45743</v>
      </c>
      <c r="Q756">
        <v>2</v>
      </c>
      <c r="R756" t="s">
        <v>1170</v>
      </c>
    </row>
    <row r="757" spans="1:18" x14ac:dyDescent="0.3">
      <c r="A757" s="2">
        <v>45796</v>
      </c>
      <c r="B757" t="s">
        <v>766</v>
      </c>
      <c r="C757" t="s">
        <v>1129</v>
      </c>
      <c r="D757" t="s">
        <v>1133</v>
      </c>
      <c r="E757" t="s">
        <v>1138</v>
      </c>
      <c r="F757" t="s">
        <v>1149</v>
      </c>
      <c r="G757" t="s">
        <v>1153</v>
      </c>
      <c r="H757">
        <v>2</v>
      </c>
      <c r="I757">
        <v>48369</v>
      </c>
      <c r="J757">
        <v>5</v>
      </c>
      <c r="K757">
        <v>45950.55</v>
      </c>
      <c r="L757">
        <v>91901.1</v>
      </c>
      <c r="M757">
        <v>1500</v>
      </c>
      <c r="N757" t="s">
        <v>1160</v>
      </c>
      <c r="O757" t="s">
        <v>1162</v>
      </c>
      <c r="Q757">
        <v>4</v>
      </c>
      <c r="R757" t="s">
        <v>1168</v>
      </c>
    </row>
    <row r="758" spans="1:18" x14ac:dyDescent="0.3">
      <c r="A758" s="2">
        <v>45685</v>
      </c>
      <c r="B758" t="s">
        <v>767</v>
      </c>
      <c r="C758" t="s">
        <v>1128</v>
      </c>
      <c r="D758" t="s">
        <v>1135</v>
      </c>
      <c r="E758" t="s">
        <v>1144</v>
      </c>
      <c r="F758" t="s">
        <v>1151</v>
      </c>
      <c r="G758" t="s">
        <v>1157</v>
      </c>
      <c r="H758">
        <v>4</v>
      </c>
      <c r="I758">
        <v>7775</v>
      </c>
      <c r="J758">
        <v>5</v>
      </c>
      <c r="K758">
        <v>7386.25</v>
      </c>
      <c r="L758">
        <v>29545</v>
      </c>
      <c r="M758">
        <v>2000</v>
      </c>
      <c r="N758" t="s">
        <v>1160</v>
      </c>
      <c r="O758" t="s">
        <v>1162</v>
      </c>
      <c r="Q758">
        <v>5</v>
      </c>
      <c r="R758" t="s">
        <v>1167</v>
      </c>
    </row>
    <row r="759" spans="1:18" x14ac:dyDescent="0.3">
      <c r="A759" s="2">
        <v>45700</v>
      </c>
      <c r="B759" t="s">
        <v>768</v>
      </c>
      <c r="C759" t="s">
        <v>1125</v>
      </c>
      <c r="D759" t="s">
        <v>1133</v>
      </c>
      <c r="E759" t="s">
        <v>1141</v>
      </c>
      <c r="F759" t="s">
        <v>1151</v>
      </c>
      <c r="G759" t="s">
        <v>1155</v>
      </c>
      <c r="H759">
        <v>4</v>
      </c>
      <c r="I759">
        <v>1864</v>
      </c>
      <c r="J759">
        <v>20</v>
      </c>
      <c r="K759">
        <v>1491.2</v>
      </c>
      <c r="L759">
        <v>5964.8</v>
      </c>
      <c r="M759">
        <v>1000</v>
      </c>
      <c r="N759" t="s">
        <v>1160</v>
      </c>
      <c r="O759" t="s">
        <v>1163</v>
      </c>
      <c r="Q759">
        <v>4</v>
      </c>
    </row>
    <row r="760" spans="1:18" x14ac:dyDescent="0.3">
      <c r="A760" s="2">
        <v>45803</v>
      </c>
      <c r="B760" t="s">
        <v>769</v>
      </c>
      <c r="C760" t="s">
        <v>1132</v>
      </c>
      <c r="D760" t="s">
        <v>1134</v>
      </c>
      <c r="E760" t="s">
        <v>1145</v>
      </c>
      <c r="F760" t="s">
        <v>1149</v>
      </c>
      <c r="G760" t="s">
        <v>1153</v>
      </c>
      <c r="H760">
        <v>3</v>
      </c>
      <c r="I760">
        <v>10244</v>
      </c>
      <c r="J760">
        <v>0</v>
      </c>
      <c r="K760">
        <v>10244</v>
      </c>
      <c r="L760">
        <v>30732</v>
      </c>
      <c r="M760">
        <v>2000</v>
      </c>
      <c r="N760" t="s">
        <v>1159</v>
      </c>
      <c r="O760" t="s">
        <v>1162</v>
      </c>
      <c r="R760" t="s">
        <v>1167</v>
      </c>
    </row>
    <row r="761" spans="1:18" x14ac:dyDescent="0.3">
      <c r="A761" s="2">
        <v>45726</v>
      </c>
      <c r="B761" t="s">
        <v>770</v>
      </c>
      <c r="C761" t="s">
        <v>1124</v>
      </c>
      <c r="D761" t="s">
        <v>1135</v>
      </c>
      <c r="E761" t="s">
        <v>1140</v>
      </c>
      <c r="F761" t="s">
        <v>1150</v>
      </c>
      <c r="G761" t="s">
        <v>1154</v>
      </c>
      <c r="H761">
        <v>2</v>
      </c>
      <c r="I761">
        <v>62808</v>
      </c>
      <c r="J761">
        <v>10</v>
      </c>
      <c r="K761">
        <v>56527.199999999997</v>
      </c>
      <c r="L761">
        <v>113054.39999999999</v>
      </c>
      <c r="M761">
        <v>1500</v>
      </c>
      <c r="N761" t="s">
        <v>1160</v>
      </c>
      <c r="O761" t="s">
        <v>1163</v>
      </c>
      <c r="Q761">
        <v>4</v>
      </c>
      <c r="R761" t="s">
        <v>1168</v>
      </c>
    </row>
    <row r="762" spans="1:18" x14ac:dyDescent="0.3">
      <c r="A762" s="2">
        <v>45756</v>
      </c>
      <c r="B762" t="s">
        <v>771</v>
      </c>
      <c r="C762" t="s">
        <v>1132</v>
      </c>
      <c r="D762" t="s">
        <v>1134</v>
      </c>
      <c r="E762" t="s">
        <v>1140</v>
      </c>
      <c r="F762" t="s">
        <v>1150</v>
      </c>
      <c r="G762" t="s">
        <v>1154</v>
      </c>
      <c r="H762">
        <v>2</v>
      </c>
      <c r="I762">
        <v>24110</v>
      </c>
      <c r="J762">
        <v>5</v>
      </c>
      <c r="K762">
        <v>22904.5</v>
      </c>
      <c r="L762">
        <v>45809</v>
      </c>
      <c r="M762">
        <v>1500</v>
      </c>
      <c r="N762" t="s">
        <v>1159</v>
      </c>
      <c r="O762" t="s">
        <v>1164</v>
      </c>
      <c r="P762" s="2">
        <v>45762</v>
      </c>
      <c r="Q762">
        <v>1</v>
      </c>
      <c r="R762" t="s">
        <v>1166</v>
      </c>
    </row>
    <row r="763" spans="1:18" x14ac:dyDescent="0.3">
      <c r="A763" s="2">
        <v>45787</v>
      </c>
      <c r="B763" t="s">
        <v>772</v>
      </c>
      <c r="C763" t="s">
        <v>1127</v>
      </c>
      <c r="D763" t="s">
        <v>1134</v>
      </c>
      <c r="E763" t="s">
        <v>1148</v>
      </c>
      <c r="F763" t="s">
        <v>1149</v>
      </c>
      <c r="G763" t="s">
        <v>1152</v>
      </c>
      <c r="H763">
        <v>5</v>
      </c>
      <c r="I763">
        <v>53538</v>
      </c>
      <c r="J763">
        <v>10</v>
      </c>
      <c r="K763">
        <v>48184.2</v>
      </c>
      <c r="L763">
        <v>240921</v>
      </c>
      <c r="M763">
        <v>1000</v>
      </c>
      <c r="N763" t="s">
        <v>1160</v>
      </c>
      <c r="O763" t="s">
        <v>1162</v>
      </c>
      <c r="Q763">
        <v>2</v>
      </c>
      <c r="R763" t="s">
        <v>1169</v>
      </c>
    </row>
    <row r="764" spans="1:18" x14ac:dyDescent="0.3">
      <c r="A764" s="2">
        <v>45835</v>
      </c>
      <c r="B764" t="s">
        <v>773</v>
      </c>
      <c r="C764" t="s">
        <v>1119</v>
      </c>
      <c r="D764" t="s">
        <v>1134</v>
      </c>
      <c r="E764" t="s">
        <v>1137</v>
      </c>
      <c r="F764" t="s">
        <v>1149</v>
      </c>
      <c r="G764" t="s">
        <v>1152</v>
      </c>
      <c r="H764">
        <v>3</v>
      </c>
      <c r="I764">
        <v>24426</v>
      </c>
      <c r="J764">
        <v>5</v>
      </c>
      <c r="K764">
        <v>23204.7</v>
      </c>
      <c r="L764">
        <v>69614.100000000006</v>
      </c>
      <c r="M764">
        <v>2000</v>
      </c>
      <c r="N764" t="s">
        <v>1161</v>
      </c>
      <c r="O764" t="s">
        <v>1163</v>
      </c>
      <c r="Q764">
        <v>1</v>
      </c>
      <c r="R764" t="s">
        <v>1168</v>
      </c>
    </row>
    <row r="765" spans="1:18" x14ac:dyDescent="0.3">
      <c r="A765" s="2">
        <v>45678</v>
      </c>
      <c r="B765" t="s">
        <v>774</v>
      </c>
      <c r="C765" t="s">
        <v>1127</v>
      </c>
      <c r="D765" t="s">
        <v>1134</v>
      </c>
      <c r="E765" t="s">
        <v>1142</v>
      </c>
      <c r="F765" t="s">
        <v>1150</v>
      </c>
      <c r="G765" t="s">
        <v>1156</v>
      </c>
      <c r="H765">
        <v>1</v>
      </c>
      <c r="I765">
        <v>11885</v>
      </c>
      <c r="J765">
        <v>20</v>
      </c>
      <c r="K765">
        <v>9508</v>
      </c>
      <c r="L765">
        <v>9508</v>
      </c>
      <c r="M765">
        <v>1000</v>
      </c>
      <c r="N765" t="s">
        <v>1159</v>
      </c>
      <c r="O765" t="s">
        <v>1162</v>
      </c>
      <c r="Q765">
        <v>4</v>
      </c>
      <c r="R765" t="s">
        <v>1166</v>
      </c>
    </row>
    <row r="766" spans="1:18" x14ac:dyDescent="0.3">
      <c r="A766" s="2">
        <v>45670</v>
      </c>
      <c r="B766" t="s">
        <v>775</v>
      </c>
      <c r="C766" t="s">
        <v>1123</v>
      </c>
      <c r="D766" t="s">
        <v>1135</v>
      </c>
      <c r="E766" t="s">
        <v>1137</v>
      </c>
      <c r="F766" t="s">
        <v>1149</v>
      </c>
      <c r="G766" t="s">
        <v>1152</v>
      </c>
      <c r="H766">
        <v>1</v>
      </c>
      <c r="I766">
        <v>70653</v>
      </c>
      <c r="J766">
        <v>10</v>
      </c>
      <c r="K766">
        <v>63587.7</v>
      </c>
      <c r="L766">
        <v>63587.7</v>
      </c>
      <c r="M766">
        <v>2000</v>
      </c>
      <c r="N766" t="s">
        <v>1161</v>
      </c>
      <c r="O766" t="s">
        <v>1164</v>
      </c>
      <c r="P766" s="2">
        <v>45682</v>
      </c>
      <c r="Q766">
        <v>4</v>
      </c>
      <c r="R766" t="s">
        <v>1169</v>
      </c>
    </row>
    <row r="767" spans="1:18" x14ac:dyDescent="0.3">
      <c r="A767" s="2">
        <v>45734</v>
      </c>
      <c r="B767" t="s">
        <v>776</v>
      </c>
      <c r="C767" t="s">
        <v>1120</v>
      </c>
      <c r="D767" t="s">
        <v>1135</v>
      </c>
      <c r="E767" t="s">
        <v>1137</v>
      </c>
      <c r="F767" t="s">
        <v>1149</v>
      </c>
      <c r="G767" t="s">
        <v>1152</v>
      </c>
      <c r="H767">
        <v>5</v>
      </c>
      <c r="I767">
        <v>25691</v>
      </c>
      <c r="J767">
        <v>10</v>
      </c>
      <c r="K767">
        <v>23121.9</v>
      </c>
      <c r="L767">
        <v>115609.5</v>
      </c>
      <c r="M767">
        <v>1500</v>
      </c>
      <c r="N767" t="s">
        <v>1161</v>
      </c>
      <c r="O767" t="s">
        <v>1163</v>
      </c>
      <c r="Q767">
        <v>4</v>
      </c>
      <c r="R767" t="s">
        <v>1169</v>
      </c>
    </row>
    <row r="768" spans="1:18" x14ac:dyDescent="0.3">
      <c r="A768" s="2">
        <v>45700</v>
      </c>
      <c r="B768" t="s">
        <v>777</v>
      </c>
      <c r="C768" t="s">
        <v>1117</v>
      </c>
      <c r="D768" t="s">
        <v>1133</v>
      </c>
      <c r="E768" t="s">
        <v>1145</v>
      </c>
      <c r="F768" t="s">
        <v>1149</v>
      </c>
      <c r="G768" t="s">
        <v>1153</v>
      </c>
      <c r="H768">
        <v>4</v>
      </c>
      <c r="I768">
        <v>26701</v>
      </c>
      <c r="J768">
        <v>15</v>
      </c>
      <c r="K768">
        <v>22695.85</v>
      </c>
      <c r="L768">
        <v>90783.4</v>
      </c>
      <c r="M768">
        <v>1500</v>
      </c>
      <c r="N768" t="s">
        <v>1160</v>
      </c>
      <c r="O768" t="s">
        <v>1162</v>
      </c>
      <c r="Q768">
        <v>1</v>
      </c>
      <c r="R768" t="s">
        <v>1166</v>
      </c>
    </row>
    <row r="769" spans="1:18" x14ac:dyDescent="0.3">
      <c r="A769" s="2">
        <v>45775</v>
      </c>
      <c r="B769" t="s">
        <v>778</v>
      </c>
      <c r="C769" t="s">
        <v>1131</v>
      </c>
      <c r="D769" t="s">
        <v>1136</v>
      </c>
      <c r="E769" t="s">
        <v>1143</v>
      </c>
      <c r="F769" t="s">
        <v>1151</v>
      </c>
      <c r="G769" t="s">
        <v>1157</v>
      </c>
      <c r="H769">
        <v>4</v>
      </c>
      <c r="I769">
        <v>77104</v>
      </c>
      <c r="J769">
        <v>5</v>
      </c>
      <c r="K769">
        <v>73248.800000000003</v>
      </c>
      <c r="L769">
        <v>292995.20000000001</v>
      </c>
      <c r="M769">
        <v>1000</v>
      </c>
      <c r="N769" t="s">
        <v>1159</v>
      </c>
      <c r="O769" t="s">
        <v>1163</v>
      </c>
      <c r="Q769">
        <v>2</v>
      </c>
      <c r="R769" t="s">
        <v>1168</v>
      </c>
    </row>
    <row r="770" spans="1:18" x14ac:dyDescent="0.3">
      <c r="A770" s="2">
        <v>45713</v>
      </c>
      <c r="B770" t="s">
        <v>779</v>
      </c>
      <c r="C770" t="s">
        <v>1123</v>
      </c>
      <c r="D770" t="s">
        <v>1135</v>
      </c>
      <c r="E770" t="s">
        <v>1138</v>
      </c>
      <c r="F770" t="s">
        <v>1149</v>
      </c>
      <c r="G770" t="s">
        <v>1153</v>
      </c>
      <c r="H770">
        <v>4</v>
      </c>
      <c r="I770">
        <v>7258</v>
      </c>
      <c r="J770">
        <v>15</v>
      </c>
      <c r="K770">
        <v>6169.3</v>
      </c>
      <c r="L770">
        <v>24677.200000000001</v>
      </c>
      <c r="M770">
        <v>2000</v>
      </c>
      <c r="N770" t="s">
        <v>1161</v>
      </c>
      <c r="O770" t="s">
        <v>1162</v>
      </c>
      <c r="Q770">
        <v>4</v>
      </c>
      <c r="R770" t="s">
        <v>1167</v>
      </c>
    </row>
    <row r="771" spans="1:18" x14ac:dyDescent="0.3">
      <c r="A771" s="2">
        <v>45722</v>
      </c>
      <c r="B771" t="s">
        <v>780</v>
      </c>
      <c r="C771" t="s">
        <v>1124</v>
      </c>
      <c r="D771" t="s">
        <v>1135</v>
      </c>
      <c r="E771" t="s">
        <v>1140</v>
      </c>
      <c r="F771" t="s">
        <v>1150</v>
      </c>
      <c r="G771" t="s">
        <v>1154</v>
      </c>
      <c r="H771">
        <v>1</v>
      </c>
      <c r="I771">
        <v>27182</v>
      </c>
      <c r="J771">
        <v>5</v>
      </c>
      <c r="K771">
        <v>25822.9</v>
      </c>
      <c r="L771">
        <v>25822.9</v>
      </c>
      <c r="M771">
        <v>1000</v>
      </c>
      <c r="N771" t="s">
        <v>1161</v>
      </c>
      <c r="O771" t="s">
        <v>1162</v>
      </c>
      <c r="Q771">
        <v>4</v>
      </c>
    </row>
    <row r="772" spans="1:18" x14ac:dyDescent="0.3">
      <c r="A772" s="2">
        <v>45667</v>
      </c>
      <c r="B772" t="s">
        <v>781</v>
      </c>
      <c r="C772" t="s">
        <v>1128</v>
      </c>
      <c r="D772" t="s">
        <v>1135</v>
      </c>
      <c r="E772" t="s">
        <v>1139</v>
      </c>
      <c r="F772" t="s">
        <v>1150</v>
      </c>
      <c r="G772" t="s">
        <v>1154</v>
      </c>
      <c r="H772">
        <v>1</v>
      </c>
      <c r="I772">
        <v>26549</v>
      </c>
      <c r="J772">
        <v>20</v>
      </c>
      <c r="K772">
        <v>21239.200000000001</v>
      </c>
      <c r="L772">
        <v>21239.200000000001</v>
      </c>
      <c r="M772">
        <v>1500</v>
      </c>
      <c r="N772" t="s">
        <v>1160</v>
      </c>
      <c r="O772" t="s">
        <v>1162</v>
      </c>
      <c r="Q772">
        <v>5</v>
      </c>
      <c r="R772" t="s">
        <v>1168</v>
      </c>
    </row>
    <row r="773" spans="1:18" x14ac:dyDescent="0.3">
      <c r="A773" s="2">
        <v>45761</v>
      </c>
      <c r="B773" t="s">
        <v>782</v>
      </c>
      <c r="C773" t="s">
        <v>1123</v>
      </c>
      <c r="D773" t="s">
        <v>1135</v>
      </c>
      <c r="E773" t="s">
        <v>1145</v>
      </c>
      <c r="F773" t="s">
        <v>1149</v>
      </c>
      <c r="G773" t="s">
        <v>1153</v>
      </c>
      <c r="H773">
        <v>4</v>
      </c>
      <c r="I773">
        <v>8983</v>
      </c>
      <c r="J773">
        <v>0</v>
      </c>
      <c r="K773">
        <v>8983</v>
      </c>
      <c r="L773">
        <v>35932</v>
      </c>
      <c r="M773">
        <v>1000</v>
      </c>
      <c r="N773" t="s">
        <v>1160</v>
      </c>
      <c r="O773" t="s">
        <v>1163</v>
      </c>
      <c r="Q773">
        <v>3</v>
      </c>
      <c r="R773" t="s">
        <v>1168</v>
      </c>
    </row>
    <row r="774" spans="1:18" x14ac:dyDescent="0.3">
      <c r="A774" s="2">
        <v>45681</v>
      </c>
      <c r="B774" t="s">
        <v>783</v>
      </c>
      <c r="C774" t="s">
        <v>1131</v>
      </c>
      <c r="D774" t="s">
        <v>1136</v>
      </c>
      <c r="E774" t="s">
        <v>1145</v>
      </c>
      <c r="F774" t="s">
        <v>1149</v>
      </c>
      <c r="G774" t="s">
        <v>1153</v>
      </c>
      <c r="H774">
        <v>4</v>
      </c>
      <c r="I774">
        <v>34815</v>
      </c>
      <c r="J774">
        <v>15</v>
      </c>
      <c r="K774">
        <v>29592.75</v>
      </c>
      <c r="L774">
        <v>118371</v>
      </c>
      <c r="M774">
        <v>1500</v>
      </c>
      <c r="N774" t="s">
        <v>1159</v>
      </c>
      <c r="O774" t="s">
        <v>1163</v>
      </c>
      <c r="R774" t="s">
        <v>1169</v>
      </c>
    </row>
    <row r="775" spans="1:18" x14ac:dyDescent="0.3">
      <c r="A775" s="2">
        <v>45769</v>
      </c>
      <c r="B775" t="s">
        <v>784</v>
      </c>
      <c r="C775" t="s">
        <v>1130</v>
      </c>
      <c r="D775" t="s">
        <v>1136</v>
      </c>
      <c r="E775" t="s">
        <v>1141</v>
      </c>
      <c r="F775" t="s">
        <v>1151</v>
      </c>
      <c r="G775" t="s">
        <v>1155</v>
      </c>
      <c r="H775">
        <v>1</v>
      </c>
      <c r="I775">
        <v>51352</v>
      </c>
      <c r="J775">
        <v>20</v>
      </c>
      <c r="K775">
        <v>41081.599999999999</v>
      </c>
      <c r="L775">
        <v>41081.599999999999</v>
      </c>
      <c r="M775">
        <v>1000</v>
      </c>
      <c r="N775" t="s">
        <v>1160</v>
      </c>
      <c r="O775" t="s">
        <v>1162</v>
      </c>
      <c r="Q775">
        <v>1</v>
      </c>
      <c r="R775" t="s">
        <v>1170</v>
      </c>
    </row>
    <row r="776" spans="1:18" x14ac:dyDescent="0.3">
      <c r="A776" s="2">
        <v>45667</v>
      </c>
      <c r="B776" t="s">
        <v>785</v>
      </c>
      <c r="C776" t="s">
        <v>1131</v>
      </c>
      <c r="D776" t="s">
        <v>1136</v>
      </c>
      <c r="E776" t="s">
        <v>1140</v>
      </c>
      <c r="F776" t="s">
        <v>1150</v>
      </c>
      <c r="G776" t="s">
        <v>1154</v>
      </c>
      <c r="H776">
        <v>1</v>
      </c>
      <c r="I776">
        <v>12368</v>
      </c>
      <c r="J776">
        <v>15</v>
      </c>
      <c r="K776">
        <v>10512.8</v>
      </c>
      <c r="L776">
        <v>10512.8</v>
      </c>
      <c r="M776">
        <v>1500</v>
      </c>
      <c r="N776" t="s">
        <v>1161</v>
      </c>
      <c r="O776" t="s">
        <v>1162</v>
      </c>
      <c r="Q776">
        <v>4</v>
      </c>
      <c r="R776" t="s">
        <v>1169</v>
      </c>
    </row>
    <row r="777" spans="1:18" x14ac:dyDescent="0.3">
      <c r="A777" s="2">
        <v>45663</v>
      </c>
      <c r="B777" t="s">
        <v>786</v>
      </c>
      <c r="C777" t="s">
        <v>1125</v>
      </c>
      <c r="D777" t="s">
        <v>1133</v>
      </c>
      <c r="E777" t="s">
        <v>1146</v>
      </c>
      <c r="F777" t="s">
        <v>1151</v>
      </c>
      <c r="G777" t="s">
        <v>1155</v>
      </c>
      <c r="H777">
        <v>1</v>
      </c>
      <c r="I777">
        <v>46155</v>
      </c>
      <c r="J777">
        <v>5</v>
      </c>
      <c r="K777">
        <v>43847.25</v>
      </c>
      <c r="L777">
        <v>43847.25</v>
      </c>
      <c r="M777">
        <v>1000</v>
      </c>
      <c r="N777" t="s">
        <v>1160</v>
      </c>
      <c r="O777" t="s">
        <v>1163</v>
      </c>
      <c r="R777" t="s">
        <v>1167</v>
      </c>
    </row>
    <row r="778" spans="1:18" x14ac:dyDescent="0.3">
      <c r="A778" s="2">
        <v>45741</v>
      </c>
      <c r="B778" t="s">
        <v>787</v>
      </c>
      <c r="C778" t="s">
        <v>1126</v>
      </c>
      <c r="D778" t="s">
        <v>1133</v>
      </c>
      <c r="E778" t="s">
        <v>1147</v>
      </c>
      <c r="F778" t="s">
        <v>1150</v>
      </c>
      <c r="G778" t="s">
        <v>1156</v>
      </c>
      <c r="H778">
        <v>3</v>
      </c>
      <c r="I778">
        <v>64394</v>
      </c>
      <c r="J778">
        <v>10</v>
      </c>
      <c r="K778">
        <v>57954.6</v>
      </c>
      <c r="L778">
        <v>173863.8</v>
      </c>
      <c r="M778">
        <v>1000</v>
      </c>
      <c r="N778" t="s">
        <v>1161</v>
      </c>
      <c r="O778" t="s">
        <v>1164</v>
      </c>
      <c r="P778" s="2">
        <v>45755</v>
      </c>
    </row>
    <row r="779" spans="1:18" x14ac:dyDescent="0.3">
      <c r="A779" s="2">
        <v>45713</v>
      </c>
      <c r="B779" t="s">
        <v>788</v>
      </c>
      <c r="C779" t="s">
        <v>1124</v>
      </c>
      <c r="D779" t="s">
        <v>1135</v>
      </c>
      <c r="E779" t="s">
        <v>1141</v>
      </c>
      <c r="F779" t="s">
        <v>1151</v>
      </c>
      <c r="G779" t="s">
        <v>1155</v>
      </c>
      <c r="H779">
        <v>5</v>
      </c>
      <c r="I779">
        <v>7617</v>
      </c>
      <c r="J779">
        <v>15</v>
      </c>
      <c r="K779">
        <v>6474.45</v>
      </c>
      <c r="L779">
        <v>32372.25</v>
      </c>
      <c r="M779">
        <v>1500</v>
      </c>
      <c r="N779" t="s">
        <v>1160</v>
      </c>
      <c r="O779" t="s">
        <v>1163</v>
      </c>
    </row>
    <row r="780" spans="1:18" x14ac:dyDescent="0.3">
      <c r="A780" s="2">
        <v>45753</v>
      </c>
      <c r="B780" t="s">
        <v>789</v>
      </c>
      <c r="C780" t="s">
        <v>1120</v>
      </c>
      <c r="D780" t="s">
        <v>1135</v>
      </c>
      <c r="E780" t="s">
        <v>1145</v>
      </c>
      <c r="F780" t="s">
        <v>1149</v>
      </c>
      <c r="G780" t="s">
        <v>1153</v>
      </c>
      <c r="H780">
        <v>4</v>
      </c>
      <c r="I780">
        <v>32587</v>
      </c>
      <c r="J780">
        <v>10</v>
      </c>
      <c r="K780">
        <v>29328.3</v>
      </c>
      <c r="L780">
        <v>117313.2</v>
      </c>
      <c r="M780">
        <v>1000</v>
      </c>
      <c r="N780" t="s">
        <v>1159</v>
      </c>
      <c r="O780" t="s">
        <v>1163</v>
      </c>
      <c r="Q780">
        <v>4</v>
      </c>
      <c r="R780" t="s">
        <v>1168</v>
      </c>
    </row>
    <row r="781" spans="1:18" x14ac:dyDescent="0.3">
      <c r="A781" s="2">
        <v>45793</v>
      </c>
      <c r="B781" t="s">
        <v>790</v>
      </c>
      <c r="C781" t="s">
        <v>1121</v>
      </c>
      <c r="D781" t="s">
        <v>1136</v>
      </c>
      <c r="E781" t="s">
        <v>1139</v>
      </c>
      <c r="F781" t="s">
        <v>1150</v>
      </c>
      <c r="G781" t="s">
        <v>1154</v>
      </c>
      <c r="H781">
        <v>3</v>
      </c>
      <c r="I781">
        <v>45819</v>
      </c>
      <c r="J781">
        <v>15</v>
      </c>
      <c r="K781">
        <v>38946.15</v>
      </c>
      <c r="L781">
        <v>116838.45</v>
      </c>
      <c r="M781">
        <v>1000</v>
      </c>
      <c r="N781" t="s">
        <v>1161</v>
      </c>
      <c r="O781" t="s">
        <v>1163</v>
      </c>
      <c r="Q781">
        <v>3</v>
      </c>
      <c r="R781" t="s">
        <v>1169</v>
      </c>
    </row>
    <row r="782" spans="1:18" x14ac:dyDescent="0.3">
      <c r="A782" s="2">
        <v>45763</v>
      </c>
      <c r="B782" t="s">
        <v>791</v>
      </c>
      <c r="C782" t="s">
        <v>1123</v>
      </c>
      <c r="D782" t="s">
        <v>1135</v>
      </c>
      <c r="E782" t="s">
        <v>1137</v>
      </c>
      <c r="F782" t="s">
        <v>1149</v>
      </c>
      <c r="G782" t="s">
        <v>1152</v>
      </c>
      <c r="H782">
        <v>3</v>
      </c>
      <c r="I782">
        <v>38224</v>
      </c>
      <c r="J782">
        <v>20</v>
      </c>
      <c r="K782">
        <v>30579.200000000001</v>
      </c>
      <c r="L782">
        <v>91737.600000000006</v>
      </c>
      <c r="M782">
        <v>2000</v>
      </c>
      <c r="N782" t="s">
        <v>1159</v>
      </c>
      <c r="O782" t="s">
        <v>1164</v>
      </c>
      <c r="P782" s="2">
        <v>45770</v>
      </c>
      <c r="Q782">
        <v>5</v>
      </c>
      <c r="R782" t="s">
        <v>1170</v>
      </c>
    </row>
    <row r="783" spans="1:18" x14ac:dyDescent="0.3">
      <c r="A783" s="2">
        <v>45734</v>
      </c>
      <c r="B783" t="s">
        <v>792</v>
      </c>
      <c r="C783" t="s">
        <v>1125</v>
      </c>
      <c r="D783" t="s">
        <v>1133</v>
      </c>
      <c r="E783" t="s">
        <v>1145</v>
      </c>
      <c r="F783" t="s">
        <v>1149</v>
      </c>
      <c r="G783" t="s">
        <v>1153</v>
      </c>
      <c r="H783">
        <v>3</v>
      </c>
      <c r="I783">
        <v>66676</v>
      </c>
      <c r="J783">
        <v>5</v>
      </c>
      <c r="K783">
        <v>63342.2</v>
      </c>
      <c r="L783">
        <v>190026.6</v>
      </c>
      <c r="M783">
        <v>1000</v>
      </c>
      <c r="N783" t="s">
        <v>1159</v>
      </c>
      <c r="O783" t="s">
        <v>1162</v>
      </c>
      <c r="Q783">
        <v>1</v>
      </c>
      <c r="R783" t="s">
        <v>1167</v>
      </c>
    </row>
    <row r="784" spans="1:18" x14ac:dyDescent="0.3">
      <c r="A784" s="2">
        <v>45687</v>
      </c>
      <c r="B784" t="s">
        <v>793</v>
      </c>
      <c r="C784" t="s">
        <v>1122</v>
      </c>
      <c r="D784" t="s">
        <v>1136</v>
      </c>
      <c r="E784" t="s">
        <v>1144</v>
      </c>
      <c r="F784" t="s">
        <v>1151</v>
      </c>
      <c r="G784" t="s">
        <v>1157</v>
      </c>
      <c r="H784">
        <v>4</v>
      </c>
      <c r="I784">
        <v>76169</v>
      </c>
      <c r="J784">
        <v>15</v>
      </c>
      <c r="K784">
        <v>64743.65</v>
      </c>
      <c r="L784">
        <v>258974.6</v>
      </c>
      <c r="M784">
        <v>2000</v>
      </c>
      <c r="N784" t="s">
        <v>1161</v>
      </c>
      <c r="O784" t="s">
        <v>1162</v>
      </c>
      <c r="Q784">
        <v>5</v>
      </c>
      <c r="R784" t="s">
        <v>1168</v>
      </c>
    </row>
    <row r="785" spans="1:18" x14ac:dyDescent="0.3">
      <c r="A785" s="2">
        <v>45761</v>
      </c>
      <c r="B785" t="s">
        <v>794</v>
      </c>
      <c r="C785" t="s">
        <v>1121</v>
      </c>
      <c r="D785" t="s">
        <v>1136</v>
      </c>
      <c r="E785" t="s">
        <v>1148</v>
      </c>
      <c r="F785" t="s">
        <v>1149</v>
      </c>
      <c r="G785" t="s">
        <v>1152</v>
      </c>
      <c r="H785">
        <v>1</v>
      </c>
      <c r="I785">
        <v>72592</v>
      </c>
      <c r="J785">
        <v>10</v>
      </c>
      <c r="K785">
        <v>65332.800000000003</v>
      </c>
      <c r="L785">
        <v>65332.800000000003</v>
      </c>
      <c r="M785">
        <v>1000</v>
      </c>
      <c r="N785" t="s">
        <v>1161</v>
      </c>
      <c r="O785" t="s">
        <v>1162</v>
      </c>
      <c r="R785" t="s">
        <v>1169</v>
      </c>
    </row>
    <row r="786" spans="1:18" x14ac:dyDescent="0.3">
      <c r="A786" s="2">
        <v>45728</v>
      </c>
      <c r="B786" t="s">
        <v>795</v>
      </c>
      <c r="C786" t="s">
        <v>1127</v>
      </c>
      <c r="D786" t="s">
        <v>1134</v>
      </c>
      <c r="E786" t="s">
        <v>1145</v>
      </c>
      <c r="F786" t="s">
        <v>1149</v>
      </c>
      <c r="G786" t="s">
        <v>1153</v>
      </c>
      <c r="H786">
        <v>3</v>
      </c>
      <c r="I786">
        <v>42648</v>
      </c>
      <c r="J786">
        <v>5</v>
      </c>
      <c r="K786">
        <v>40515.599999999999</v>
      </c>
      <c r="L786">
        <v>121546.8</v>
      </c>
      <c r="M786">
        <v>1000</v>
      </c>
      <c r="N786" t="s">
        <v>1159</v>
      </c>
      <c r="O786" t="s">
        <v>1162</v>
      </c>
      <c r="Q786">
        <v>4</v>
      </c>
      <c r="R786" t="s">
        <v>1168</v>
      </c>
    </row>
    <row r="787" spans="1:18" x14ac:dyDescent="0.3">
      <c r="A787" s="2">
        <v>45682</v>
      </c>
      <c r="B787" t="s">
        <v>796</v>
      </c>
      <c r="C787" t="s">
        <v>1118</v>
      </c>
      <c r="D787" t="s">
        <v>1134</v>
      </c>
      <c r="E787" t="s">
        <v>1143</v>
      </c>
      <c r="F787" t="s">
        <v>1151</v>
      </c>
      <c r="G787" t="s">
        <v>1157</v>
      </c>
      <c r="H787">
        <v>2</v>
      </c>
      <c r="I787">
        <v>26680</v>
      </c>
      <c r="J787">
        <v>20</v>
      </c>
      <c r="K787">
        <v>21344</v>
      </c>
      <c r="L787">
        <v>42688</v>
      </c>
      <c r="M787">
        <v>1000</v>
      </c>
      <c r="N787" t="s">
        <v>1159</v>
      </c>
      <c r="O787" t="s">
        <v>1162</v>
      </c>
      <c r="Q787">
        <v>2</v>
      </c>
      <c r="R787" t="s">
        <v>1170</v>
      </c>
    </row>
    <row r="788" spans="1:18" x14ac:dyDescent="0.3">
      <c r="A788" s="2">
        <v>45690</v>
      </c>
      <c r="B788" t="s">
        <v>797</v>
      </c>
      <c r="C788" t="s">
        <v>1119</v>
      </c>
      <c r="D788" t="s">
        <v>1134</v>
      </c>
      <c r="E788" t="s">
        <v>1139</v>
      </c>
      <c r="F788" t="s">
        <v>1150</v>
      </c>
      <c r="G788" t="s">
        <v>1154</v>
      </c>
      <c r="H788">
        <v>3</v>
      </c>
      <c r="I788">
        <v>53210</v>
      </c>
      <c r="J788">
        <v>5</v>
      </c>
      <c r="K788">
        <v>50549.5</v>
      </c>
      <c r="L788">
        <v>151648.5</v>
      </c>
      <c r="M788">
        <v>1000</v>
      </c>
      <c r="N788" t="s">
        <v>1160</v>
      </c>
      <c r="O788" t="s">
        <v>1164</v>
      </c>
      <c r="P788" s="2">
        <v>45701</v>
      </c>
      <c r="Q788">
        <v>5</v>
      </c>
      <c r="R788" t="s">
        <v>1166</v>
      </c>
    </row>
    <row r="789" spans="1:18" x14ac:dyDescent="0.3">
      <c r="A789" s="2">
        <v>45767</v>
      </c>
      <c r="B789" t="s">
        <v>798</v>
      </c>
      <c r="C789" t="s">
        <v>1118</v>
      </c>
      <c r="D789" t="s">
        <v>1134</v>
      </c>
      <c r="E789" t="s">
        <v>1137</v>
      </c>
      <c r="F789" t="s">
        <v>1149</v>
      </c>
      <c r="G789" t="s">
        <v>1152</v>
      </c>
      <c r="H789">
        <v>2</v>
      </c>
      <c r="I789">
        <v>2332</v>
      </c>
      <c r="J789">
        <v>5</v>
      </c>
      <c r="K789">
        <v>2215.4</v>
      </c>
      <c r="L789">
        <v>4430.8</v>
      </c>
      <c r="M789">
        <v>1500</v>
      </c>
      <c r="N789" t="s">
        <v>1160</v>
      </c>
      <c r="O789" t="s">
        <v>1162</v>
      </c>
      <c r="Q789">
        <v>1</v>
      </c>
      <c r="R789" t="s">
        <v>1168</v>
      </c>
    </row>
    <row r="790" spans="1:18" x14ac:dyDescent="0.3">
      <c r="A790" s="2">
        <v>45721</v>
      </c>
      <c r="B790" t="s">
        <v>799</v>
      </c>
      <c r="C790" t="s">
        <v>1131</v>
      </c>
      <c r="D790" t="s">
        <v>1136</v>
      </c>
      <c r="E790" t="s">
        <v>1138</v>
      </c>
      <c r="F790" t="s">
        <v>1149</v>
      </c>
      <c r="G790" t="s">
        <v>1153</v>
      </c>
      <c r="H790">
        <v>2</v>
      </c>
      <c r="I790">
        <v>18453</v>
      </c>
      <c r="J790">
        <v>20</v>
      </c>
      <c r="K790">
        <v>14762.4</v>
      </c>
      <c r="L790">
        <v>29524.799999999999</v>
      </c>
      <c r="M790">
        <v>1000</v>
      </c>
      <c r="N790" t="s">
        <v>1160</v>
      </c>
      <c r="O790" t="s">
        <v>1163</v>
      </c>
      <c r="Q790">
        <v>2</v>
      </c>
    </row>
    <row r="791" spans="1:18" x14ac:dyDescent="0.3">
      <c r="A791" s="2">
        <v>45777</v>
      </c>
      <c r="B791" t="s">
        <v>800</v>
      </c>
      <c r="C791" t="s">
        <v>1117</v>
      </c>
      <c r="D791" t="s">
        <v>1133</v>
      </c>
      <c r="E791" t="s">
        <v>1142</v>
      </c>
      <c r="F791" t="s">
        <v>1150</v>
      </c>
      <c r="G791" t="s">
        <v>1156</v>
      </c>
      <c r="H791">
        <v>3</v>
      </c>
      <c r="I791">
        <v>36052</v>
      </c>
      <c r="J791">
        <v>10</v>
      </c>
      <c r="K791">
        <v>32446.799999999999</v>
      </c>
      <c r="L791">
        <v>97340.4</v>
      </c>
      <c r="M791">
        <v>2000</v>
      </c>
      <c r="N791" t="s">
        <v>1160</v>
      </c>
      <c r="O791" t="s">
        <v>1163</v>
      </c>
      <c r="R791" t="s">
        <v>1170</v>
      </c>
    </row>
    <row r="792" spans="1:18" x14ac:dyDescent="0.3">
      <c r="A792" s="2">
        <v>45768</v>
      </c>
      <c r="B792" t="s">
        <v>801</v>
      </c>
      <c r="C792" t="s">
        <v>1131</v>
      </c>
      <c r="D792" t="s">
        <v>1136</v>
      </c>
      <c r="E792" t="s">
        <v>1139</v>
      </c>
      <c r="F792" t="s">
        <v>1150</v>
      </c>
      <c r="G792" t="s">
        <v>1154</v>
      </c>
      <c r="H792">
        <v>4</v>
      </c>
      <c r="I792">
        <v>5561</v>
      </c>
      <c r="J792">
        <v>5</v>
      </c>
      <c r="K792">
        <v>5282.95</v>
      </c>
      <c r="L792">
        <v>21131.8</v>
      </c>
      <c r="M792">
        <v>2000</v>
      </c>
      <c r="N792" t="s">
        <v>1159</v>
      </c>
      <c r="O792" t="s">
        <v>1164</v>
      </c>
      <c r="P792" s="2">
        <v>45777</v>
      </c>
      <c r="Q792">
        <v>1</v>
      </c>
      <c r="R792" t="s">
        <v>1166</v>
      </c>
    </row>
    <row r="793" spans="1:18" x14ac:dyDescent="0.3">
      <c r="A793" s="2">
        <v>45767</v>
      </c>
      <c r="B793" t="s">
        <v>802</v>
      </c>
      <c r="C793" t="s">
        <v>1131</v>
      </c>
      <c r="D793" t="s">
        <v>1136</v>
      </c>
      <c r="E793" t="s">
        <v>1139</v>
      </c>
      <c r="F793" t="s">
        <v>1150</v>
      </c>
      <c r="G793" t="s">
        <v>1154</v>
      </c>
      <c r="H793">
        <v>4</v>
      </c>
      <c r="I793">
        <v>52361</v>
      </c>
      <c r="J793">
        <v>20</v>
      </c>
      <c r="K793">
        <v>41888.800000000003</v>
      </c>
      <c r="L793">
        <v>167555.20000000001</v>
      </c>
      <c r="M793">
        <v>1500</v>
      </c>
      <c r="N793" t="s">
        <v>1159</v>
      </c>
      <c r="O793" t="s">
        <v>1163</v>
      </c>
      <c r="Q793">
        <v>5</v>
      </c>
      <c r="R793" t="s">
        <v>1169</v>
      </c>
    </row>
    <row r="794" spans="1:18" x14ac:dyDescent="0.3">
      <c r="A794" s="2">
        <v>45765</v>
      </c>
      <c r="B794" t="s">
        <v>803</v>
      </c>
      <c r="C794" t="s">
        <v>1119</v>
      </c>
      <c r="D794" t="s">
        <v>1134</v>
      </c>
      <c r="E794" t="s">
        <v>1142</v>
      </c>
      <c r="F794" t="s">
        <v>1150</v>
      </c>
      <c r="G794" t="s">
        <v>1156</v>
      </c>
      <c r="H794">
        <v>2</v>
      </c>
      <c r="I794">
        <v>57239</v>
      </c>
      <c r="J794">
        <v>5</v>
      </c>
      <c r="K794">
        <v>54377.05</v>
      </c>
      <c r="L794">
        <v>108754.1</v>
      </c>
      <c r="M794">
        <v>2000</v>
      </c>
      <c r="N794" t="s">
        <v>1159</v>
      </c>
      <c r="O794" t="s">
        <v>1164</v>
      </c>
      <c r="P794" s="2">
        <v>45776</v>
      </c>
      <c r="Q794">
        <v>1</v>
      </c>
    </row>
    <row r="795" spans="1:18" x14ac:dyDescent="0.3">
      <c r="A795" s="2">
        <v>45674</v>
      </c>
      <c r="B795" t="s">
        <v>804</v>
      </c>
      <c r="C795" t="s">
        <v>1119</v>
      </c>
      <c r="D795" t="s">
        <v>1134</v>
      </c>
      <c r="E795" t="s">
        <v>1144</v>
      </c>
      <c r="F795" t="s">
        <v>1151</v>
      </c>
      <c r="G795" t="s">
        <v>1157</v>
      </c>
      <c r="H795">
        <v>3</v>
      </c>
      <c r="I795">
        <v>42104</v>
      </c>
      <c r="J795">
        <v>0</v>
      </c>
      <c r="K795">
        <v>42104</v>
      </c>
      <c r="L795">
        <v>126312</v>
      </c>
      <c r="M795">
        <v>1000</v>
      </c>
      <c r="N795" t="s">
        <v>1160</v>
      </c>
      <c r="O795" t="s">
        <v>1163</v>
      </c>
      <c r="Q795">
        <v>4</v>
      </c>
      <c r="R795" t="s">
        <v>1169</v>
      </c>
    </row>
    <row r="796" spans="1:18" x14ac:dyDescent="0.3">
      <c r="A796" s="2">
        <v>45749</v>
      </c>
      <c r="B796" t="s">
        <v>805</v>
      </c>
      <c r="C796" t="s">
        <v>1127</v>
      </c>
      <c r="D796" t="s">
        <v>1134</v>
      </c>
      <c r="E796" t="s">
        <v>1142</v>
      </c>
      <c r="F796" t="s">
        <v>1150</v>
      </c>
      <c r="G796" t="s">
        <v>1156</v>
      </c>
      <c r="H796">
        <v>3</v>
      </c>
      <c r="I796">
        <v>49425</v>
      </c>
      <c r="J796">
        <v>5</v>
      </c>
      <c r="K796">
        <v>46953.75</v>
      </c>
      <c r="L796">
        <v>140861.25</v>
      </c>
      <c r="M796">
        <v>2000</v>
      </c>
      <c r="N796" t="s">
        <v>1160</v>
      </c>
      <c r="O796" t="s">
        <v>1162</v>
      </c>
      <c r="Q796">
        <v>2</v>
      </c>
    </row>
    <row r="797" spans="1:18" x14ac:dyDescent="0.3">
      <c r="A797" s="2">
        <v>45836</v>
      </c>
      <c r="B797" t="s">
        <v>806</v>
      </c>
      <c r="C797" t="s">
        <v>1125</v>
      </c>
      <c r="D797" t="s">
        <v>1133</v>
      </c>
      <c r="E797" t="s">
        <v>1142</v>
      </c>
      <c r="F797" t="s">
        <v>1150</v>
      </c>
      <c r="G797" t="s">
        <v>1156</v>
      </c>
      <c r="H797">
        <v>5</v>
      </c>
      <c r="I797">
        <v>48980</v>
      </c>
      <c r="J797">
        <v>5</v>
      </c>
      <c r="K797">
        <v>46531</v>
      </c>
      <c r="L797">
        <v>232655</v>
      </c>
      <c r="M797">
        <v>1500</v>
      </c>
      <c r="N797" t="s">
        <v>1160</v>
      </c>
      <c r="O797" t="s">
        <v>1164</v>
      </c>
      <c r="P797" s="2">
        <v>45842</v>
      </c>
      <c r="Q797">
        <v>1</v>
      </c>
    </row>
    <row r="798" spans="1:18" x14ac:dyDescent="0.3">
      <c r="A798" s="2">
        <v>45658</v>
      </c>
      <c r="B798" t="s">
        <v>807</v>
      </c>
      <c r="C798" t="s">
        <v>1127</v>
      </c>
      <c r="D798" t="s">
        <v>1134</v>
      </c>
      <c r="E798" t="s">
        <v>1141</v>
      </c>
      <c r="F798" t="s">
        <v>1151</v>
      </c>
      <c r="G798" t="s">
        <v>1155</v>
      </c>
      <c r="H798">
        <v>3</v>
      </c>
      <c r="I798">
        <v>23196</v>
      </c>
      <c r="J798">
        <v>0</v>
      </c>
      <c r="K798">
        <v>23196</v>
      </c>
      <c r="L798">
        <v>69588</v>
      </c>
      <c r="M798">
        <v>1500</v>
      </c>
      <c r="N798" t="s">
        <v>1160</v>
      </c>
      <c r="O798" t="s">
        <v>1163</v>
      </c>
      <c r="Q798">
        <v>4</v>
      </c>
      <c r="R798" t="s">
        <v>1170</v>
      </c>
    </row>
    <row r="799" spans="1:18" x14ac:dyDescent="0.3">
      <c r="A799" s="2">
        <v>45666</v>
      </c>
      <c r="B799" t="s">
        <v>808</v>
      </c>
      <c r="C799" t="s">
        <v>1121</v>
      </c>
      <c r="D799" t="s">
        <v>1136</v>
      </c>
      <c r="E799" t="s">
        <v>1141</v>
      </c>
      <c r="F799" t="s">
        <v>1151</v>
      </c>
      <c r="G799" t="s">
        <v>1155</v>
      </c>
      <c r="H799">
        <v>1</v>
      </c>
      <c r="I799">
        <v>15708</v>
      </c>
      <c r="J799">
        <v>15</v>
      </c>
      <c r="K799">
        <v>13351.8</v>
      </c>
      <c r="L799">
        <v>13351.8</v>
      </c>
      <c r="M799">
        <v>1000</v>
      </c>
      <c r="N799" t="s">
        <v>1160</v>
      </c>
      <c r="O799" t="s">
        <v>1164</v>
      </c>
      <c r="P799" s="2">
        <v>45672</v>
      </c>
      <c r="Q799">
        <v>2</v>
      </c>
      <c r="R799" t="s">
        <v>1167</v>
      </c>
    </row>
    <row r="800" spans="1:18" x14ac:dyDescent="0.3">
      <c r="A800" s="2">
        <v>45738</v>
      </c>
      <c r="B800" t="s">
        <v>809</v>
      </c>
      <c r="C800" t="s">
        <v>1127</v>
      </c>
      <c r="D800" t="s">
        <v>1134</v>
      </c>
      <c r="E800" t="s">
        <v>1147</v>
      </c>
      <c r="F800" t="s">
        <v>1150</v>
      </c>
      <c r="G800" t="s">
        <v>1156</v>
      </c>
      <c r="H800">
        <v>3</v>
      </c>
      <c r="I800">
        <v>30076</v>
      </c>
      <c r="J800">
        <v>0</v>
      </c>
      <c r="K800">
        <v>30076</v>
      </c>
      <c r="L800">
        <v>90228</v>
      </c>
      <c r="M800">
        <v>2000</v>
      </c>
      <c r="N800" t="s">
        <v>1161</v>
      </c>
      <c r="O800" t="s">
        <v>1162</v>
      </c>
      <c r="Q800">
        <v>3</v>
      </c>
      <c r="R800" t="s">
        <v>1168</v>
      </c>
    </row>
    <row r="801" spans="1:18" x14ac:dyDescent="0.3">
      <c r="A801" s="2">
        <v>45822</v>
      </c>
      <c r="B801" t="s">
        <v>810</v>
      </c>
      <c r="C801" t="s">
        <v>1120</v>
      </c>
      <c r="D801" t="s">
        <v>1135</v>
      </c>
      <c r="E801" t="s">
        <v>1148</v>
      </c>
      <c r="F801" t="s">
        <v>1149</v>
      </c>
      <c r="G801" t="s">
        <v>1152</v>
      </c>
      <c r="H801">
        <v>5</v>
      </c>
      <c r="I801">
        <v>12290</v>
      </c>
      <c r="J801">
        <v>20</v>
      </c>
      <c r="K801">
        <v>9832</v>
      </c>
      <c r="L801">
        <v>49160</v>
      </c>
      <c r="M801">
        <v>1500</v>
      </c>
      <c r="N801" t="s">
        <v>1160</v>
      </c>
      <c r="O801" t="s">
        <v>1164</v>
      </c>
      <c r="P801" s="2">
        <v>45831</v>
      </c>
      <c r="Q801">
        <v>3</v>
      </c>
      <c r="R801" t="s">
        <v>1168</v>
      </c>
    </row>
    <row r="802" spans="1:18" x14ac:dyDescent="0.3">
      <c r="A802" s="2">
        <v>45681</v>
      </c>
      <c r="B802" t="s">
        <v>811</v>
      </c>
      <c r="C802" t="s">
        <v>1132</v>
      </c>
      <c r="D802" t="s">
        <v>1134</v>
      </c>
      <c r="E802" t="s">
        <v>1140</v>
      </c>
      <c r="F802" t="s">
        <v>1150</v>
      </c>
      <c r="G802" t="s">
        <v>1154</v>
      </c>
      <c r="H802">
        <v>4</v>
      </c>
      <c r="I802">
        <v>22346</v>
      </c>
      <c r="J802">
        <v>15</v>
      </c>
      <c r="K802">
        <v>18994.099999999999</v>
      </c>
      <c r="L802">
        <v>75976.399999999994</v>
      </c>
      <c r="M802">
        <v>1000</v>
      </c>
      <c r="N802" t="s">
        <v>1161</v>
      </c>
      <c r="O802" t="s">
        <v>1162</v>
      </c>
      <c r="Q802">
        <v>2</v>
      </c>
    </row>
    <row r="803" spans="1:18" x14ac:dyDescent="0.3">
      <c r="A803" s="2">
        <v>45794</v>
      </c>
      <c r="B803" t="s">
        <v>812</v>
      </c>
      <c r="C803" t="s">
        <v>1129</v>
      </c>
      <c r="D803" t="s">
        <v>1133</v>
      </c>
      <c r="E803" t="s">
        <v>1148</v>
      </c>
      <c r="F803" t="s">
        <v>1149</v>
      </c>
      <c r="G803" t="s">
        <v>1152</v>
      </c>
      <c r="H803">
        <v>5</v>
      </c>
      <c r="I803">
        <v>49551</v>
      </c>
      <c r="J803">
        <v>10</v>
      </c>
      <c r="K803">
        <v>44595.9</v>
      </c>
      <c r="L803">
        <v>222979.5</v>
      </c>
      <c r="M803">
        <v>1500</v>
      </c>
      <c r="N803" t="s">
        <v>1161</v>
      </c>
      <c r="O803" t="s">
        <v>1162</v>
      </c>
      <c r="Q803">
        <v>2</v>
      </c>
      <c r="R803" t="s">
        <v>1167</v>
      </c>
    </row>
    <row r="804" spans="1:18" x14ac:dyDescent="0.3">
      <c r="A804" s="2">
        <v>45811</v>
      </c>
      <c r="B804" t="s">
        <v>813</v>
      </c>
      <c r="C804" t="s">
        <v>1130</v>
      </c>
      <c r="D804" t="s">
        <v>1136</v>
      </c>
      <c r="E804" t="s">
        <v>1147</v>
      </c>
      <c r="F804" t="s">
        <v>1150</v>
      </c>
      <c r="G804" t="s">
        <v>1156</v>
      </c>
      <c r="H804">
        <v>2</v>
      </c>
      <c r="I804">
        <v>26702</v>
      </c>
      <c r="J804">
        <v>15</v>
      </c>
      <c r="K804">
        <v>22696.7</v>
      </c>
      <c r="L804">
        <v>45393.4</v>
      </c>
      <c r="M804">
        <v>1500</v>
      </c>
      <c r="N804" t="s">
        <v>1161</v>
      </c>
      <c r="O804" t="s">
        <v>1162</v>
      </c>
      <c r="Q804">
        <v>1</v>
      </c>
      <c r="R804" t="s">
        <v>1169</v>
      </c>
    </row>
    <row r="805" spans="1:18" x14ac:dyDescent="0.3">
      <c r="A805" s="2">
        <v>45784</v>
      </c>
      <c r="B805" t="s">
        <v>814</v>
      </c>
      <c r="C805" t="s">
        <v>1131</v>
      </c>
      <c r="D805" t="s">
        <v>1136</v>
      </c>
      <c r="E805" t="s">
        <v>1147</v>
      </c>
      <c r="F805" t="s">
        <v>1150</v>
      </c>
      <c r="G805" t="s">
        <v>1156</v>
      </c>
      <c r="H805">
        <v>5</v>
      </c>
      <c r="I805">
        <v>75306</v>
      </c>
      <c r="J805">
        <v>10</v>
      </c>
      <c r="K805">
        <v>67775.399999999994</v>
      </c>
      <c r="L805">
        <v>338877</v>
      </c>
      <c r="M805">
        <v>1000</v>
      </c>
      <c r="N805" t="s">
        <v>1161</v>
      </c>
      <c r="O805" t="s">
        <v>1164</v>
      </c>
      <c r="P805" s="2">
        <v>45791</v>
      </c>
      <c r="Q805">
        <v>5</v>
      </c>
      <c r="R805" t="s">
        <v>1166</v>
      </c>
    </row>
    <row r="806" spans="1:18" x14ac:dyDescent="0.3">
      <c r="A806" s="2">
        <v>45661</v>
      </c>
      <c r="B806" t="s">
        <v>815</v>
      </c>
      <c r="C806" t="s">
        <v>1122</v>
      </c>
      <c r="D806" t="s">
        <v>1136</v>
      </c>
      <c r="E806" t="s">
        <v>1142</v>
      </c>
      <c r="F806" t="s">
        <v>1150</v>
      </c>
      <c r="G806" t="s">
        <v>1156</v>
      </c>
      <c r="H806">
        <v>3</v>
      </c>
      <c r="I806">
        <v>33695</v>
      </c>
      <c r="J806" t="s">
        <v>1158</v>
      </c>
      <c r="K806">
        <v>32010.25</v>
      </c>
      <c r="L806">
        <v>96030.75</v>
      </c>
      <c r="M806">
        <v>2000</v>
      </c>
      <c r="N806" t="s">
        <v>1159</v>
      </c>
      <c r="O806" t="s">
        <v>1164</v>
      </c>
      <c r="P806" s="2">
        <v>45668</v>
      </c>
      <c r="Q806">
        <v>5</v>
      </c>
      <c r="R806" t="s">
        <v>1168</v>
      </c>
    </row>
    <row r="807" spans="1:18" x14ac:dyDescent="0.3">
      <c r="A807" s="2">
        <v>45837</v>
      </c>
      <c r="B807" t="s">
        <v>816</v>
      </c>
      <c r="C807" t="s">
        <v>1127</v>
      </c>
      <c r="D807" t="s">
        <v>1134</v>
      </c>
      <c r="E807" t="s">
        <v>1141</v>
      </c>
      <c r="F807" t="s">
        <v>1151</v>
      </c>
      <c r="G807" t="s">
        <v>1155</v>
      </c>
      <c r="H807">
        <v>5</v>
      </c>
      <c r="I807">
        <v>26414</v>
      </c>
      <c r="J807">
        <v>5</v>
      </c>
      <c r="K807">
        <v>25093.3</v>
      </c>
      <c r="L807">
        <v>125466.5</v>
      </c>
      <c r="M807">
        <v>1000</v>
      </c>
      <c r="N807" t="s">
        <v>1161</v>
      </c>
      <c r="O807" t="s">
        <v>1164</v>
      </c>
      <c r="P807" s="2">
        <v>45849</v>
      </c>
      <c r="Q807">
        <v>5</v>
      </c>
      <c r="R807" t="s">
        <v>1166</v>
      </c>
    </row>
    <row r="808" spans="1:18" x14ac:dyDescent="0.3">
      <c r="A808" s="2">
        <v>45673</v>
      </c>
      <c r="B808" t="s">
        <v>817</v>
      </c>
      <c r="C808" t="s">
        <v>1122</v>
      </c>
      <c r="D808" t="s">
        <v>1136</v>
      </c>
      <c r="E808" t="s">
        <v>1141</v>
      </c>
      <c r="F808" t="s">
        <v>1151</v>
      </c>
      <c r="G808" t="s">
        <v>1155</v>
      </c>
      <c r="H808">
        <v>2</v>
      </c>
      <c r="I808">
        <v>60098</v>
      </c>
      <c r="J808">
        <v>10</v>
      </c>
      <c r="K808">
        <v>54088.2</v>
      </c>
      <c r="L808">
        <v>108176.4</v>
      </c>
      <c r="M808">
        <v>1000</v>
      </c>
      <c r="N808" t="s">
        <v>1161</v>
      </c>
      <c r="O808" t="s">
        <v>1164</v>
      </c>
      <c r="P808" s="2">
        <v>45680</v>
      </c>
      <c r="Q808">
        <v>2</v>
      </c>
      <c r="R808" t="s">
        <v>1169</v>
      </c>
    </row>
    <row r="809" spans="1:18" x14ac:dyDescent="0.3">
      <c r="A809" s="2">
        <v>45739</v>
      </c>
      <c r="B809" t="s">
        <v>818</v>
      </c>
      <c r="C809" t="s">
        <v>1131</v>
      </c>
      <c r="D809" t="s">
        <v>1136</v>
      </c>
      <c r="E809" t="s">
        <v>1145</v>
      </c>
      <c r="F809" t="s">
        <v>1149</v>
      </c>
      <c r="G809" t="s">
        <v>1153</v>
      </c>
      <c r="H809">
        <v>3</v>
      </c>
      <c r="I809">
        <v>36979</v>
      </c>
      <c r="J809">
        <v>10</v>
      </c>
      <c r="K809">
        <v>33281.1</v>
      </c>
      <c r="L809">
        <v>99843.299999999988</v>
      </c>
      <c r="M809">
        <v>1500</v>
      </c>
      <c r="N809" t="s">
        <v>1161</v>
      </c>
      <c r="O809" t="s">
        <v>1162</v>
      </c>
      <c r="Q809">
        <v>4</v>
      </c>
      <c r="R809" t="s">
        <v>1169</v>
      </c>
    </row>
    <row r="810" spans="1:18" x14ac:dyDescent="0.3">
      <c r="A810" s="2">
        <v>45662</v>
      </c>
      <c r="B810" t="s">
        <v>819</v>
      </c>
      <c r="C810" t="s">
        <v>1126</v>
      </c>
      <c r="D810" t="s">
        <v>1133</v>
      </c>
      <c r="E810" t="s">
        <v>1141</v>
      </c>
      <c r="F810" t="s">
        <v>1151</v>
      </c>
      <c r="G810" t="s">
        <v>1155</v>
      </c>
      <c r="H810">
        <v>2</v>
      </c>
      <c r="I810">
        <v>41230</v>
      </c>
      <c r="J810">
        <v>5</v>
      </c>
      <c r="K810">
        <v>39168.5</v>
      </c>
      <c r="L810">
        <v>78337</v>
      </c>
      <c r="M810">
        <v>1000</v>
      </c>
      <c r="N810" t="s">
        <v>1161</v>
      </c>
      <c r="O810" t="s">
        <v>1163</v>
      </c>
      <c r="Q810">
        <v>2</v>
      </c>
      <c r="R810" t="s">
        <v>1166</v>
      </c>
    </row>
    <row r="811" spans="1:18" x14ac:dyDescent="0.3">
      <c r="A811" s="2">
        <v>45821</v>
      </c>
      <c r="B811" t="s">
        <v>820</v>
      </c>
      <c r="C811" t="s">
        <v>1120</v>
      </c>
      <c r="D811" t="s">
        <v>1135</v>
      </c>
      <c r="E811" t="s">
        <v>1140</v>
      </c>
      <c r="F811" t="s">
        <v>1150</v>
      </c>
      <c r="G811" t="s">
        <v>1154</v>
      </c>
      <c r="H811">
        <v>4</v>
      </c>
      <c r="I811">
        <v>15276</v>
      </c>
      <c r="J811">
        <v>5</v>
      </c>
      <c r="K811">
        <v>14512.2</v>
      </c>
      <c r="L811">
        <v>58048.800000000003</v>
      </c>
      <c r="M811">
        <v>1000</v>
      </c>
      <c r="N811" t="s">
        <v>1159</v>
      </c>
      <c r="O811" t="s">
        <v>1163</v>
      </c>
      <c r="Q811">
        <v>2</v>
      </c>
      <c r="R811" t="s">
        <v>1169</v>
      </c>
    </row>
    <row r="812" spans="1:18" x14ac:dyDescent="0.3">
      <c r="A812" s="2">
        <v>45732</v>
      </c>
      <c r="B812" t="s">
        <v>821</v>
      </c>
      <c r="C812" t="s">
        <v>1125</v>
      </c>
      <c r="D812" t="s">
        <v>1133</v>
      </c>
      <c r="E812" t="s">
        <v>1148</v>
      </c>
      <c r="F812" t="s">
        <v>1149</v>
      </c>
      <c r="G812" t="s">
        <v>1152</v>
      </c>
      <c r="H812">
        <v>2</v>
      </c>
      <c r="I812">
        <v>63329</v>
      </c>
      <c r="J812">
        <v>10</v>
      </c>
      <c r="K812">
        <v>56996.1</v>
      </c>
      <c r="L812">
        <v>113992.2</v>
      </c>
      <c r="M812">
        <v>1000</v>
      </c>
      <c r="N812" t="s">
        <v>1160</v>
      </c>
      <c r="O812" t="s">
        <v>1162</v>
      </c>
      <c r="Q812">
        <v>4</v>
      </c>
      <c r="R812" t="s">
        <v>1168</v>
      </c>
    </row>
    <row r="813" spans="1:18" x14ac:dyDescent="0.3">
      <c r="A813" s="2">
        <v>45714</v>
      </c>
      <c r="B813" t="s">
        <v>822</v>
      </c>
      <c r="C813" t="s">
        <v>1119</v>
      </c>
      <c r="D813" t="s">
        <v>1134</v>
      </c>
      <c r="E813" t="s">
        <v>1146</v>
      </c>
      <c r="F813" t="s">
        <v>1151</v>
      </c>
      <c r="G813" t="s">
        <v>1155</v>
      </c>
      <c r="H813">
        <v>5</v>
      </c>
      <c r="I813">
        <v>1630</v>
      </c>
      <c r="J813">
        <v>5</v>
      </c>
      <c r="K813">
        <v>1548.5</v>
      </c>
      <c r="L813">
        <v>7742.5</v>
      </c>
      <c r="M813">
        <v>2000</v>
      </c>
      <c r="N813" t="s">
        <v>1160</v>
      </c>
      <c r="O813" t="s">
        <v>1164</v>
      </c>
      <c r="P813" s="2">
        <v>45723</v>
      </c>
      <c r="Q813">
        <v>3</v>
      </c>
      <c r="R813" t="s">
        <v>1169</v>
      </c>
    </row>
    <row r="814" spans="1:18" x14ac:dyDescent="0.3">
      <c r="A814" s="2">
        <v>45754</v>
      </c>
      <c r="B814" t="s">
        <v>823</v>
      </c>
      <c r="C814" t="s">
        <v>1126</v>
      </c>
      <c r="D814" t="s">
        <v>1133</v>
      </c>
      <c r="E814" t="s">
        <v>1147</v>
      </c>
      <c r="F814" t="s">
        <v>1150</v>
      </c>
      <c r="G814" t="s">
        <v>1156</v>
      </c>
      <c r="H814">
        <v>1</v>
      </c>
      <c r="I814">
        <v>76093</v>
      </c>
      <c r="J814">
        <v>0</v>
      </c>
      <c r="K814">
        <v>76093</v>
      </c>
      <c r="L814">
        <v>76093</v>
      </c>
      <c r="M814">
        <v>1500</v>
      </c>
      <c r="N814" t="s">
        <v>1159</v>
      </c>
      <c r="O814" t="s">
        <v>1164</v>
      </c>
      <c r="P814" s="2">
        <v>45766</v>
      </c>
      <c r="Q814">
        <v>2</v>
      </c>
      <c r="R814" t="s">
        <v>1167</v>
      </c>
    </row>
    <row r="815" spans="1:18" x14ac:dyDescent="0.3">
      <c r="A815" s="2">
        <v>45673</v>
      </c>
      <c r="B815" t="s">
        <v>824</v>
      </c>
      <c r="C815" t="s">
        <v>1117</v>
      </c>
      <c r="D815" t="s">
        <v>1133</v>
      </c>
      <c r="E815" t="s">
        <v>1137</v>
      </c>
      <c r="F815" t="s">
        <v>1149</v>
      </c>
      <c r="G815" t="s">
        <v>1152</v>
      </c>
      <c r="H815">
        <v>5</v>
      </c>
      <c r="I815">
        <v>34977</v>
      </c>
      <c r="J815">
        <v>5</v>
      </c>
      <c r="K815">
        <v>33228.15</v>
      </c>
      <c r="L815">
        <v>166140.75</v>
      </c>
      <c r="M815">
        <v>1500</v>
      </c>
      <c r="N815" t="s">
        <v>1159</v>
      </c>
      <c r="O815" t="s">
        <v>1164</v>
      </c>
      <c r="P815" s="2">
        <v>45679</v>
      </c>
      <c r="Q815">
        <v>1</v>
      </c>
      <c r="R815" t="s">
        <v>1170</v>
      </c>
    </row>
    <row r="816" spans="1:18" x14ac:dyDescent="0.3">
      <c r="A816" s="2">
        <v>45759</v>
      </c>
      <c r="B816" t="s">
        <v>825</v>
      </c>
      <c r="C816" t="s">
        <v>1124</v>
      </c>
      <c r="D816" t="s">
        <v>1135</v>
      </c>
      <c r="E816" t="s">
        <v>1137</v>
      </c>
      <c r="F816" t="s">
        <v>1149</v>
      </c>
      <c r="G816" t="s">
        <v>1152</v>
      </c>
      <c r="H816">
        <v>3</v>
      </c>
      <c r="I816">
        <v>48428</v>
      </c>
      <c r="J816">
        <v>20</v>
      </c>
      <c r="K816">
        <v>38742.400000000001</v>
      </c>
      <c r="L816">
        <v>116227.2</v>
      </c>
      <c r="M816">
        <v>2000</v>
      </c>
      <c r="N816" t="s">
        <v>1160</v>
      </c>
      <c r="O816" t="s">
        <v>1163</v>
      </c>
      <c r="Q816">
        <v>4</v>
      </c>
      <c r="R816" t="s">
        <v>1167</v>
      </c>
    </row>
    <row r="817" spans="1:18" x14ac:dyDescent="0.3">
      <c r="A817" s="2">
        <v>45718</v>
      </c>
      <c r="B817" t="s">
        <v>826</v>
      </c>
      <c r="C817" t="s">
        <v>1118</v>
      </c>
      <c r="D817" t="s">
        <v>1134</v>
      </c>
      <c r="E817" t="s">
        <v>1138</v>
      </c>
      <c r="F817" t="s">
        <v>1149</v>
      </c>
      <c r="G817" t="s">
        <v>1153</v>
      </c>
      <c r="H817">
        <v>2</v>
      </c>
      <c r="I817">
        <v>71314</v>
      </c>
      <c r="J817">
        <v>15</v>
      </c>
      <c r="K817">
        <v>60616.9</v>
      </c>
      <c r="L817">
        <v>121233.8</v>
      </c>
      <c r="M817">
        <v>1000</v>
      </c>
      <c r="N817" t="s">
        <v>1161</v>
      </c>
      <c r="O817" t="s">
        <v>1163</v>
      </c>
      <c r="Q817">
        <v>2</v>
      </c>
      <c r="R817" t="s">
        <v>1167</v>
      </c>
    </row>
    <row r="818" spans="1:18" x14ac:dyDescent="0.3">
      <c r="A818" s="2">
        <v>45727</v>
      </c>
      <c r="B818" t="s">
        <v>827</v>
      </c>
      <c r="C818" t="s">
        <v>1128</v>
      </c>
      <c r="D818" t="s">
        <v>1135</v>
      </c>
      <c r="E818" t="s">
        <v>1137</v>
      </c>
      <c r="F818" t="s">
        <v>1149</v>
      </c>
      <c r="G818" t="s">
        <v>1152</v>
      </c>
      <c r="H818">
        <v>3</v>
      </c>
      <c r="I818">
        <v>29830</v>
      </c>
      <c r="J818">
        <v>10</v>
      </c>
      <c r="K818">
        <v>26847</v>
      </c>
      <c r="L818">
        <v>80541</v>
      </c>
      <c r="M818">
        <v>1500</v>
      </c>
      <c r="N818" t="s">
        <v>1159</v>
      </c>
      <c r="O818" t="s">
        <v>1164</v>
      </c>
      <c r="P818" s="2">
        <v>45732</v>
      </c>
      <c r="R818" t="s">
        <v>1170</v>
      </c>
    </row>
    <row r="819" spans="1:18" x14ac:dyDescent="0.3">
      <c r="A819" s="2">
        <v>45784</v>
      </c>
      <c r="B819" t="s">
        <v>828</v>
      </c>
      <c r="C819" t="s">
        <v>1132</v>
      </c>
      <c r="D819" t="s">
        <v>1134</v>
      </c>
      <c r="E819" t="s">
        <v>1143</v>
      </c>
      <c r="F819" t="s">
        <v>1151</v>
      </c>
      <c r="G819" t="s">
        <v>1157</v>
      </c>
      <c r="H819">
        <v>1</v>
      </c>
      <c r="I819">
        <v>16128</v>
      </c>
      <c r="J819">
        <v>10</v>
      </c>
      <c r="K819">
        <v>14515.2</v>
      </c>
      <c r="L819">
        <v>14515.2</v>
      </c>
      <c r="M819">
        <v>1500</v>
      </c>
      <c r="N819" t="s">
        <v>1159</v>
      </c>
      <c r="O819" t="s">
        <v>1163</v>
      </c>
      <c r="Q819">
        <v>5</v>
      </c>
      <c r="R819" t="s">
        <v>1170</v>
      </c>
    </row>
    <row r="820" spans="1:18" x14ac:dyDescent="0.3">
      <c r="A820" s="2">
        <v>45657</v>
      </c>
      <c r="B820" t="s">
        <v>829</v>
      </c>
      <c r="C820" t="s">
        <v>1132</v>
      </c>
      <c r="D820" t="s">
        <v>1134</v>
      </c>
      <c r="E820" t="s">
        <v>1144</v>
      </c>
      <c r="F820" t="s">
        <v>1151</v>
      </c>
      <c r="G820" t="s">
        <v>1157</v>
      </c>
      <c r="H820">
        <v>2</v>
      </c>
      <c r="I820">
        <v>45921</v>
      </c>
      <c r="J820">
        <v>0</v>
      </c>
      <c r="K820">
        <v>45921</v>
      </c>
      <c r="L820">
        <v>91842</v>
      </c>
      <c r="M820">
        <v>1500</v>
      </c>
      <c r="N820" t="s">
        <v>1160</v>
      </c>
      <c r="O820" t="s">
        <v>1162</v>
      </c>
      <c r="Q820">
        <v>4</v>
      </c>
      <c r="R820" t="s">
        <v>1170</v>
      </c>
    </row>
    <row r="821" spans="1:18" x14ac:dyDescent="0.3">
      <c r="A821" s="2">
        <v>45812</v>
      </c>
      <c r="B821" t="s">
        <v>830</v>
      </c>
      <c r="C821" t="s">
        <v>1131</v>
      </c>
      <c r="D821" t="s">
        <v>1136</v>
      </c>
      <c r="E821" t="s">
        <v>1141</v>
      </c>
      <c r="F821" t="s">
        <v>1151</v>
      </c>
      <c r="G821" t="s">
        <v>1155</v>
      </c>
      <c r="H821">
        <v>3</v>
      </c>
      <c r="I821">
        <v>2174</v>
      </c>
      <c r="J821">
        <v>20</v>
      </c>
      <c r="K821">
        <v>1739.2</v>
      </c>
      <c r="L821">
        <v>5217.6000000000004</v>
      </c>
      <c r="M821">
        <v>1000</v>
      </c>
      <c r="N821" t="s">
        <v>1160</v>
      </c>
      <c r="O821" t="s">
        <v>1164</v>
      </c>
      <c r="P821" s="2">
        <v>45823</v>
      </c>
      <c r="Q821">
        <v>1</v>
      </c>
      <c r="R821" t="s">
        <v>1169</v>
      </c>
    </row>
    <row r="822" spans="1:18" x14ac:dyDescent="0.3">
      <c r="A822" s="2">
        <v>45703</v>
      </c>
      <c r="B822" t="s">
        <v>831</v>
      </c>
      <c r="C822" t="s">
        <v>1129</v>
      </c>
      <c r="D822" t="s">
        <v>1133</v>
      </c>
      <c r="E822" t="s">
        <v>1145</v>
      </c>
      <c r="F822" t="s">
        <v>1149</v>
      </c>
      <c r="G822" t="s">
        <v>1153</v>
      </c>
      <c r="H822">
        <v>2</v>
      </c>
      <c r="I822">
        <v>35695</v>
      </c>
      <c r="J822">
        <v>20</v>
      </c>
      <c r="K822">
        <v>28556</v>
      </c>
      <c r="L822">
        <v>57112</v>
      </c>
      <c r="M822">
        <v>1500</v>
      </c>
      <c r="N822" t="s">
        <v>1160</v>
      </c>
      <c r="O822" t="s">
        <v>1164</v>
      </c>
      <c r="P822" s="2">
        <v>45709</v>
      </c>
      <c r="Q822">
        <v>2</v>
      </c>
      <c r="R822" t="s">
        <v>1170</v>
      </c>
    </row>
    <row r="823" spans="1:18" x14ac:dyDescent="0.3">
      <c r="A823" s="2">
        <v>45737</v>
      </c>
      <c r="B823" t="s">
        <v>832</v>
      </c>
      <c r="C823" t="s">
        <v>1126</v>
      </c>
      <c r="D823" t="s">
        <v>1133</v>
      </c>
      <c r="E823" t="s">
        <v>1147</v>
      </c>
      <c r="F823" t="s">
        <v>1150</v>
      </c>
      <c r="G823" t="s">
        <v>1156</v>
      </c>
      <c r="H823">
        <v>5</v>
      </c>
      <c r="I823">
        <v>72436</v>
      </c>
      <c r="J823">
        <v>5</v>
      </c>
      <c r="K823">
        <v>68814.2</v>
      </c>
      <c r="L823">
        <v>344071</v>
      </c>
      <c r="M823">
        <v>2000</v>
      </c>
      <c r="N823" t="s">
        <v>1161</v>
      </c>
      <c r="O823" t="s">
        <v>1163</v>
      </c>
      <c r="Q823">
        <v>3</v>
      </c>
      <c r="R823" t="s">
        <v>1167</v>
      </c>
    </row>
    <row r="824" spans="1:18" x14ac:dyDescent="0.3">
      <c r="A824" s="2">
        <v>45678</v>
      </c>
      <c r="B824" t="s">
        <v>833</v>
      </c>
      <c r="C824" t="s">
        <v>1120</v>
      </c>
      <c r="D824" t="s">
        <v>1135</v>
      </c>
      <c r="E824" t="s">
        <v>1139</v>
      </c>
      <c r="F824" t="s">
        <v>1150</v>
      </c>
      <c r="G824" t="s">
        <v>1154</v>
      </c>
      <c r="H824">
        <v>3</v>
      </c>
      <c r="I824">
        <v>4586</v>
      </c>
      <c r="J824">
        <v>10</v>
      </c>
      <c r="K824">
        <v>4127.3999999999996</v>
      </c>
      <c r="L824">
        <v>12382.2</v>
      </c>
      <c r="M824">
        <v>2000</v>
      </c>
      <c r="N824" t="s">
        <v>1159</v>
      </c>
      <c r="O824" t="s">
        <v>1162</v>
      </c>
      <c r="Q824">
        <v>1</v>
      </c>
      <c r="R824" t="s">
        <v>1167</v>
      </c>
    </row>
    <row r="825" spans="1:18" x14ac:dyDescent="0.3">
      <c r="A825" s="2">
        <v>45711</v>
      </c>
      <c r="B825" t="s">
        <v>834</v>
      </c>
      <c r="C825" t="s">
        <v>1120</v>
      </c>
      <c r="D825" t="s">
        <v>1135</v>
      </c>
      <c r="E825" t="s">
        <v>1145</v>
      </c>
      <c r="F825" t="s">
        <v>1149</v>
      </c>
      <c r="G825" t="s">
        <v>1153</v>
      </c>
      <c r="H825">
        <v>1</v>
      </c>
      <c r="I825">
        <v>30415</v>
      </c>
      <c r="J825" t="s">
        <v>1158</v>
      </c>
      <c r="K825">
        <v>27373.5</v>
      </c>
      <c r="L825">
        <v>27373.5</v>
      </c>
      <c r="M825">
        <v>1000</v>
      </c>
      <c r="N825" t="s">
        <v>1159</v>
      </c>
      <c r="O825" t="s">
        <v>1163</v>
      </c>
      <c r="Q825">
        <v>5</v>
      </c>
    </row>
    <row r="826" spans="1:18" x14ac:dyDescent="0.3">
      <c r="A826" s="2">
        <v>45694</v>
      </c>
      <c r="B826" t="s">
        <v>835</v>
      </c>
      <c r="C826" t="s">
        <v>1125</v>
      </c>
      <c r="D826" t="s">
        <v>1133</v>
      </c>
      <c r="E826" t="s">
        <v>1142</v>
      </c>
      <c r="F826" t="s">
        <v>1150</v>
      </c>
      <c r="G826" t="s">
        <v>1156</v>
      </c>
      <c r="H826">
        <v>2</v>
      </c>
      <c r="I826">
        <v>71130</v>
      </c>
      <c r="J826">
        <v>5</v>
      </c>
      <c r="K826">
        <v>67573.5</v>
      </c>
      <c r="L826">
        <v>135147</v>
      </c>
      <c r="M826">
        <v>2000</v>
      </c>
      <c r="N826" t="s">
        <v>1160</v>
      </c>
      <c r="O826" t="s">
        <v>1163</v>
      </c>
      <c r="Q826">
        <v>3</v>
      </c>
      <c r="R826" t="s">
        <v>1167</v>
      </c>
    </row>
    <row r="827" spans="1:18" x14ac:dyDescent="0.3">
      <c r="A827" s="2">
        <v>45816</v>
      </c>
      <c r="B827" t="s">
        <v>836</v>
      </c>
      <c r="C827" t="s">
        <v>1124</v>
      </c>
      <c r="D827" t="s">
        <v>1135</v>
      </c>
      <c r="E827" t="s">
        <v>1143</v>
      </c>
      <c r="F827" t="s">
        <v>1151</v>
      </c>
      <c r="G827" t="s">
        <v>1157</v>
      </c>
      <c r="H827">
        <v>5</v>
      </c>
      <c r="I827">
        <v>24783</v>
      </c>
      <c r="J827">
        <v>5</v>
      </c>
      <c r="K827">
        <v>23543.85</v>
      </c>
      <c r="L827">
        <v>117719.25</v>
      </c>
      <c r="M827">
        <v>2000</v>
      </c>
      <c r="N827" t="s">
        <v>1161</v>
      </c>
      <c r="O827" t="s">
        <v>1163</v>
      </c>
      <c r="Q827">
        <v>3</v>
      </c>
      <c r="R827" t="s">
        <v>1169</v>
      </c>
    </row>
    <row r="828" spans="1:18" x14ac:dyDescent="0.3">
      <c r="A828" s="2">
        <v>45731</v>
      </c>
      <c r="B828" t="s">
        <v>837</v>
      </c>
      <c r="C828" t="s">
        <v>1128</v>
      </c>
      <c r="D828" t="s">
        <v>1135</v>
      </c>
      <c r="E828" t="s">
        <v>1139</v>
      </c>
      <c r="F828" t="s">
        <v>1150</v>
      </c>
      <c r="G828" t="s">
        <v>1154</v>
      </c>
      <c r="H828">
        <v>2</v>
      </c>
      <c r="I828">
        <v>33973</v>
      </c>
      <c r="J828">
        <v>5</v>
      </c>
      <c r="K828">
        <v>32274.35</v>
      </c>
      <c r="L828">
        <v>64548.7</v>
      </c>
      <c r="M828">
        <v>1500</v>
      </c>
      <c r="N828" t="s">
        <v>1159</v>
      </c>
      <c r="O828" t="s">
        <v>1163</v>
      </c>
      <c r="Q828">
        <v>4</v>
      </c>
      <c r="R828" t="s">
        <v>1168</v>
      </c>
    </row>
    <row r="829" spans="1:18" x14ac:dyDescent="0.3">
      <c r="A829" s="2">
        <v>45833</v>
      </c>
      <c r="B829" t="s">
        <v>838</v>
      </c>
      <c r="C829" t="s">
        <v>1119</v>
      </c>
      <c r="D829" t="s">
        <v>1134</v>
      </c>
      <c r="E829" t="s">
        <v>1140</v>
      </c>
      <c r="F829" t="s">
        <v>1150</v>
      </c>
      <c r="G829" t="s">
        <v>1154</v>
      </c>
      <c r="H829">
        <v>3</v>
      </c>
      <c r="I829">
        <v>23847</v>
      </c>
      <c r="J829">
        <v>5</v>
      </c>
      <c r="K829">
        <v>22654.65</v>
      </c>
      <c r="L829">
        <v>67963.950000000012</v>
      </c>
      <c r="M829">
        <v>2000</v>
      </c>
      <c r="N829" t="s">
        <v>1161</v>
      </c>
      <c r="O829" t="s">
        <v>1163</v>
      </c>
      <c r="Q829">
        <v>3</v>
      </c>
      <c r="R829" t="s">
        <v>1167</v>
      </c>
    </row>
    <row r="830" spans="1:18" x14ac:dyDescent="0.3">
      <c r="A830" s="2">
        <v>45821</v>
      </c>
      <c r="B830" t="s">
        <v>839</v>
      </c>
      <c r="C830" t="s">
        <v>1122</v>
      </c>
      <c r="D830" t="s">
        <v>1136</v>
      </c>
      <c r="E830" t="s">
        <v>1147</v>
      </c>
      <c r="F830" t="s">
        <v>1150</v>
      </c>
      <c r="G830" t="s">
        <v>1156</v>
      </c>
      <c r="H830">
        <v>4</v>
      </c>
      <c r="I830">
        <v>66773</v>
      </c>
      <c r="J830">
        <v>10</v>
      </c>
      <c r="K830">
        <v>60095.7</v>
      </c>
      <c r="L830">
        <v>240382.8</v>
      </c>
      <c r="M830">
        <v>1500</v>
      </c>
      <c r="N830" t="s">
        <v>1161</v>
      </c>
      <c r="O830" t="s">
        <v>1162</v>
      </c>
      <c r="Q830">
        <v>1</v>
      </c>
      <c r="R830" t="s">
        <v>1168</v>
      </c>
    </row>
    <row r="831" spans="1:18" x14ac:dyDescent="0.3">
      <c r="A831" s="2">
        <v>45740</v>
      </c>
      <c r="B831" t="s">
        <v>840</v>
      </c>
      <c r="C831" t="s">
        <v>1126</v>
      </c>
      <c r="D831" t="s">
        <v>1133</v>
      </c>
      <c r="E831" t="s">
        <v>1138</v>
      </c>
      <c r="F831" t="s">
        <v>1149</v>
      </c>
      <c r="G831" t="s">
        <v>1153</v>
      </c>
      <c r="H831">
        <v>3</v>
      </c>
      <c r="I831">
        <v>52354</v>
      </c>
      <c r="J831">
        <v>0</v>
      </c>
      <c r="K831">
        <v>52354</v>
      </c>
      <c r="L831">
        <v>157062</v>
      </c>
      <c r="M831">
        <v>1000</v>
      </c>
      <c r="N831" t="s">
        <v>1159</v>
      </c>
      <c r="O831" t="s">
        <v>1164</v>
      </c>
      <c r="P831" s="2">
        <v>45747</v>
      </c>
      <c r="Q831">
        <v>2</v>
      </c>
      <c r="R831" t="s">
        <v>1170</v>
      </c>
    </row>
    <row r="832" spans="1:18" x14ac:dyDescent="0.3">
      <c r="A832" s="2">
        <v>45810</v>
      </c>
      <c r="B832" t="s">
        <v>841</v>
      </c>
      <c r="C832" t="s">
        <v>1131</v>
      </c>
      <c r="D832" t="s">
        <v>1136</v>
      </c>
      <c r="E832" t="s">
        <v>1146</v>
      </c>
      <c r="F832" t="s">
        <v>1151</v>
      </c>
      <c r="G832" t="s">
        <v>1155</v>
      </c>
      <c r="H832">
        <v>1</v>
      </c>
      <c r="I832">
        <v>52130</v>
      </c>
      <c r="J832">
        <v>5</v>
      </c>
      <c r="K832">
        <v>49523.5</v>
      </c>
      <c r="L832">
        <v>49523.5</v>
      </c>
      <c r="M832">
        <v>1000</v>
      </c>
      <c r="N832" t="s">
        <v>1160</v>
      </c>
      <c r="O832" t="s">
        <v>1163</v>
      </c>
      <c r="Q832">
        <v>5</v>
      </c>
      <c r="R832" t="s">
        <v>1170</v>
      </c>
    </row>
    <row r="833" spans="1:18" x14ac:dyDescent="0.3">
      <c r="A833" s="2">
        <v>45719</v>
      </c>
      <c r="B833" t="s">
        <v>842</v>
      </c>
      <c r="C833" t="s">
        <v>1123</v>
      </c>
      <c r="D833" t="s">
        <v>1135</v>
      </c>
      <c r="E833" t="s">
        <v>1140</v>
      </c>
      <c r="F833" t="s">
        <v>1150</v>
      </c>
      <c r="G833" t="s">
        <v>1154</v>
      </c>
      <c r="H833">
        <v>3</v>
      </c>
      <c r="I833">
        <v>38318</v>
      </c>
      <c r="J833">
        <v>5</v>
      </c>
      <c r="K833">
        <v>36402.1</v>
      </c>
      <c r="L833">
        <v>109206.3</v>
      </c>
      <c r="M833">
        <v>2000</v>
      </c>
      <c r="N833" t="s">
        <v>1160</v>
      </c>
      <c r="O833" t="s">
        <v>1162</v>
      </c>
      <c r="Q833">
        <v>2</v>
      </c>
      <c r="R833" t="s">
        <v>1168</v>
      </c>
    </row>
    <row r="834" spans="1:18" x14ac:dyDescent="0.3">
      <c r="A834" s="2">
        <v>45745</v>
      </c>
      <c r="B834" t="s">
        <v>843</v>
      </c>
      <c r="C834" t="s">
        <v>1125</v>
      </c>
      <c r="D834" t="s">
        <v>1133</v>
      </c>
      <c r="E834" t="s">
        <v>1141</v>
      </c>
      <c r="F834" t="s">
        <v>1151</v>
      </c>
      <c r="G834" t="s">
        <v>1155</v>
      </c>
      <c r="H834">
        <v>3</v>
      </c>
      <c r="I834">
        <v>40518</v>
      </c>
      <c r="J834" t="s">
        <v>1158</v>
      </c>
      <c r="K834">
        <v>34440.300000000003</v>
      </c>
      <c r="L834">
        <v>103320.9</v>
      </c>
      <c r="M834">
        <v>1000</v>
      </c>
      <c r="N834" t="s">
        <v>1159</v>
      </c>
      <c r="O834" t="s">
        <v>1164</v>
      </c>
      <c r="P834" s="2">
        <v>45751</v>
      </c>
      <c r="Q834">
        <v>1</v>
      </c>
      <c r="R834" t="s">
        <v>1167</v>
      </c>
    </row>
    <row r="835" spans="1:18" x14ac:dyDescent="0.3">
      <c r="A835" s="2">
        <v>45691</v>
      </c>
      <c r="B835" t="s">
        <v>844</v>
      </c>
      <c r="C835" t="s">
        <v>1123</v>
      </c>
      <c r="D835" t="s">
        <v>1135</v>
      </c>
      <c r="E835" t="s">
        <v>1145</v>
      </c>
      <c r="F835" t="s">
        <v>1149</v>
      </c>
      <c r="G835" t="s">
        <v>1153</v>
      </c>
      <c r="H835">
        <v>3</v>
      </c>
      <c r="I835">
        <v>2587</v>
      </c>
      <c r="J835">
        <v>20</v>
      </c>
      <c r="K835">
        <v>2069.6</v>
      </c>
      <c r="L835">
        <v>6208.7999999999993</v>
      </c>
      <c r="M835">
        <v>1500</v>
      </c>
      <c r="N835" t="s">
        <v>1159</v>
      </c>
      <c r="O835" t="s">
        <v>1163</v>
      </c>
      <c r="Q835">
        <v>1</v>
      </c>
      <c r="R835" t="s">
        <v>1168</v>
      </c>
    </row>
    <row r="836" spans="1:18" x14ac:dyDescent="0.3">
      <c r="A836" s="2">
        <v>45788</v>
      </c>
      <c r="B836" t="s">
        <v>845</v>
      </c>
      <c r="C836" t="s">
        <v>1127</v>
      </c>
      <c r="D836" t="s">
        <v>1134</v>
      </c>
      <c r="E836" t="s">
        <v>1137</v>
      </c>
      <c r="F836" t="s">
        <v>1149</v>
      </c>
      <c r="G836" t="s">
        <v>1152</v>
      </c>
      <c r="H836">
        <v>2</v>
      </c>
      <c r="I836">
        <v>23765</v>
      </c>
      <c r="J836">
        <v>0</v>
      </c>
      <c r="K836">
        <v>23765</v>
      </c>
      <c r="L836">
        <v>47530</v>
      </c>
      <c r="M836">
        <v>2000</v>
      </c>
      <c r="N836" t="s">
        <v>1159</v>
      </c>
      <c r="O836" t="s">
        <v>1163</v>
      </c>
      <c r="Q836">
        <v>4</v>
      </c>
      <c r="R836" t="s">
        <v>1170</v>
      </c>
    </row>
    <row r="837" spans="1:18" x14ac:dyDescent="0.3">
      <c r="A837" s="2">
        <v>45754</v>
      </c>
      <c r="B837" t="s">
        <v>846</v>
      </c>
      <c r="C837" t="s">
        <v>1129</v>
      </c>
      <c r="D837" t="s">
        <v>1133</v>
      </c>
      <c r="E837" t="s">
        <v>1145</v>
      </c>
      <c r="F837" t="s">
        <v>1149</v>
      </c>
      <c r="G837" t="s">
        <v>1153</v>
      </c>
      <c r="H837">
        <v>1</v>
      </c>
      <c r="I837">
        <v>53963</v>
      </c>
      <c r="J837">
        <v>5</v>
      </c>
      <c r="K837">
        <v>51264.85</v>
      </c>
      <c r="L837">
        <v>51264.85</v>
      </c>
      <c r="M837">
        <v>1000</v>
      </c>
      <c r="N837" t="s">
        <v>1160</v>
      </c>
      <c r="O837" t="s">
        <v>1164</v>
      </c>
      <c r="P837" s="2">
        <v>45762</v>
      </c>
      <c r="Q837">
        <v>1</v>
      </c>
    </row>
    <row r="838" spans="1:18" x14ac:dyDescent="0.3">
      <c r="A838" s="2">
        <v>45690</v>
      </c>
      <c r="B838" t="s">
        <v>847</v>
      </c>
      <c r="C838" t="s">
        <v>1121</v>
      </c>
      <c r="D838" t="s">
        <v>1136</v>
      </c>
      <c r="E838" t="s">
        <v>1145</v>
      </c>
      <c r="F838" t="s">
        <v>1149</v>
      </c>
      <c r="G838" t="s">
        <v>1153</v>
      </c>
      <c r="H838">
        <v>4</v>
      </c>
      <c r="I838">
        <v>29396</v>
      </c>
      <c r="J838">
        <v>10</v>
      </c>
      <c r="K838">
        <v>26456.400000000001</v>
      </c>
      <c r="L838">
        <v>105825.60000000001</v>
      </c>
      <c r="M838">
        <v>2000</v>
      </c>
      <c r="N838" t="s">
        <v>1160</v>
      </c>
      <c r="O838" t="s">
        <v>1163</v>
      </c>
      <c r="Q838">
        <v>1</v>
      </c>
      <c r="R838" t="s">
        <v>1168</v>
      </c>
    </row>
    <row r="839" spans="1:18" x14ac:dyDescent="0.3">
      <c r="A839" s="2">
        <v>45743</v>
      </c>
      <c r="B839" t="s">
        <v>848</v>
      </c>
      <c r="C839" t="s">
        <v>1126</v>
      </c>
      <c r="D839" t="s">
        <v>1133</v>
      </c>
      <c r="E839" t="s">
        <v>1143</v>
      </c>
      <c r="F839" t="s">
        <v>1151</v>
      </c>
      <c r="G839" t="s">
        <v>1157</v>
      </c>
      <c r="H839">
        <v>5</v>
      </c>
      <c r="I839">
        <v>46492</v>
      </c>
      <c r="J839">
        <v>10</v>
      </c>
      <c r="K839">
        <v>41842.800000000003</v>
      </c>
      <c r="L839">
        <v>209214</v>
      </c>
      <c r="M839">
        <v>1500</v>
      </c>
      <c r="N839" t="s">
        <v>1161</v>
      </c>
      <c r="O839" t="s">
        <v>1162</v>
      </c>
      <c r="Q839">
        <v>1</v>
      </c>
      <c r="R839" t="s">
        <v>1169</v>
      </c>
    </row>
    <row r="840" spans="1:18" x14ac:dyDescent="0.3">
      <c r="A840" s="2">
        <v>45687</v>
      </c>
      <c r="B840" t="s">
        <v>849</v>
      </c>
      <c r="C840" t="s">
        <v>1127</v>
      </c>
      <c r="D840" t="s">
        <v>1134</v>
      </c>
      <c r="E840" t="s">
        <v>1138</v>
      </c>
      <c r="F840" t="s">
        <v>1149</v>
      </c>
      <c r="G840" t="s">
        <v>1153</v>
      </c>
      <c r="H840">
        <v>2</v>
      </c>
      <c r="I840">
        <v>59269</v>
      </c>
      <c r="J840">
        <v>15</v>
      </c>
      <c r="K840">
        <v>50378.65</v>
      </c>
      <c r="L840">
        <v>100757.3</v>
      </c>
      <c r="M840">
        <v>1500</v>
      </c>
      <c r="N840" t="s">
        <v>1159</v>
      </c>
      <c r="O840" t="s">
        <v>1164</v>
      </c>
      <c r="P840" s="2">
        <v>45699</v>
      </c>
      <c r="Q840">
        <v>5</v>
      </c>
      <c r="R840" t="s">
        <v>1169</v>
      </c>
    </row>
    <row r="841" spans="1:18" x14ac:dyDescent="0.3">
      <c r="A841" s="2">
        <v>45676</v>
      </c>
      <c r="B841" t="s">
        <v>850</v>
      </c>
      <c r="C841" t="s">
        <v>1119</v>
      </c>
      <c r="D841" t="s">
        <v>1134</v>
      </c>
      <c r="E841" t="s">
        <v>1147</v>
      </c>
      <c r="F841" t="s">
        <v>1150</v>
      </c>
      <c r="G841" t="s">
        <v>1156</v>
      </c>
      <c r="H841">
        <v>5</v>
      </c>
      <c r="I841">
        <v>16089</v>
      </c>
      <c r="J841">
        <v>10</v>
      </c>
      <c r="K841">
        <v>14480.1</v>
      </c>
      <c r="L841">
        <v>72400.5</v>
      </c>
      <c r="M841">
        <v>1000</v>
      </c>
      <c r="N841" t="s">
        <v>1160</v>
      </c>
      <c r="O841" t="s">
        <v>1164</v>
      </c>
      <c r="P841" s="2">
        <v>45683</v>
      </c>
      <c r="Q841">
        <v>4</v>
      </c>
      <c r="R841" t="s">
        <v>1170</v>
      </c>
    </row>
    <row r="842" spans="1:18" x14ac:dyDescent="0.3">
      <c r="A842" s="2">
        <v>45761</v>
      </c>
      <c r="B842" t="s">
        <v>851</v>
      </c>
      <c r="C842" t="s">
        <v>1132</v>
      </c>
      <c r="D842" t="s">
        <v>1134</v>
      </c>
      <c r="E842" t="s">
        <v>1139</v>
      </c>
      <c r="F842" t="s">
        <v>1150</v>
      </c>
      <c r="G842" t="s">
        <v>1154</v>
      </c>
      <c r="H842">
        <v>5</v>
      </c>
      <c r="I842">
        <v>36181</v>
      </c>
      <c r="J842">
        <v>0</v>
      </c>
      <c r="K842">
        <v>36181</v>
      </c>
      <c r="L842">
        <v>180905</v>
      </c>
      <c r="M842">
        <v>1000</v>
      </c>
      <c r="N842" t="s">
        <v>1161</v>
      </c>
      <c r="O842" t="s">
        <v>1162</v>
      </c>
      <c r="R842" t="s">
        <v>1166</v>
      </c>
    </row>
    <row r="843" spans="1:18" x14ac:dyDescent="0.3">
      <c r="A843" s="2">
        <v>45791</v>
      </c>
      <c r="B843" t="s">
        <v>852</v>
      </c>
      <c r="C843" t="s">
        <v>1124</v>
      </c>
      <c r="D843" t="s">
        <v>1135</v>
      </c>
      <c r="E843" t="s">
        <v>1143</v>
      </c>
      <c r="F843" t="s">
        <v>1151</v>
      </c>
      <c r="G843" t="s">
        <v>1157</v>
      </c>
      <c r="H843">
        <v>2</v>
      </c>
      <c r="I843">
        <v>5102</v>
      </c>
      <c r="J843">
        <v>5</v>
      </c>
      <c r="K843">
        <v>4846.8999999999996</v>
      </c>
      <c r="L843">
        <v>9693.7999999999993</v>
      </c>
      <c r="M843">
        <v>1500</v>
      </c>
      <c r="N843" t="s">
        <v>1160</v>
      </c>
      <c r="O843" t="s">
        <v>1164</v>
      </c>
      <c r="P843" s="2">
        <v>45799</v>
      </c>
      <c r="Q843">
        <v>5</v>
      </c>
    </row>
    <row r="844" spans="1:18" x14ac:dyDescent="0.3">
      <c r="A844" s="2">
        <v>45703</v>
      </c>
      <c r="B844" t="s">
        <v>853</v>
      </c>
      <c r="C844" t="s">
        <v>1128</v>
      </c>
      <c r="D844" t="s">
        <v>1135</v>
      </c>
      <c r="E844" t="s">
        <v>1141</v>
      </c>
      <c r="F844" t="s">
        <v>1151</v>
      </c>
      <c r="G844" t="s">
        <v>1155</v>
      </c>
      <c r="H844">
        <v>1</v>
      </c>
      <c r="I844">
        <v>50937</v>
      </c>
      <c r="J844">
        <v>15</v>
      </c>
      <c r="K844">
        <v>43296.45</v>
      </c>
      <c r="L844">
        <v>43296.45</v>
      </c>
      <c r="M844">
        <v>2000</v>
      </c>
      <c r="N844" t="s">
        <v>1161</v>
      </c>
      <c r="O844" t="s">
        <v>1163</v>
      </c>
      <c r="Q844">
        <v>5</v>
      </c>
    </row>
    <row r="845" spans="1:18" x14ac:dyDescent="0.3">
      <c r="A845" s="2">
        <v>45706</v>
      </c>
      <c r="B845" t="s">
        <v>854</v>
      </c>
      <c r="C845" t="s">
        <v>1124</v>
      </c>
      <c r="D845" t="s">
        <v>1135</v>
      </c>
      <c r="E845" t="s">
        <v>1144</v>
      </c>
      <c r="F845" t="s">
        <v>1151</v>
      </c>
      <c r="G845" t="s">
        <v>1157</v>
      </c>
      <c r="H845">
        <v>2</v>
      </c>
      <c r="I845">
        <v>16095</v>
      </c>
      <c r="J845">
        <v>20</v>
      </c>
      <c r="K845">
        <v>12876</v>
      </c>
      <c r="L845">
        <v>25752</v>
      </c>
      <c r="M845">
        <v>1000</v>
      </c>
      <c r="N845" t="s">
        <v>1159</v>
      </c>
      <c r="O845" t="s">
        <v>1162</v>
      </c>
      <c r="R845" t="s">
        <v>1170</v>
      </c>
    </row>
    <row r="846" spans="1:18" x14ac:dyDescent="0.3">
      <c r="A846" s="2">
        <v>45717</v>
      </c>
      <c r="B846" t="s">
        <v>855</v>
      </c>
      <c r="C846" t="s">
        <v>1127</v>
      </c>
      <c r="D846" t="s">
        <v>1134</v>
      </c>
      <c r="E846" t="s">
        <v>1146</v>
      </c>
      <c r="F846" t="s">
        <v>1151</v>
      </c>
      <c r="G846" t="s">
        <v>1155</v>
      </c>
      <c r="H846">
        <v>2</v>
      </c>
      <c r="I846">
        <v>76934</v>
      </c>
      <c r="J846">
        <v>20</v>
      </c>
      <c r="K846">
        <v>61547.199999999997</v>
      </c>
      <c r="L846">
        <v>123094.39999999999</v>
      </c>
      <c r="M846">
        <v>1500</v>
      </c>
      <c r="N846" t="s">
        <v>1160</v>
      </c>
      <c r="O846" t="s">
        <v>1163</v>
      </c>
    </row>
    <row r="847" spans="1:18" x14ac:dyDescent="0.3">
      <c r="A847" s="2">
        <v>45763</v>
      </c>
      <c r="B847" t="s">
        <v>856</v>
      </c>
      <c r="C847" t="s">
        <v>1131</v>
      </c>
      <c r="D847" t="s">
        <v>1136</v>
      </c>
      <c r="E847" t="s">
        <v>1142</v>
      </c>
      <c r="F847" t="s">
        <v>1150</v>
      </c>
      <c r="G847" t="s">
        <v>1156</v>
      </c>
      <c r="H847">
        <v>3</v>
      </c>
      <c r="I847">
        <v>30063</v>
      </c>
      <c r="J847">
        <v>10</v>
      </c>
      <c r="K847">
        <v>27056.7</v>
      </c>
      <c r="L847">
        <v>81170.100000000006</v>
      </c>
      <c r="M847">
        <v>2000</v>
      </c>
      <c r="N847" t="s">
        <v>1159</v>
      </c>
      <c r="O847" t="s">
        <v>1162</v>
      </c>
      <c r="Q847">
        <v>1</v>
      </c>
      <c r="R847" t="s">
        <v>1167</v>
      </c>
    </row>
    <row r="848" spans="1:18" x14ac:dyDescent="0.3">
      <c r="A848" s="2">
        <v>45828</v>
      </c>
      <c r="B848" t="s">
        <v>857</v>
      </c>
      <c r="C848" t="s">
        <v>1126</v>
      </c>
      <c r="D848" t="s">
        <v>1133</v>
      </c>
      <c r="E848" t="s">
        <v>1147</v>
      </c>
      <c r="F848" t="s">
        <v>1150</v>
      </c>
      <c r="G848" t="s">
        <v>1156</v>
      </c>
      <c r="H848">
        <v>4</v>
      </c>
      <c r="I848">
        <v>44059</v>
      </c>
      <c r="J848">
        <v>5</v>
      </c>
      <c r="K848">
        <v>41856.050000000003</v>
      </c>
      <c r="L848">
        <v>167424.20000000001</v>
      </c>
      <c r="M848">
        <v>2000</v>
      </c>
      <c r="N848" t="s">
        <v>1161</v>
      </c>
      <c r="O848" t="s">
        <v>1162</v>
      </c>
      <c r="Q848">
        <v>4</v>
      </c>
    </row>
    <row r="849" spans="1:18" x14ac:dyDescent="0.3">
      <c r="A849" s="2">
        <v>45679</v>
      </c>
      <c r="B849" t="s">
        <v>858</v>
      </c>
      <c r="C849" t="s">
        <v>1126</v>
      </c>
      <c r="D849" t="s">
        <v>1133</v>
      </c>
      <c r="E849" t="s">
        <v>1145</v>
      </c>
      <c r="F849" t="s">
        <v>1149</v>
      </c>
      <c r="G849" t="s">
        <v>1153</v>
      </c>
      <c r="H849">
        <v>1</v>
      </c>
      <c r="I849">
        <v>68784</v>
      </c>
      <c r="J849">
        <v>0</v>
      </c>
      <c r="K849">
        <v>68784</v>
      </c>
      <c r="L849">
        <v>68784</v>
      </c>
      <c r="M849">
        <v>2000</v>
      </c>
      <c r="N849" t="s">
        <v>1159</v>
      </c>
      <c r="O849" t="s">
        <v>1162</v>
      </c>
      <c r="Q849">
        <v>5</v>
      </c>
      <c r="R849" t="s">
        <v>1168</v>
      </c>
    </row>
    <row r="850" spans="1:18" x14ac:dyDescent="0.3">
      <c r="A850" s="2">
        <v>45668</v>
      </c>
      <c r="B850" t="s">
        <v>859</v>
      </c>
      <c r="C850" t="s">
        <v>1121</v>
      </c>
      <c r="D850" t="s">
        <v>1136</v>
      </c>
      <c r="E850" t="s">
        <v>1137</v>
      </c>
      <c r="F850" t="s">
        <v>1149</v>
      </c>
      <c r="G850" t="s">
        <v>1152</v>
      </c>
      <c r="H850">
        <v>1</v>
      </c>
      <c r="I850">
        <v>19441</v>
      </c>
      <c r="J850">
        <v>0</v>
      </c>
      <c r="K850">
        <v>19441</v>
      </c>
      <c r="L850">
        <v>19441</v>
      </c>
      <c r="M850">
        <v>1000</v>
      </c>
      <c r="N850" t="s">
        <v>1160</v>
      </c>
      <c r="O850" t="s">
        <v>1162</v>
      </c>
      <c r="Q850">
        <v>5</v>
      </c>
      <c r="R850" t="s">
        <v>1166</v>
      </c>
    </row>
    <row r="851" spans="1:18" x14ac:dyDescent="0.3">
      <c r="A851" s="2">
        <v>45801</v>
      </c>
      <c r="B851" t="s">
        <v>860</v>
      </c>
      <c r="C851" t="s">
        <v>1121</v>
      </c>
      <c r="D851" t="s">
        <v>1136</v>
      </c>
      <c r="E851" t="s">
        <v>1140</v>
      </c>
      <c r="F851" t="s">
        <v>1150</v>
      </c>
      <c r="G851" t="s">
        <v>1154</v>
      </c>
      <c r="H851">
        <v>4</v>
      </c>
      <c r="I851">
        <v>62899</v>
      </c>
      <c r="J851">
        <v>20</v>
      </c>
      <c r="K851">
        <v>50319.199999999997</v>
      </c>
      <c r="L851">
        <v>201276.79999999999</v>
      </c>
      <c r="M851">
        <v>1000</v>
      </c>
      <c r="N851" t="s">
        <v>1160</v>
      </c>
      <c r="O851" t="s">
        <v>1164</v>
      </c>
      <c r="P851" s="2">
        <v>45807</v>
      </c>
      <c r="Q851">
        <v>5</v>
      </c>
      <c r="R851" t="s">
        <v>1168</v>
      </c>
    </row>
    <row r="852" spans="1:18" x14ac:dyDescent="0.3">
      <c r="A852" s="2">
        <v>45751</v>
      </c>
      <c r="B852" t="s">
        <v>861</v>
      </c>
      <c r="C852" t="s">
        <v>1123</v>
      </c>
      <c r="D852" t="s">
        <v>1135</v>
      </c>
      <c r="E852" t="s">
        <v>1147</v>
      </c>
      <c r="F852" t="s">
        <v>1150</v>
      </c>
      <c r="G852" t="s">
        <v>1156</v>
      </c>
      <c r="H852">
        <v>1</v>
      </c>
      <c r="I852">
        <v>58571</v>
      </c>
      <c r="J852">
        <v>5</v>
      </c>
      <c r="K852">
        <v>55642.45</v>
      </c>
      <c r="L852">
        <v>55642.45</v>
      </c>
      <c r="M852">
        <v>1000</v>
      </c>
      <c r="N852" t="s">
        <v>1159</v>
      </c>
      <c r="O852" t="s">
        <v>1164</v>
      </c>
      <c r="P852" s="2">
        <v>45762</v>
      </c>
      <c r="Q852">
        <v>5</v>
      </c>
      <c r="R852" t="s">
        <v>1168</v>
      </c>
    </row>
    <row r="853" spans="1:18" x14ac:dyDescent="0.3">
      <c r="A853" s="2">
        <v>45751</v>
      </c>
      <c r="B853" t="s">
        <v>862</v>
      </c>
      <c r="C853" t="s">
        <v>1129</v>
      </c>
      <c r="D853" t="s">
        <v>1133</v>
      </c>
      <c r="E853" t="s">
        <v>1145</v>
      </c>
      <c r="F853" t="s">
        <v>1149</v>
      </c>
      <c r="G853" t="s">
        <v>1153</v>
      </c>
      <c r="H853">
        <v>3</v>
      </c>
      <c r="I853">
        <v>64260</v>
      </c>
      <c r="J853">
        <v>0</v>
      </c>
      <c r="K853">
        <v>64260</v>
      </c>
      <c r="L853">
        <v>192780</v>
      </c>
      <c r="M853">
        <v>1000</v>
      </c>
      <c r="N853" t="s">
        <v>1161</v>
      </c>
      <c r="O853" t="s">
        <v>1162</v>
      </c>
      <c r="Q853">
        <v>3</v>
      </c>
      <c r="R853" t="s">
        <v>1168</v>
      </c>
    </row>
    <row r="854" spans="1:18" x14ac:dyDescent="0.3">
      <c r="A854" s="2">
        <v>45689</v>
      </c>
      <c r="B854" t="s">
        <v>863</v>
      </c>
      <c r="C854" t="s">
        <v>1132</v>
      </c>
      <c r="D854" t="s">
        <v>1134</v>
      </c>
      <c r="E854" t="s">
        <v>1137</v>
      </c>
      <c r="F854" t="s">
        <v>1149</v>
      </c>
      <c r="G854" t="s">
        <v>1152</v>
      </c>
      <c r="H854">
        <v>5</v>
      </c>
      <c r="I854">
        <v>39519</v>
      </c>
      <c r="J854">
        <v>15</v>
      </c>
      <c r="K854">
        <v>33591.15</v>
      </c>
      <c r="L854">
        <v>167955.75</v>
      </c>
      <c r="M854">
        <v>1000</v>
      </c>
      <c r="N854" t="s">
        <v>1160</v>
      </c>
      <c r="O854" t="s">
        <v>1163</v>
      </c>
      <c r="Q854">
        <v>3</v>
      </c>
      <c r="R854" t="s">
        <v>1170</v>
      </c>
    </row>
    <row r="855" spans="1:18" x14ac:dyDescent="0.3">
      <c r="A855" s="2">
        <v>45675</v>
      </c>
      <c r="B855" t="s">
        <v>864</v>
      </c>
      <c r="C855" t="s">
        <v>1128</v>
      </c>
      <c r="D855" t="s">
        <v>1135</v>
      </c>
      <c r="E855" t="s">
        <v>1143</v>
      </c>
      <c r="F855" t="s">
        <v>1151</v>
      </c>
      <c r="G855" t="s">
        <v>1157</v>
      </c>
      <c r="H855">
        <v>5</v>
      </c>
      <c r="I855">
        <v>29951</v>
      </c>
      <c r="J855">
        <v>0</v>
      </c>
      <c r="K855">
        <v>29951</v>
      </c>
      <c r="L855">
        <v>149755</v>
      </c>
      <c r="M855">
        <v>2000</v>
      </c>
      <c r="N855" t="s">
        <v>1160</v>
      </c>
      <c r="O855" t="s">
        <v>1163</v>
      </c>
      <c r="Q855">
        <v>1</v>
      </c>
    </row>
    <row r="856" spans="1:18" x14ac:dyDescent="0.3">
      <c r="A856" s="2">
        <v>45815</v>
      </c>
      <c r="B856" t="s">
        <v>865</v>
      </c>
      <c r="C856" t="s">
        <v>1125</v>
      </c>
      <c r="D856" t="s">
        <v>1133</v>
      </c>
      <c r="E856" t="s">
        <v>1146</v>
      </c>
      <c r="F856" t="s">
        <v>1151</v>
      </c>
      <c r="G856" t="s">
        <v>1155</v>
      </c>
      <c r="H856">
        <v>2</v>
      </c>
      <c r="I856">
        <v>29996</v>
      </c>
      <c r="J856">
        <v>20</v>
      </c>
      <c r="K856">
        <v>23996.799999999999</v>
      </c>
      <c r="L856">
        <v>47993.599999999999</v>
      </c>
      <c r="M856">
        <v>1500</v>
      </c>
      <c r="N856" t="s">
        <v>1161</v>
      </c>
      <c r="O856" t="s">
        <v>1163</v>
      </c>
      <c r="Q856">
        <v>3</v>
      </c>
    </row>
    <row r="857" spans="1:18" x14ac:dyDescent="0.3">
      <c r="A857" s="2">
        <v>45825</v>
      </c>
      <c r="B857" t="s">
        <v>866</v>
      </c>
      <c r="C857" t="s">
        <v>1125</v>
      </c>
      <c r="D857" t="s">
        <v>1133</v>
      </c>
      <c r="E857" t="s">
        <v>1142</v>
      </c>
      <c r="F857" t="s">
        <v>1150</v>
      </c>
      <c r="G857" t="s">
        <v>1156</v>
      </c>
      <c r="H857">
        <v>2</v>
      </c>
      <c r="I857">
        <v>20619</v>
      </c>
      <c r="J857">
        <v>5</v>
      </c>
      <c r="K857">
        <v>19588.05</v>
      </c>
      <c r="L857">
        <v>39176.1</v>
      </c>
      <c r="M857">
        <v>1000</v>
      </c>
      <c r="N857" t="s">
        <v>1160</v>
      </c>
      <c r="O857" t="s">
        <v>1164</v>
      </c>
      <c r="P857" s="2">
        <v>45839</v>
      </c>
      <c r="Q857">
        <v>4</v>
      </c>
      <c r="R857" t="s">
        <v>1169</v>
      </c>
    </row>
    <row r="858" spans="1:18" x14ac:dyDescent="0.3">
      <c r="A858" s="2">
        <v>45708</v>
      </c>
      <c r="B858" t="s">
        <v>867</v>
      </c>
      <c r="C858" t="s">
        <v>1128</v>
      </c>
      <c r="D858" t="s">
        <v>1135</v>
      </c>
      <c r="E858" t="s">
        <v>1142</v>
      </c>
      <c r="F858" t="s">
        <v>1150</v>
      </c>
      <c r="G858" t="s">
        <v>1156</v>
      </c>
      <c r="H858">
        <v>3</v>
      </c>
      <c r="I858">
        <v>7993</v>
      </c>
      <c r="J858">
        <v>15</v>
      </c>
      <c r="K858">
        <v>6794.05</v>
      </c>
      <c r="L858">
        <v>20382.150000000001</v>
      </c>
      <c r="M858">
        <v>1500</v>
      </c>
      <c r="N858" t="s">
        <v>1160</v>
      </c>
      <c r="O858" t="s">
        <v>1163</v>
      </c>
      <c r="Q858">
        <v>5</v>
      </c>
      <c r="R858" t="s">
        <v>1168</v>
      </c>
    </row>
    <row r="859" spans="1:18" x14ac:dyDescent="0.3">
      <c r="A859" s="2">
        <v>45734</v>
      </c>
      <c r="B859" t="s">
        <v>868</v>
      </c>
      <c r="C859" t="s">
        <v>1118</v>
      </c>
      <c r="D859" t="s">
        <v>1134</v>
      </c>
      <c r="E859" t="s">
        <v>1137</v>
      </c>
      <c r="F859" t="s">
        <v>1149</v>
      </c>
      <c r="G859" t="s">
        <v>1152</v>
      </c>
      <c r="H859">
        <v>3</v>
      </c>
      <c r="I859">
        <v>8234</v>
      </c>
      <c r="J859">
        <v>0</v>
      </c>
      <c r="K859">
        <v>8234</v>
      </c>
      <c r="L859">
        <v>24702</v>
      </c>
      <c r="M859">
        <v>2000</v>
      </c>
      <c r="N859" t="s">
        <v>1161</v>
      </c>
      <c r="O859" t="s">
        <v>1163</v>
      </c>
      <c r="Q859">
        <v>5</v>
      </c>
      <c r="R859" t="s">
        <v>1170</v>
      </c>
    </row>
    <row r="860" spans="1:18" x14ac:dyDescent="0.3">
      <c r="A860" s="2">
        <v>45753</v>
      </c>
      <c r="B860" t="s">
        <v>869</v>
      </c>
      <c r="C860" t="s">
        <v>1127</v>
      </c>
      <c r="D860" t="s">
        <v>1134</v>
      </c>
      <c r="E860" t="s">
        <v>1142</v>
      </c>
      <c r="F860" t="s">
        <v>1150</v>
      </c>
      <c r="G860" t="s">
        <v>1156</v>
      </c>
      <c r="H860">
        <v>4</v>
      </c>
      <c r="I860">
        <v>13028</v>
      </c>
      <c r="J860">
        <v>0</v>
      </c>
      <c r="K860">
        <v>13028</v>
      </c>
      <c r="L860">
        <v>52112</v>
      </c>
      <c r="M860">
        <v>1000</v>
      </c>
      <c r="N860" t="s">
        <v>1161</v>
      </c>
      <c r="O860" t="s">
        <v>1164</v>
      </c>
      <c r="P860" s="2">
        <v>45766</v>
      </c>
      <c r="Q860">
        <v>2</v>
      </c>
      <c r="R860" t="s">
        <v>1168</v>
      </c>
    </row>
    <row r="861" spans="1:18" x14ac:dyDescent="0.3">
      <c r="A861" s="2">
        <v>45789</v>
      </c>
      <c r="B861" t="s">
        <v>870</v>
      </c>
      <c r="C861" t="s">
        <v>1121</v>
      </c>
      <c r="D861" t="s">
        <v>1136</v>
      </c>
      <c r="E861" t="s">
        <v>1141</v>
      </c>
      <c r="F861" t="s">
        <v>1151</v>
      </c>
      <c r="G861" t="s">
        <v>1155</v>
      </c>
      <c r="H861">
        <v>3</v>
      </c>
      <c r="I861">
        <v>38707</v>
      </c>
      <c r="J861">
        <v>15</v>
      </c>
      <c r="K861">
        <v>32900.949999999997</v>
      </c>
      <c r="L861">
        <v>98702.849999999991</v>
      </c>
      <c r="M861">
        <v>1000</v>
      </c>
      <c r="N861" t="s">
        <v>1159</v>
      </c>
      <c r="O861" t="s">
        <v>1162</v>
      </c>
      <c r="Q861">
        <v>3</v>
      </c>
      <c r="R861" t="s">
        <v>1166</v>
      </c>
    </row>
    <row r="862" spans="1:18" x14ac:dyDescent="0.3">
      <c r="A862" s="2">
        <v>45692</v>
      </c>
      <c r="B862" t="s">
        <v>871</v>
      </c>
      <c r="C862" t="s">
        <v>1121</v>
      </c>
      <c r="D862" t="s">
        <v>1136</v>
      </c>
      <c r="E862" t="s">
        <v>1143</v>
      </c>
      <c r="F862" t="s">
        <v>1151</v>
      </c>
      <c r="G862" t="s">
        <v>1157</v>
      </c>
      <c r="H862">
        <v>2</v>
      </c>
      <c r="I862">
        <v>7684</v>
      </c>
      <c r="J862">
        <v>15</v>
      </c>
      <c r="K862">
        <v>6531.4</v>
      </c>
      <c r="L862">
        <v>13062.8</v>
      </c>
      <c r="M862">
        <v>1500</v>
      </c>
      <c r="N862" t="s">
        <v>1161</v>
      </c>
      <c r="O862" t="s">
        <v>1164</v>
      </c>
      <c r="P862" s="2">
        <v>45705</v>
      </c>
      <c r="Q862">
        <v>3</v>
      </c>
      <c r="R862" t="s">
        <v>1169</v>
      </c>
    </row>
    <row r="863" spans="1:18" x14ac:dyDescent="0.3">
      <c r="A863" s="2">
        <v>45773</v>
      </c>
      <c r="B863" t="s">
        <v>872</v>
      </c>
      <c r="C863" t="s">
        <v>1121</v>
      </c>
      <c r="D863" t="s">
        <v>1136</v>
      </c>
      <c r="E863" t="s">
        <v>1140</v>
      </c>
      <c r="F863" t="s">
        <v>1150</v>
      </c>
      <c r="G863" t="s">
        <v>1154</v>
      </c>
      <c r="H863">
        <v>3</v>
      </c>
      <c r="I863">
        <v>68657</v>
      </c>
      <c r="J863">
        <v>5</v>
      </c>
      <c r="K863">
        <v>65224.15</v>
      </c>
      <c r="L863">
        <v>195672.45</v>
      </c>
      <c r="M863">
        <v>1000</v>
      </c>
      <c r="N863" t="s">
        <v>1161</v>
      </c>
      <c r="O863" t="s">
        <v>1163</v>
      </c>
      <c r="Q863">
        <v>2</v>
      </c>
      <c r="R863" t="s">
        <v>1168</v>
      </c>
    </row>
    <row r="864" spans="1:18" x14ac:dyDescent="0.3">
      <c r="A864" s="2">
        <v>45673</v>
      </c>
      <c r="B864" t="s">
        <v>873</v>
      </c>
      <c r="C864" t="s">
        <v>1117</v>
      </c>
      <c r="D864" t="s">
        <v>1133</v>
      </c>
      <c r="E864" t="s">
        <v>1147</v>
      </c>
      <c r="F864" t="s">
        <v>1150</v>
      </c>
      <c r="G864" t="s">
        <v>1156</v>
      </c>
      <c r="H864">
        <v>3</v>
      </c>
      <c r="I864">
        <v>40653</v>
      </c>
      <c r="J864">
        <v>15</v>
      </c>
      <c r="K864">
        <v>34555.050000000003</v>
      </c>
      <c r="L864">
        <v>103665.15</v>
      </c>
      <c r="M864">
        <v>2000</v>
      </c>
      <c r="N864" t="s">
        <v>1159</v>
      </c>
      <c r="O864" t="s">
        <v>1164</v>
      </c>
      <c r="P864" s="2">
        <v>45681</v>
      </c>
      <c r="Q864">
        <v>2</v>
      </c>
      <c r="R864" t="s">
        <v>1169</v>
      </c>
    </row>
    <row r="865" spans="1:18" x14ac:dyDescent="0.3">
      <c r="A865" s="2">
        <v>45831</v>
      </c>
      <c r="B865" t="s">
        <v>874</v>
      </c>
      <c r="C865" t="s">
        <v>1118</v>
      </c>
      <c r="D865" t="s">
        <v>1134</v>
      </c>
      <c r="E865" t="s">
        <v>1146</v>
      </c>
      <c r="F865" t="s">
        <v>1151</v>
      </c>
      <c r="G865" t="s">
        <v>1155</v>
      </c>
      <c r="H865">
        <v>1</v>
      </c>
      <c r="I865">
        <v>7187</v>
      </c>
      <c r="J865">
        <v>5</v>
      </c>
      <c r="K865">
        <v>6827.65</v>
      </c>
      <c r="L865">
        <v>6827.65</v>
      </c>
      <c r="M865">
        <v>1500</v>
      </c>
      <c r="N865" t="s">
        <v>1161</v>
      </c>
      <c r="O865" t="s">
        <v>1164</v>
      </c>
      <c r="P865" s="2">
        <v>45839</v>
      </c>
      <c r="Q865">
        <v>5</v>
      </c>
      <c r="R865" t="s">
        <v>1169</v>
      </c>
    </row>
    <row r="866" spans="1:18" x14ac:dyDescent="0.3">
      <c r="A866" s="2">
        <v>45673</v>
      </c>
      <c r="B866" t="s">
        <v>875</v>
      </c>
      <c r="C866" t="s">
        <v>1129</v>
      </c>
      <c r="D866" t="s">
        <v>1133</v>
      </c>
      <c r="E866" t="s">
        <v>1146</v>
      </c>
      <c r="F866" t="s">
        <v>1151</v>
      </c>
      <c r="G866" t="s">
        <v>1155</v>
      </c>
      <c r="H866">
        <v>2</v>
      </c>
      <c r="I866">
        <v>60181</v>
      </c>
      <c r="J866">
        <v>20</v>
      </c>
      <c r="K866">
        <v>48144.800000000003</v>
      </c>
      <c r="L866">
        <v>96289.600000000006</v>
      </c>
      <c r="M866">
        <v>2000</v>
      </c>
      <c r="N866" t="s">
        <v>1160</v>
      </c>
      <c r="O866" t="s">
        <v>1163</v>
      </c>
      <c r="R866" t="s">
        <v>1166</v>
      </c>
    </row>
    <row r="867" spans="1:18" x14ac:dyDescent="0.3">
      <c r="A867" s="2">
        <v>45783</v>
      </c>
      <c r="B867" t="s">
        <v>876</v>
      </c>
      <c r="C867" t="s">
        <v>1126</v>
      </c>
      <c r="D867" t="s">
        <v>1133</v>
      </c>
      <c r="E867" t="s">
        <v>1146</v>
      </c>
      <c r="F867" t="s">
        <v>1151</v>
      </c>
      <c r="G867" t="s">
        <v>1155</v>
      </c>
      <c r="H867">
        <v>4</v>
      </c>
      <c r="I867">
        <v>67232</v>
      </c>
      <c r="J867">
        <v>5</v>
      </c>
      <c r="K867">
        <v>63870.400000000001</v>
      </c>
      <c r="L867">
        <v>255481.60000000001</v>
      </c>
      <c r="M867">
        <v>1500</v>
      </c>
      <c r="N867" t="s">
        <v>1161</v>
      </c>
      <c r="O867" t="s">
        <v>1163</v>
      </c>
      <c r="Q867">
        <v>3</v>
      </c>
      <c r="R867" t="s">
        <v>1166</v>
      </c>
    </row>
    <row r="868" spans="1:18" x14ac:dyDescent="0.3">
      <c r="A868" s="2">
        <v>45823</v>
      </c>
      <c r="B868" t="s">
        <v>877</v>
      </c>
      <c r="C868" t="s">
        <v>1130</v>
      </c>
      <c r="D868" t="s">
        <v>1136</v>
      </c>
      <c r="E868" t="s">
        <v>1148</v>
      </c>
      <c r="F868" t="s">
        <v>1149</v>
      </c>
      <c r="G868" t="s">
        <v>1152</v>
      </c>
      <c r="H868">
        <v>4</v>
      </c>
      <c r="I868">
        <v>36665</v>
      </c>
      <c r="J868">
        <v>20</v>
      </c>
      <c r="K868">
        <v>29332</v>
      </c>
      <c r="L868">
        <v>117328</v>
      </c>
      <c r="M868">
        <v>1500</v>
      </c>
      <c r="N868" t="s">
        <v>1159</v>
      </c>
      <c r="O868" t="s">
        <v>1162</v>
      </c>
      <c r="Q868">
        <v>4</v>
      </c>
      <c r="R868" t="s">
        <v>1166</v>
      </c>
    </row>
    <row r="869" spans="1:18" x14ac:dyDescent="0.3">
      <c r="A869" s="2">
        <v>45825</v>
      </c>
      <c r="B869" t="s">
        <v>878</v>
      </c>
      <c r="C869" t="s">
        <v>1129</v>
      </c>
      <c r="D869" t="s">
        <v>1133</v>
      </c>
      <c r="E869" t="s">
        <v>1147</v>
      </c>
      <c r="F869" t="s">
        <v>1150</v>
      </c>
      <c r="G869" t="s">
        <v>1156</v>
      </c>
      <c r="H869">
        <v>3</v>
      </c>
      <c r="I869">
        <v>47277</v>
      </c>
      <c r="J869">
        <v>5</v>
      </c>
      <c r="K869">
        <v>44913.15</v>
      </c>
      <c r="L869">
        <v>134739.45000000001</v>
      </c>
      <c r="M869">
        <v>2000</v>
      </c>
      <c r="N869" t="s">
        <v>1160</v>
      </c>
      <c r="O869" t="s">
        <v>1162</v>
      </c>
      <c r="Q869">
        <v>2</v>
      </c>
      <c r="R869" t="s">
        <v>1168</v>
      </c>
    </row>
    <row r="870" spans="1:18" x14ac:dyDescent="0.3">
      <c r="A870" s="2">
        <v>45670</v>
      </c>
      <c r="B870" t="s">
        <v>879</v>
      </c>
      <c r="C870" t="s">
        <v>1122</v>
      </c>
      <c r="D870" t="s">
        <v>1136</v>
      </c>
      <c r="E870" t="s">
        <v>1147</v>
      </c>
      <c r="F870" t="s">
        <v>1150</v>
      </c>
      <c r="G870" t="s">
        <v>1156</v>
      </c>
      <c r="H870">
        <v>4</v>
      </c>
      <c r="I870">
        <v>72448</v>
      </c>
      <c r="J870">
        <v>0</v>
      </c>
      <c r="K870">
        <v>72448</v>
      </c>
      <c r="L870">
        <v>289792</v>
      </c>
      <c r="M870">
        <v>1500</v>
      </c>
      <c r="N870" t="s">
        <v>1160</v>
      </c>
      <c r="O870" t="s">
        <v>1162</v>
      </c>
      <c r="Q870">
        <v>5</v>
      </c>
      <c r="R870" t="s">
        <v>1169</v>
      </c>
    </row>
    <row r="871" spans="1:18" x14ac:dyDescent="0.3">
      <c r="A871" s="2">
        <v>45739</v>
      </c>
      <c r="B871" t="s">
        <v>880</v>
      </c>
      <c r="C871" t="s">
        <v>1122</v>
      </c>
      <c r="D871" t="s">
        <v>1136</v>
      </c>
      <c r="E871" t="s">
        <v>1140</v>
      </c>
      <c r="F871" t="s">
        <v>1150</v>
      </c>
      <c r="G871" t="s">
        <v>1154</v>
      </c>
      <c r="H871">
        <v>5</v>
      </c>
      <c r="I871">
        <v>8935</v>
      </c>
      <c r="J871">
        <v>15</v>
      </c>
      <c r="K871">
        <v>7594.75</v>
      </c>
      <c r="L871">
        <v>37973.75</v>
      </c>
      <c r="M871">
        <v>2000</v>
      </c>
      <c r="N871" t="s">
        <v>1161</v>
      </c>
      <c r="O871" t="s">
        <v>1163</v>
      </c>
      <c r="Q871">
        <v>3</v>
      </c>
    </row>
    <row r="872" spans="1:18" x14ac:dyDescent="0.3">
      <c r="A872" s="2">
        <v>45661</v>
      </c>
      <c r="B872" t="s">
        <v>881</v>
      </c>
      <c r="C872" t="s">
        <v>1128</v>
      </c>
      <c r="D872" t="s">
        <v>1135</v>
      </c>
      <c r="E872" t="s">
        <v>1137</v>
      </c>
      <c r="F872" t="s">
        <v>1149</v>
      </c>
      <c r="G872" t="s">
        <v>1152</v>
      </c>
      <c r="H872">
        <v>1</v>
      </c>
      <c r="I872">
        <v>36145</v>
      </c>
      <c r="J872">
        <v>0</v>
      </c>
      <c r="K872">
        <v>36145</v>
      </c>
      <c r="L872">
        <v>36145</v>
      </c>
      <c r="M872">
        <v>1500</v>
      </c>
      <c r="N872" t="s">
        <v>1161</v>
      </c>
      <c r="O872" t="s">
        <v>1163</v>
      </c>
      <c r="Q872">
        <v>4</v>
      </c>
    </row>
    <row r="873" spans="1:18" x14ac:dyDescent="0.3">
      <c r="A873" s="2">
        <v>45753</v>
      </c>
      <c r="B873" t="s">
        <v>882</v>
      </c>
      <c r="C873" t="s">
        <v>1126</v>
      </c>
      <c r="D873" t="s">
        <v>1133</v>
      </c>
      <c r="E873" t="s">
        <v>1141</v>
      </c>
      <c r="F873" t="s">
        <v>1151</v>
      </c>
      <c r="G873" t="s">
        <v>1155</v>
      </c>
      <c r="H873">
        <v>1</v>
      </c>
      <c r="I873">
        <v>39348</v>
      </c>
      <c r="J873">
        <v>0</v>
      </c>
      <c r="K873">
        <v>39348</v>
      </c>
      <c r="L873">
        <v>39348</v>
      </c>
      <c r="M873">
        <v>1000</v>
      </c>
      <c r="N873" t="s">
        <v>1160</v>
      </c>
      <c r="O873" t="s">
        <v>1164</v>
      </c>
      <c r="P873" s="2">
        <v>45761</v>
      </c>
      <c r="Q873">
        <v>2</v>
      </c>
    </row>
    <row r="874" spans="1:18" x14ac:dyDescent="0.3">
      <c r="A874" s="2">
        <v>45779</v>
      </c>
      <c r="B874" t="s">
        <v>883</v>
      </c>
      <c r="C874" t="s">
        <v>1127</v>
      </c>
      <c r="D874" t="s">
        <v>1134</v>
      </c>
      <c r="E874" t="s">
        <v>1139</v>
      </c>
      <c r="F874" t="s">
        <v>1150</v>
      </c>
      <c r="G874" t="s">
        <v>1154</v>
      </c>
      <c r="H874">
        <v>2</v>
      </c>
      <c r="I874">
        <v>68043</v>
      </c>
      <c r="J874">
        <v>10</v>
      </c>
      <c r="K874">
        <v>61238.7</v>
      </c>
      <c r="L874">
        <v>122477.4</v>
      </c>
      <c r="M874">
        <v>1000</v>
      </c>
      <c r="N874" t="s">
        <v>1159</v>
      </c>
      <c r="O874" t="s">
        <v>1162</v>
      </c>
      <c r="R874" t="s">
        <v>1166</v>
      </c>
    </row>
    <row r="875" spans="1:18" x14ac:dyDescent="0.3">
      <c r="A875" s="2">
        <v>45827</v>
      </c>
      <c r="B875" t="s">
        <v>884</v>
      </c>
      <c r="C875" t="s">
        <v>1128</v>
      </c>
      <c r="D875" t="s">
        <v>1135</v>
      </c>
      <c r="E875" t="s">
        <v>1144</v>
      </c>
      <c r="F875" t="s">
        <v>1151</v>
      </c>
      <c r="G875" t="s">
        <v>1157</v>
      </c>
      <c r="H875">
        <v>1</v>
      </c>
      <c r="I875">
        <v>41420</v>
      </c>
      <c r="J875">
        <v>5</v>
      </c>
      <c r="K875">
        <v>39349</v>
      </c>
      <c r="L875">
        <v>39349</v>
      </c>
      <c r="M875">
        <v>1500</v>
      </c>
      <c r="N875" t="s">
        <v>1159</v>
      </c>
      <c r="O875" t="s">
        <v>1162</v>
      </c>
      <c r="Q875">
        <v>4</v>
      </c>
      <c r="R875" t="s">
        <v>1166</v>
      </c>
    </row>
    <row r="876" spans="1:18" x14ac:dyDescent="0.3">
      <c r="A876" s="2">
        <v>45698</v>
      </c>
      <c r="B876" t="s">
        <v>885</v>
      </c>
      <c r="C876" t="s">
        <v>1131</v>
      </c>
      <c r="D876" t="s">
        <v>1136</v>
      </c>
      <c r="E876" t="s">
        <v>1144</v>
      </c>
      <c r="F876" t="s">
        <v>1151</v>
      </c>
      <c r="G876" t="s">
        <v>1157</v>
      </c>
      <c r="H876">
        <v>4</v>
      </c>
      <c r="I876">
        <v>60111</v>
      </c>
      <c r="J876">
        <v>20</v>
      </c>
      <c r="K876">
        <v>48088.800000000003</v>
      </c>
      <c r="L876">
        <v>192355.20000000001</v>
      </c>
      <c r="M876">
        <v>1500</v>
      </c>
      <c r="N876" t="s">
        <v>1160</v>
      </c>
      <c r="O876" t="s">
        <v>1164</v>
      </c>
      <c r="P876" s="2">
        <v>45700</v>
      </c>
      <c r="Q876">
        <v>1</v>
      </c>
      <c r="R876" t="s">
        <v>1167</v>
      </c>
    </row>
    <row r="877" spans="1:18" x14ac:dyDescent="0.3">
      <c r="A877" s="2">
        <v>45746</v>
      </c>
      <c r="B877" t="s">
        <v>886</v>
      </c>
      <c r="C877" t="s">
        <v>1132</v>
      </c>
      <c r="D877" t="s">
        <v>1134</v>
      </c>
      <c r="E877" t="s">
        <v>1139</v>
      </c>
      <c r="F877" t="s">
        <v>1150</v>
      </c>
      <c r="G877" t="s">
        <v>1154</v>
      </c>
      <c r="H877">
        <v>4</v>
      </c>
      <c r="I877">
        <v>30485</v>
      </c>
      <c r="J877">
        <v>10</v>
      </c>
      <c r="K877">
        <v>27436.5</v>
      </c>
      <c r="L877">
        <v>109746</v>
      </c>
      <c r="M877">
        <v>1500</v>
      </c>
      <c r="N877" t="s">
        <v>1160</v>
      </c>
      <c r="O877" t="s">
        <v>1164</v>
      </c>
      <c r="P877" s="2">
        <v>45760</v>
      </c>
      <c r="Q877">
        <v>2</v>
      </c>
      <c r="R877" t="s">
        <v>1166</v>
      </c>
    </row>
    <row r="878" spans="1:18" x14ac:dyDescent="0.3">
      <c r="A878" s="2">
        <v>45711</v>
      </c>
      <c r="B878" t="s">
        <v>887</v>
      </c>
      <c r="C878" t="s">
        <v>1132</v>
      </c>
      <c r="D878" t="s">
        <v>1134</v>
      </c>
      <c r="E878" t="s">
        <v>1147</v>
      </c>
      <c r="F878" t="s">
        <v>1150</v>
      </c>
      <c r="G878" t="s">
        <v>1156</v>
      </c>
      <c r="H878">
        <v>2</v>
      </c>
      <c r="I878">
        <v>18474</v>
      </c>
      <c r="J878">
        <v>0</v>
      </c>
      <c r="K878">
        <v>18474</v>
      </c>
      <c r="L878">
        <v>36948</v>
      </c>
      <c r="M878">
        <v>2000</v>
      </c>
      <c r="N878" t="s">
        <v>1160</v>
      </c>
      <c r="O878" t="s">
        <v>1164</v>
      </c>
      <c r="P878" s="2">
        <v>45715</v>
      </c>
      <c r="Q878">
        <v>1</v>
      </c>
    </row>
    <row r="879" spans="1:18" x14ac:dyDescent="0.3">
      <c r="A879" s="2">
        <v>45662</v>
      </c>
      <c r="B879" t="s">
        <v>888</v>
      </c>
      <c r="C879" t="s">
        <v>1127</v>
      </c>
      <c r="D879" t="s">
        <v>1134</v>
      </c>
      <c r="E879" t="s">
        <v>1142</v>
      </c>
      <c r="F879" t="s">
        <v>1150</v>
      </c>
      <c r="G879" t="s">
        <v>1156</v>
      </c>
      <c r="H879">
        <v>2</v>
      </c>
      <c r="I879">
        <v>63888</v>
      </c>
      <c r="J879">
        <v>15</v>
      </c>
      <c r="K879">
        <v>54304.800000000003</v>
      </c>
      <c r="L879">
        <v>108609.60000000001</v>
      </c>
      <c r="M879">
        <v>2000</v>
      </c>
      <c r="N879" t="s">
        <v>1160</v>
      </c>
      <c r="O879" t="s">
        <v>1164</v>
      </c>
      <c r="P879" s="2">
        <v>45668</v>
      </c>
      <c r="Q879">
        <v>2</v>
      </c>
      <c r="R879" t="s">
        <v>1167</v>
      </c>
    </row>
    <row r="880" spans="1:18" x14ac:dyDescent="0.3">
      <c r="A880" s="2">
        <v>45764</v>
      </c>
      <c r="B880" t="s">
        <v>889</v>
      </c>
      <c r="C880" t="s">
        <v>1131</v>
      </c>
      <c r="D880" t="s">
        <v>1136</v>
      </c>
      <c r="E880" t="s">
        <v>1141</v>
      </c>
      <c r="F880" t="s">
        <v>1151</v>
      </c>
      <c r="G880" t="s">
        <v>1155</v>
      </c>
      <c r="H880">
        <v>1</v>
      </c>
      <c r="I880">
        <v>52682</v>
      </c>
      <c r="J880">
        <v>20</v>
      </c>
      <c r="K880">
        <v>42145.599999999999</v>
      </c>
      <c r="L880">
        <v>42145.599999999999</v>
      </c>
      <c r="M880">
        <v>2000</v>
      </c>
      <c r="N880" t="s">
        <v>1160</v>
      </c>
      <c r="O880" t="s">
        <v>1162</v>
      </c>
      <c r="Q880">
        <v>4</v>
      </c>
      <c r="R880" t="s">
        <v>1170</v>
      </c>
    </row>
    <row r="881" spans="1:18" x14ac:dyDescent="0.3">
      <c r="A881" s="2">
        <v>45720</v>
      </c>
      <c r="B881" t="s">
        <v>890</v>
      </c>
      <c r="C881" t="s">
        <v>1127</v>
      </c>
      <c r="D881" t="s">
        <v>1134</v>
      </c>
      <c r="E881" t="s">
        <v>1142</v>
      </c>
      <c r="F881" t="s">
        <v>1150</v>
      </c>
      <c r="G881" t="s">
        <v>1156</v>
      </c>
      <c r="H881">
        <v>1</v>
      </c>
      <c r="I881">
        <v>45109</v>
      </c>
      <c r="J881">
        <v>15</v>
      </c>
      <c r="K881">
        <v>38342.65</v>
      </c>
      <c r="L881">
        <v>38342.65</v>
      </c>
      <c r="M881">
        <v>1000</v>
      </c>
      <c r="N881" t="s">
        <v>1161</v>
      </c>
      <c r="O881" t="s">
        <v>1162</v>
      </c>
      <c r="R881" t="s">
        <v>1166</v>
      </c>
    </row>
    <row r="882" spans="1:18" x14ac:dyDescent="0.3">
      <c r="A882" s="2">
        <v>45828</v>
      </c>
      <c r="B882" t="s">
        <v>891</v>
      </c>
      <c r="C882" t="s">
        <v>1124</v>
      </c>
      <c r="D882" t="s">
        <v>1135</v>
      </c>
      <c r="E882" t="s">
        <v>1142</v>
      </c>
      <c r="F882" t="s">
        <v>1150</v>
      </c>
      <c r="G882" t="s">
        <v>1156</v>
      </c>
      <c r="H882">
        <v>1</v>
      </c>
      <c r="I882">
        <v>24332</v>
      </c>
      <c r="J882">
        <v>15</v>
      </c>
      <c r="K882">
        <v>20682.2</v>
      </c>
      <c r="L882">
        <v>20682.2</v>
      </c>
      <c r="M882">
        <v>1000</v>
      </c>
      <c r="N882" t="s">
        <v>1159</v>
      </c>
      <c r="O882" t="s">
        <v>1163</v>
      </c>
      <c r="Q882">
        <v>2</v>
      </c>
      <c r="R882" t="s">
        <v>1167</v>
      </c>
    </row>
    <row r="883" spans="1:18" x14ac:dyDescent="0.3">
      <c r="A883" s="2">
        <v>45667</v>
      </c>
      <c r="B883" t="s">
        <v>892</v>
      </c>
      <c r="C883" t="s">
        <v>1130</v>
      </c>
      <c r="D883" t="s">
        <v>1136</v>
      </c>
      <c r="E883" t="s">
        <v>1139</v>
      </c>
      <c r="F883" t="s">
        <v>1150</v>
      </c>
      <c r="G883" t="s">
        <v>1154</v>
      </c>
      <c r="H883">
        <v>4</v>
      </c>
      <c r="I883">
        <v>19319</v>
      </c>
      <c r="J883">
        <v>20</v>
      </c>
      <c r="K883">
        <v>15455.2</v>
      </c>
      <c r="L883">
        <v>61820.800000000003</v>
      </c>
      <c r="M883">
        <v>1500</v>
      </c>
      <c r="N883" t="s">
        <v>1160</v>
      </c>
      <c r="O883" t="s">
        <v>1163</v>
      </c>
      <c r="Q883">
        <v>1</v>
      </c>
    </row>
    <row r="884" spans="1:18" x14ac:dyDescent="0.3">
      <c r="A884" s="2">
        <v>45834</v>
      </c>
      <c r="B884" t="s">
        <v>893</v>
      </c>
      <c r="C884" t="s">
        <v>1118</v>
      </c>
      <c r="D884" t="s">
        <v>1134</v>
      </c>
      <c r="E884" t="s">
        <v>1144</v>
      </c>
      <c r="F884" t="s">
        <v>1151</v>
      </c>
      <c r="G884" t="s">
        <v>1157</v>
      </c>
      <c r="H884">
        <v>3</v>
      </c>
      <c r="I884">
        <v>50926</v>
      </c>
      <c r="J884">
        <v>20</v>
      </c>
      <c r="K884">
        <v>40740.800000000003</v>
      </c>
      <c r="L884">
        <v>122222.39999999999</v>
      </c>
      <c r="M884">
        <v>1000</v>
      </c>
      <c r="N884" t="s">
        <v>1160</v>
      </c>
      <c r="O884" t="s">
        <v>1162</v>
      </c>
      <c r="Q884">
        <v>2</v>
      </c>
    </row>
    <row r="885" spans="1:18" x14ac:dyDescent="0.3">
      <c r="A885" s="2">
        <v>45685</v>
      </c>
      <c r="B885" t="s">
        <v>894</v>
      </c>
      <c r="C885" t="s">
        <v>1117</v>
      </c>
      <c r="D885" t="s">
        <v>1133</v>
      </c>
      <c r="E885" t="s">
        <v>1140</v>
      </c>
      <c r="F885" t="s">
        <v>1150</v>
      </c>
      <c r="G885" t="s">
        <v>1154</v>
      </c>
      <c r="H885">
        <v>5</v>
      </c>
      <c r="I885">
        <v>77092</v>
      </c>
      <c r="J885">
        <v>0</v>
      </c>
      <c r="K885">
        <v>77092</v>
      </c>
      <c r="L885">
        <v>385460</v>
      </c>
      <c r="M885">
        <v>2000</v>
      </c>
      <c r="N885" t="s">
        <v>1160</v>
      </c>
      <c r="O885" t="s">
        <v>1162</v>
      </c>
      <c r="R885" t="s">
        <v>1168</v>
      </c>
    </row>
    <row r="886" spans="1:18" x14ac:dyDescent="0.3">
      <c r="A886" s="2">
        <v>45712</v>
      </c>
      <c r="B886" t="s">
        <v>895</v>
      </c>
      <c r="C886" t="s">
        <v>1130</v>
      </c>
      <c r="D886" t="s">
        <v>1136</v>
      </c>
      <c r="E886" t="s">
        <v>1142</v>
      </c>
      <c r="F886" t="s">
        <v>1150</v>
      </c>
      <c r="G886" t="s">
        <v>1156</v>
      </c>
      <c r="H886">
        <v>4</v>
      </c>
      <c r="I886">
        <v>37269</v>
      </c>
      <c r="J886">
        <v>10</v>
      </c>
      <c r="K886">
        <v>33542.1</v>
      </c>
      <c r="L886">
        <v>134168.4</v>
      </c>
      <c r="M886">
        <v>1000</v>
      </c>
      <c r="N886" t="s">
        <v>1159</v>
      </c>
      <c r="O886" t="s">
        <v>1164</v>
      </c>
      <c r="P886" s="2">
        <v>45726</v>
      </c>
      <c r="Q886">
        <v>4</v>
      </c>
      <c r="R886" t="s">
        <v>1169</v>
      </c>
    </row>
    <row r="887" spans="1:18" x14ac:dyDescent="0.3">
      <c r="A887" s="2">
        <v>45701</v>
      </c>
      <c r="B887" t="s">
        <v>896</v>
      </c>
      <c r="C887" t="s">
        <v>1118</v>
      </c>
      <c r="D887" t="s">
        <v>1134</v>
      </c>
      <c r="E887" t="s">
        <v>1146</v>
      </c>
      <c r="F887" t="s">
        <v>1151</v>
      </c>
      <c r="G887" t="s">
        <v>1155</v>
      </c>
      <c r="H887">
        <v>3</v>
      </c>
      <c r="I887">
        <v>49649</v>
      </c>
      <c r="J887">
        <v>5</v>
      </c>
      <c r="K887">
        <v>47166.55</v>
      </c>
      <c r="L887">
        <v>141499.65</v>
      </c>
      <c r="M887">
        <v>2000</v>
      </c>
      <c r="N887" t="s">
        <v>1159</v>
      </c>
      <c r="O887" t="s">
        <v>1162</v>
      </c>
      <c r="R887" t="s">
        <v>1167</v>
      </c>
    </row>
    <row r="888" spans="1:18" x14ac:dyDescent="0.3">
      <c r="A888" s="2">
        <v>45674</v>
      </c>
      <c r="B888" t="s">
        <v>897</v>
      </c>
      <c r="C888" t="s">
        <v>1126</v>
      </c>
      <c r="D888" t="s">
        <v>1133</v>
      </c>
      <c r="E888" t="s">
        <v>1146</v>
      </c>
      <c r="F888" t="s">
        <v>1151</v>
      </c>
      <c r="G888" t="s">
        <v>1155</v>
      </c>
      <c r="H888">
        <v>4</v>
      </c>
      <c r="I888">
        <v>12021</v>
      </c>
      <c r="J888">
        <v>10</v>
      </c>
      <c r="K888">
        <v>10818.9</v>
      </c>
      <c r="L888">
        <v>43275.6</v>
      </c>
      <c r="M888">
        <v>1500</v>
      </c>
      <c r="N888" t="s">
        <v>1159</v>
      </c>
      <c r="O888" t="s">
        <v>1163</v>
      </c>
      <c r="Q888">
        <v>5</v>
      </c>
      <c r="R888" t="s">
        <v>1167</v>
      </c>
    </row>
    <row r="889" spans="1:18" x14ac:dyDescent="0.3">
      <c r="A889" s="2">
        <v>45812</v>
      </c>
      <c r="B889" t="s">
        <v>898</v>
      </c>
      <c r="C889" t="s">
        <v>1131</v>
      </c>
      <c r="D889" t="s">
        <v>1136</v>
      </c>
      <c r="E889" t="s">
        <v>1148</v>
      </c>
      <c r="F889" t="s">
        <v>1149</v>
      </c>
      <c r="G889" t="s">
        <v>1152</v>
      </c>
      <c r="H889">
        <v>1</v>
      </c>
      <c r="I889">
        <v>51072</v>
      </c>
      <c r="J889">
        <v>10</v>
      </c>
      <c r="K889">
        <v>45964.800000000003</v>
      </c>
      <c r="L889">
        <v>45964.800000000003</v>
      </c>
      <c r="M889">
        <v>1500</v>
      </c>
      <c r="N889" t="s">
        <v>1161</v>
      </c>
      <c r="O889" t="s">
        <v>1164</v>
      </c>
      <c r="P889" s="2">
        <v>45825</v>
      </c>
      <c r="Q889">
        <v>5</v>
      </c>
    </row>
    <row r="890" spans="1:18" x14ac:dyDescent="0.3">
      <c r="A890" s="2">
        <v>45703</v>
      </c>
      <c r="B890" t="s">
        <v>899</v>
      </c>
      <c r="C890" t="s">
        <v>1127</v>
      </c>
      <c r="D890" t="s">
        <v>1134</v>
      </c>
      <c r="E890" t="s">
        <v>1142</v>
      </c>
      <c r="F890" t="s">
        <v>1150</v>
      </c>
      <c r="G890" t="s">
        <v>1156</v>
      </c>
      <c r="H890">
        <v>2</v>
      </c>
      <c r="I890">
        <v>58536</v>
      </c>
      <c r="J890">
        <v>10</v>
      </c>
      <c r="K890">
        <v>52682.400000000001</v>
      </c>
      <c r="L890">
        <v>105364.8</v>
      </c>
      <c r="M890">
        <v>1000</v>
      </c>
      <c r="N890" t="s">
        <v>1161</v>
      </c>
      <c r="O890" t="s">
        <v>1164</v>
      </c>
      <c r="P890" s="2">
        <v>45715</v>
      </c>
      <c r="Q890">
        <v>3</v>
      </c>
      <c r="R890" t="s">
        <v>1170</v>
      </c>
    </row>
    <row r="891" spans="1:18" x14ac:dyDescent="0.3">
      <c r="A891" s="2">
        <v>45790</v>
      </c>
      <c r="B891" t="s">
        <v>900</v>
      </c>
      <c r="C891" t="s">
        <v>1124</v>
      </c>
      <c r="D891" t="s">
        <v>1135</v>
      </c>
      <c r="E891" t="s">
        <v>1146</v>
      </c>
      <c r="F891" t="s">
        <v>1151</v>
      </c>
      <c r="G891" t="s">
        <v>1155</v>
      </c>
      <c r="H891">
        <v>3</v>
      </c>
      <c r="I891">
        <v>23156</v>
      </c>
      <c r="J891">
        <v>10</v>
      </c>
      <c r="K891">
        <v>20840.400000000001</v>
      </c>
      <c r="L891">
        <v>62521.2</v>
      </c>
      <c r="M891">
        <v>1500</v>
      </c>
      <c r="N891" t="s">
        <v>1159</v>
      </c>
      <c r="O891" t="s">
        <v>1164</v>
      </c>
      <c r="P891" s="2">
        <v>45802</v>
      </c>
      <c r="Q891">
        <v>4</v>
      </c>
      <c r="R891" t="s">
        <v>1168</v>
      </c>
    </row>
    <row r="892" spans="1:18" x14ac:dyDescent="0.3">
      <c r="A892" s="2">
        <v>45741</v>
      </c>
      <c r="B892" t="s">
        <v>901</v>
      </c>
      <c r="C892" t="s">
        <v>1120</v>
      </c>
      <c r="D892" t="s">
        <v>1135</v>
      </c>
      <c r="E892" t="s">
        <v>1138</v>
      </c>
      <c r="F892" t="s">
        <v>1149</v>
      </c>
      <c r="G892" t="s">
        <v>1153</v>
      </c>
      <c r="H892">
        <v>1</v>
      </c>
      <c r="I892">
        <v>35811</v>
      </c>
      <c r="J892">
        <v>5</v>
      </c>
      <c r="K892">
        <v>34020.449999999997</v>
      </c>
      <c r="L892">
        <v>34020.449999999997</v>
      </c>
      <c r="M892">
        <v>1500</v>
      </c>
      <c r="N892" t="s">
        <v>1159</v>
      </c>
      <c r="O892" t="s">
        <v>1162</v>
      </c>
      <c r="Q892">
        <v>1</v>
      </c>
      <c r="R892" t="s">
        <v>1166</v>
      </c>
    </row>
    <row r="893" spans="1:18" x14ac:dyDescent="0.3">
      <c r="A893" s="2">
        <v>45797</v>
      </c>
      <c r="B893" t="s">
        <v>902</v>
      </c>
      <c r="C893" t="s">
        <v>1131</v>
      </c>
      <c r="D893" t="s">
        <v>1136</v>
      </c>
      <c r="E893" t="s">
        <v>1142</v>
      </c>
      <c r="F893" t="s">
        <v>1150</v>
      </c>
      <c r="G893" t="s">
        <v>1156</v>
      </c>
      <c r="H893">
        <v>5</v>
      </c>
      <c r="I893">
        <v>15707</v>
      </c>
      <c r="J893">
        <v>20</v>
      </c>
      <c r="K893">
        <v>12565.6</v>
      </c>
      <c r="L893">
        <v>62828</v>
      </c>
      <c r="M893">
        <v>2000</v>
      </c>
      <c r="N893" t="s">
        <v>1159</v>
      </c>
      <c r="O893" t="s">
        <v>1162</v>
      </c>
      <c r="Q893">
        <v>3</v>
      </c>
      <c r="R893" t="s">
        <v>1169</v>
      </c>
    </row>
    <row r="894" spans="1:18" x14ac:dyDescent="0.3">
      <c r="A894" s="2">
        <v>45670</v>
      </c>
      <c r="B894" t="s">
        <v>903</v>
      </c>
      <c r="C894" t="s">
        <v>1131</v>
      </c>
      <c r="D894" t="s">
        <v>1136</v>
      </c>
      <c r="E894" t="s">
        <v>1142</v>
      </c>
      <c r="F894" t="s">
        <v>1150</v>
      </c>
      <c r="G894" t="s">
        <v>1156</v>
      </c>
      <c r="H894">
        <v>3</v>
      </c>
      <c r="I894">
        <v>20076</v>
      </c>
      <c r="J894">
        <v>15</v>
      </c>
      <c r="K894">
        <v>17064.599999999999</v>
      </c>
      <c r="L894">
        <v>51193.8</v>
      </c>
      <c r="M894">
        <v>1500</v>
      </c>
      <c r="N894" t="s">
        <v>1159</v>
      </c>
      <c r="O894" t="s">
        <v>1164</v>
      </c>
      <c r="P894" s="2">
        <v>45677</v>
      </c>
      <c r="Q894">
        <v>2</v>
      </c>
      <c r="R894" t="s">
        <v>1170</v>
      </c>
    </row>
    <row r="895" spans="1:18" x14ac:dyDescent="0.3">
      <c r="A895" s="2">
        <v>45783</v>
      </c>
      <c r="B895" t="s">
        <v>904</v>
      </c>
      <c r="C895" t="s">
        <v>1127</v>
      </c>
      <c r="D895" t="s">
        <v>1134</v>
      </c>
      <c r="E895" t="s">
        <v>1140</v>
      </c>
      <c r="F895" t="s">
        <v>1150</v>
      </c>
      <c r="G895" t="s">
        <v>1154</v>
      </c>
      <c r="H895">
        <v>2</v>
      </c>
      <c r="I895">
        <v>28660</v>
      </c>
      <c r="J895">
        <v>0</v>
      </c>
      <c r="K895">
        <v>28660</v>
      </c>
      <c r="L895">
        <v>57320</v>
      </c>
      <c r="M895">
        <v>1000</v>
      </c>
      <c r="N895" t="s">
        <v>1161</v>
      </c>
      <c r="O895" t="s">
        <v>1163</v>
      </c>
      <c r="R895" t="s">
        <v>1167</v>
      </c>
    </row>
    <row r="896" spans="1:18" x14ac:dyDescent="0.3">
      <c r="A896" s="2">
        <v>45702</v>
      </c>
      <c r="B896" t="s">
        <v>905</v>
      </c>
      <c r="C896" t="s">
        <v>1130</v>
      </c>
      <c r="D896" t="s">
        <v>1136</v>
      </c>
      <c r="E896" t="s">
        <v>1148</v>
      </c>
      <c r="F896" t="s">
        <v>1149</v>
      </c>
      <c r="G896" t="s">
        <v>1152</v>
      </c>
      <c r="H896">
        <v>3</v>
      </c>
      <c r="I896">
        <v>63145</v>
      </c>
      <c r="J896">
        <v>20</v>
      </c>
      <c r="K896">
        <v>50516</v>
      </c>
      <c r="L896">
        <v>151548</v>
      </c>
      <c r="M896">
        <v>2000</v>
      </c>
      <c r="N896" t="s">
        <v>1161</v>
      </c>
      <c r="O896" t="s">
        <v>1164</v>
      </c>
      <c r="P896" s="2">
        <v>45705</v>
      </c>
      <c r="Q896">
        <v>2</v>
      </c>
      <c r="R896" t="s">
        <v>1166</v>
      </c>
    </row>
    <row r="897" spans="1:18" x14ac:dyDescent="0.3">
      <c r="A897" s="2">
        <v>45686</v>
      </c>
      <c r="B897" t="s">
        <v>906</v>
      </c>
      <c r="C897" t="s">
        <v>1124</v>
      </c>
      <c r="D897" t="s">
        <v>1135</v>
      </c>
      <c r="E897" t="s">
        <v>1144</v>
      </c>
      <c r="F897" t="s">
        <v>1151</v>
      </c>
      <c r="G897" t="s">
        <v>1157</v>
      </c>
      <c r="H897">
        <v>1</v>
      </c>
      <c r="I897">
        <v>4085</v>
      </c>
      <c r="J897">
        <v>15</v>
      </c>
      <c r="K897">
        <v>3472.25</v>
      </c>
      <c r="L897">
        <v>3472.25</v>
      </c>
      <c r="M897">
        <v>2000</v>
      </c>
      <c r="N897" t="s">
        <v>1161</v>
      </c>
      <c r="O897" t="s">
        <v>1162</v>
      </c>
      <c r="Q897">
        <v>1</v>
      </c>
      <c r="R897" t="s">
        <v>1167</v>
      </c>
    </row>
    <row r="898" spans="1:18" x14ac:dyDescent="0.3">
      <c r="A898" s="2">
        <v>45715</v>
      </c>
      <c r="B898" t="s">
        <v>907</v>
      </c>
      <c r="C898" t="s">
        <v>1126</v>
      </c>
      <c r="D898" t="s">
        <v>1133</v>
      </c>
      <c r="E898" t="s">
        <v>1139</v>
      </c>
      <c r="F898" t="s">
        <v>1150</v>
      </c>
      <c r="G898" t="s">
        <v>1154</v>
      </c>
      <c r="H898">
        <v>3</v>
      </c>
      <c r="I898">
        <v>49521</v>
      </c>
      <c r="J898">
        <v>15</v>
      </c>
      <c r="K898">
        <v>42092.85</v>
      </c>
      <c r="L898">
        <v>126278.55</v>
      </c>
      <c r="M898">
        <v>2000</v>
      </c>
      <c r="N898" t="s">
        <v>1159</v>
      </c>
      <c r="O898" t="s">
        <v>1164</v>
      </c>
      <c r="P898" s="2">
        <v>45718</v>
      </c>
      <c r="Q898">
        <v>5</v>
      </c>
      <c r="R898" t="s">
        <v>1167</v>
      </c>
    </row>
    <row r="899" spans="1:18" x14ac:dyDescent="0.3">
      <c r="A899" s="2">
        <v>45824</v>
      </c>
      <c r="B899" t="s">
        <v>908</v>
      </c>
      <c r="C899" t="s">
        <v>1129</v>
      </c>
      <c r="D899" t="s">
        <v>1133</v>
      </c>
      <c r="E899" t="s">
        <v>1145</v>
      </c>
      <c r="F899" t="s">
        <v>1149</v>
      </c>
      <c r="G899" t="s">
        <v>1153</v>
      </c>
      <c r="H899">
        <v>1</v>
      </c>
      <c r="I899">
        <v>51140</v>
      </c>
      <c r="J899">
        <v>0</v>
      </c>
      <c r="K899">
        <v>51140</v>
      </c>
      <c r="L899">
        <v>51140</v>
      </c>
      <c r="M899">
        <v>1500</v>
      </c>
      <c r="N899" t="s">
        <v>1160</v>
      </c>
      <c r="O899" t="s">
        <v>1162</v>
      </c>
      <c r="Q899">
        <v>3</v>
      </c>
    </row>
    <row r="900" spans="1:18" x14ac:dyDescent="0.3">
      <c r="A900" s="2">
        <v>45823</v>
      </c>
      <c r="B900" t="s">
        <v>909</v>
      </c>
      <c r="C900" t="s">
        <v>1125</v>
      </c>
      <c r="D900" t="s">
        <v>1133</v>
      </c>
      <c r="E900" t="s">
        <v>1141</v>
      </c>
      <c r="F900" t="s">
        <v>1151</v>
      </c>
      <c r="G900" t="s">
        <v>1155</v>
      </c>
      <c r="H900">
        <v>1</v>
      </c>
      <c r="I900">
        <v>10267</v>
      </c>
      <c r="J900">
        <v>0</v>
      </c>
      <c r="K900">
        <v>10267</v>
      </c>
      <c r="L900">
        <v>10267</v>
      </c>
      <c r="M900">
        <v>2000</v>
      </c>
      <c r="N900" t="s">
        <v>1161</v>
      </c>
      <c r="O900" t="s">
        <v>1163</v>
      </c>
      <c r="Q900">
        <v>5</v>
      </c>
      <c r="R900" t="s">
        <v>1166</v>
      </c>
    </row>
    <row r="901" spans="1:18" x14ac:dyDescent="0.3">
      <c r="A901" s="2">
        <v>45786</v>
      </c>
      <c r="B901" t="s">
        <v>910</v>
      </c>
      <c r="C901" t="s">
        <v>1120</v>
      </c>
      <c r="D901" t="s">
        <v>1135</v>
      </c>
      <c r="E901" t="s">
        <v>1138</v>
      </c>
      <c r="F901" t="s">
        <v>1149</v>
      </c>
      <c r="G901" t="s">
        <v>1153</v>
      </c>
      <c r="H901">
        <v>2</v>
      </c>
      <c r="I901">
        <v>20720</v>
      </c>
      <c r="J901">
        <v>0</v>
      </c>
      <c r="K901">
        <v>20720</v>
      </c>
      <c r="L901">
        <v>41440</v>
      </c>
      <c r="M901">
        <v>2000</v>
      </c>
      <c r="N901" t="s">
        <v>1159</v>
      </c>
      <c r="O901" t="s">
        <v>1163</v>
      </c>
      <c r="Q901">
        <v>1</v>
      </c>
      <c r="R901" t="s">
        <v>1168</v>
      </c>
    </row>
    <row r="902" spans="1:18" x14ac:dyDescent="0.3">
      <c r="A902" s="2">
        <v>45838</v>
      </c>
      <c r="B902" t="s">
        <v>911</v>
      </c>
      <c r="C902" t="s">
        <v>1119</v>
      </c>
      <c r="D902" t="s">
        <v>1134</v>
      </c>
      <c r="E902" t="s">
        <v>1140</v>
      </c>
      <c r="F902" t="s">
        <v>1150</v>
      </c>
      <c r="G902" t="s">
        <v>1154</v>
      </c>
      <c r="H902">
        <v>5</v>
      </c>
      <c r="I902">
        <v>36164</v>
      </c>
      <c r="J902">
        <v>15</v>
      </c>
      <c r="K902">
        <v>30739.4</v>
      </c>
      <c r="L902">
        <v>153697</v>
      </c>
      <c r="M902">
        <v>2000</v>
      </c>
      <c r="N902" t="s">
        <v>1161</v>
      </c>
      <c r="O902" t="s">
        <v>1162</v>
      </c>
      <c r="Q902">
        <v>4</v>
      </c>
    </row>
    <row r="903" spans="1:18" x14ac:dyDescent="0.3">
      <c r="A903" s="2">
        <v>45768</v>
      </c>
      <c r="B903" t="s">
        <v>912</v>
      </c>
      <c r="C903" t="s">
        <v>1120</v>
      </c>
      <c r="D903" t="s">
        <v>1135</v>
      </c>
      <c r="E903" t="s">
        <v>1138</v>
      </c>
      <c r="F903" t="s">
        <v>1149</v>
      </c>
      <c r="G903" t="s">
        <v>1153</v>
      </c>
      <c r="H903">
        <v>5</v>
      </c>
      <c r="I903">
        <v>2991</v>
      </c>
      <c r="J903">
        <v>10</v>
      </c>
      <c r="K903">
        <v>2691.9</v>
      </c>
      <c r="L903">
        <v>13459.5</v>
      </c>
      <c r="M903">
        <v>2000</v>
      </c>
      <c r="N903" t="s">
        <v>1161</v>
      </c>
      <c r="O903" t="s">
        <v>1162</v>
      </c>
      <c r="Q903">
        <v>3</v>
      </c>
      <c r="R903" t="s">
        <v>1168</v>
      </c>
    </row>
    <row r="904" spans="1:18" x14ac:dyDescent="0.3">
      <c r="A904" s="2">
        <v>45803</v>
      </c>
      <c r="B904" t="s">
        <v>913</v>
      </c>
      <c r="C904" t="s">
        <v>1132</v>
      </c>
      <c r="D904" t="s">
        <v>1134</v>
      </c>
      <c r="E904" t="s">
        <v>1147</v>
      </c>
      <c r="F904" t="s">
        <v>1150</v>
      </c>
      <c r="G904" t="s">
        <v>1156</v>
      </c>
      <c r="H904">
        <v>1</v>
      </c>
      <c r="I904">
        <v>15327</v>
      </c>
      <c r="J904">
        <v>10</v>
      </c>
      <c r="K904">
        <v>13794.3</v>
      </c>
      <c r="L904">
        <v>13794.3</v>
      </c>
      <c r="M904">
        <v>1500</v>
      </c>
      <c r="N904" t="s">
        <v>1161</v>
      </c>
      <c r="O904" t="s">
        <v>1163</v>
      </c>
      <c r="R904" t="s">
        <v>1169</v>
      </c>
    </row>
    <row r="905" spans="1:18" x14ac:dyDescent="0.3">
      <c r="A905" s="2">
        <v>45783</v>
      </c>
      <c r="B905" t="s">
        <v>914</v>
      </c>
      <c r="C905" t="s">
        <v>1125</v>
      </c>
      <c r="D905" t="s">
        <v>1133</v>
      </c>
      <c r="E905" t="s">
        <v>1145</v>
      </c>
      <c r="F905" t="s">
        <v>1149</v>
      </c>
      <c r="G905" t="s">
        <v>1153</v>
      </c>
      <c r="H905">
        <v>5</v>
      </c>
      <c r="I905">
        <v>76937</v>
      </c>
      <c r="J905">
        <v>5</v>
      </c>
      <c r="K905">
        <v>73090.149999999994</v>
      </c>
      <c r="L905">
        <v>365450.75</v>
      </c>
      <c r="M905">
        <v>2000</v>
      </c>
      <c r="N905" t="s">
        <v>1161</v>
      </c>
      <c r="O905" t="s">
        <v>1163</v>
      </c>
      <c r="Q905">
        <v>4</v>
      </c>
      <c r="R905" t="s">
        <v>1169</v>
      </c>
    </row>
    <row r="906" spans="1:18" x14ac:dyDescent="0.3">
      <c r="A906" s="2">
        <v>45691</v>
      </c>
      <c r="B906" t="s">
        <v>915</v>
      </c>
      <c r="C906" t="s">
        <v>1129</v>
      </c>
      <c r="D906" t="s">
        <v>1133</v>
      </c>
      <c r="E906" t="s">
        <v>1142</v>
      </c>
      <c r="F906" t="s">
        <v>1150</v>
      </c>
      <c r="G906" t="s">
        <v>1156</v>
      </c>
      <c r="H906">
        <v>1</v>
      </c>
      <c r="I906">
        <v>16244</v>
      </c>
      <c r="J906">
        <v>15</v>
      </c>
      <c r="K906">
        <v>13807.4</v>
      </c>
      <c r="L906">
        <v>13807.4</v>
      </c>
      <c r="M906">
        <v>1500</v>
      </c>
      <c r="N906" t="s">
        <v>1161</v>
      </c>
      <c r="O906" t="s">
        <v>1163</v>
      </c>
      <c r="Q906">
        <v>2</v>
      </c>
      <c r="R906" t="s">
        <v>1170</v>
      </c>
    </row>
    <row r="907" spans="1:18" x14ac:dyDescent="0.3">
      <c r="A907" s="2">
        <v>45737</v>
      </c>
      <c r="B907" t="s">
        <v>916</v>
      </c>
      <c r="C907" t="s">
        <v>1125</v>
      </c>
      <c r="D907" t="s">
        <v>1133</v>
      </c>
      <c r="E907" t="s">
        <v>1140</v>
      </c>
      <c r="F907" t="s">
        <v>1150</v>
      </c>
      <c r="G907" t="s">
        <v>1154</v>
      </c>
      <c r="H907">
        <v>1</v>
      </c>
      <c r="I907">
        <v>37354</v>
      </c>
      <c r="J907">
        <v>5</v>
      </c>
      <c r="K907">
        <v>35486.300000000003</v>
      </c>
      <c r="L907">
        <v>35486.300000000003</v>
      </c>
      <c r="M907">
        <v>2000</v>
      </c>
      <c r="N907" t="s">
        <v>1161</v>
      </c>
      <c r="O907" t="s">
        <v>1164</v>
      </c>
      <c r="P907" s="2">
        <v>45746</v>
      </c>
      <c r="Q907">
        <v>3</v>
      </c>
      <c r="R907" t="s">
        <v>1170</v>
      </c>
    </row>
    <row r="908" spans="1:18" x14ac:dyDescent="0.3">
      <c r="A908" s="2">
        <v>45660</v>
      </c>
      <c r="B908" t="s">
        <v>917</v>
      </c>
      <c r="C908" t="s">
        <v>1125</v>
      </c>
      <c r="D908" t="s">
        <v>1133</v>
      </c>
      <c r="E908" t="s">
        <v>1147</v>
      </c>
      <c r="F908" t="s">
        <v>1150</v>
      </c>
      <c r="G908" t="s">
        <v>1156</v>
      </c>
      <c r="H908">
        <v>4</v>
      </c>
      <c r="I908">
        <v>76823</v>
      </c>
      <c r="J908">
        <v>10</v>
      </c>
      <c r="K908">
        <v>69140.7</v>
      </c>
      <c r="L908">
        <v>276562.8</v>
      </c>
      <c r="M908">
        <v>1500</v>
      </c>
      <c r="N908" t="s">
        <v>1159</v>
      </c>
      <c r="O908" t="s">
        <v>1162</v>
      </c>
      <c r="Q908">
        <v>5</v>
      </c>
      <c r="R908" t="s">
        <v>1170</v>
      </c>
    </row>
    <row r="909" spans="1:18" x14ac:dyDescent="0.3">
      <c r="A909" s="2">
        <v>45771</v>
      </c>
      <c r="B909" t="s">
        <v>918</v>
      </c>
      <c r="C909" t="s">
        <v>1132</v>
      </c>
      <c r="D909" t="s">
        <v>1134</v>
      </c>
      <c r="E909" t="s">
        <v>1142</v>
      </c>
      <c r="F909" t="s">
        <v>1150</v>
      </c>
      <c r="G909" t="s">
        <v>1156</v>
      </c>
      <c r="H909">
        <v>1</v>
      </c>
      <c r="I909">
        <v>19873</v>
      </c>
      <c r="J909">
        <v>20</v>
      </c>
      <c r="K909">
        <v>15898.4</v>
      </c>
      <c r="L909">
        <v>15898.4</v>
      </c>
      <c r="M909">
        <v>1500</v>
      </c>
      <c r="N909" t="s">
        <v>1160</v>
      </c>
      <c r="O909" t="s">
        <v>1162</v>
      </c>
      <c r="Q909">
        <v>1</v>
      </c>
      <c r="R909" t="s">
        <v>1166</v>
      </c>
    </row>
    <row r="910" spans="1:18" x14ac:dyDescent="0.3">
      <c r="A910" s="2">
        <v>45741</v>
      </c>
      <c r="B910" t="s">
        <v>795</v>
      </c>
      <c r="C910" t="s">
        <v>1130</v>
      </c>
      <c r="D910" t="s">
        <v>1136</v>
      </c>
      <c r="E910" t="s">
        <v>1143</v>
      </c>
      <c r="F910" t="s">
        <v>1151</v>
      </c>
      <c r="G910" t="s">
        <v>1157</v>
      </c>
      <c r="H910">
        <v>1</v>
      </c>
      <c r="I910">
        <v>35919</v>
      </c>
      <c r="J910">
        <v>10</v>
      </c>
      <c r="K910">
        <v>32327.1</v>
      </c>
      <c r="L910">
        <v>32327.1</v>
      </c>
      <c r="M910">
        <v>1500</v>
      </c>
      <c r="N910" t="s">
        <v>1160</v>
      </c>
      <c r="O910" t="s">
        <v>1164</v>
      </c>
      <c r="P910" s="2">
        <v>45755</v>
      </c>
      <c r="Q910">
        <v>3</v>
      </c>
    </row>
    <row r="911" spans="1:18" x14ac:dyDescent="0.3">
      <c r="A911" s="2">
        <v>45706</v>
      </c>
      <c r="B911" t="s">
        <v>919</v>
      </c>
      <c r="C911" t="s">
        <v>1127</v>
      </c>
      <c r="D911" t="s">
        <v>1134</v>
      </c>
      <c r="E911" t="s">
        <v>1141</v>
      </c>
      <c r="F911" t="s">
        <v>1151</v>
      </c>
      <c r="G911" t="s">
        <v>1155</v>
      </c>
      <c r="H911">
        <v>5</v>
      </c>
      <c r="I911">
        <v>58454</v>
      </c>
      <c r="J911">
        <v>15</v>
      </c>
      <c r="K911">
        <v>49685.9</v>
      </c>
      <c r="L911">
        <v>248429.5</v>
      </c>
      <c r="M911">
        <v>2000</v>
      </c>
      <c r="N911" t="s">
        <v>1160</v>
      </c>
      <c r="O911" t="s">
        <v>1162</v>
      </c>
      <c r="Q911">
        <v>1</v>
      </c>
      <c r="R911" t="s">
        <v>1166</v>
      </c>
    </row>
    <row r="912" spans="1:18" x14ac:dyDescent="0.3">
      <c r="A912" s="2">
        <v>45786</v>
      </c>
      <c r="B912" t="s">
        <v>920</v>
      </c>
      <c r="C912" t="s">
        <v>1130</v>
      </c>
      <c r="D912" t="s">
        <v>1136</v>
      </c>
      <c r="E912" t="s">
        <v>1142</v>
      </c>
      <c r="F912" t="s">
        <v>1150</v>
      </c>
      <c r="G912" t="s">
        <v>1156</v>
      </c>
      <c r="H912">
        <v>2</v>
      </c>
      <c r="I912">
        <v>32037</v>
      </c>
      <c r="J912">
        <v>15</v>
      </c>
      <c r="K912">
        <v>27231.45</v>
      </c>
      <c r="L912">
        <v>54462.9</v>
      </c>
      <c r="M912">
        <v>1500</v>
      </c>
      <c r="N912" t="s">
        <v>1160</v>
      </c>
      <c r="O912" t="s">
        <v>1164</v>
      </c>
      <c r="P912" s="2">
        <v>45791</v>
      </c>
      <c r="Q912">
        <v>3</v>
      </c>
    </row>
    <row r="913" spans="1:18" x14ac:dyDescent="0.3">
      <c r="A913" s="2">
        <v>45715</v>
      </c>
      <c r="B913" t="s">
        <v>921</v>
      </c>
      <c r="C913" t="s">
        <v>1127</v>
      </c>
      <c r="D913" t="s">
        <v>1134</v>
      </c>
      <c r="E913" t="s">
        <v>1144</v>
      </c>
      <c r="F913" t="s">
        <v>1151</v>
      </c>
      <c r="G913" t="s">
        <v>1157</v>
      </c>
      <c r="H913">
        <v>2</v>
      </c>
      <c r="I913">
        <v>55641</v>
      </c>
      <c r="J913">
        <v>15</v>
      </c>
      <c r="K913">
        <v>47294.85</v>
      </c>
      <c r="L913">
        <v>94589.7</v>
      </c>
      <c r="M913">
        <v>1000</v>
      </c>
      <c r="N913" t="s">
        <v>1160</v>
      </c>
      <c r="O913" t="s">
        <v>1164</v>
      </c>
      <c r="P913" s="2">
        <v>45724</v>
      </c>
      <c r="Q913">
        <v>3</v>
      </c>
      <c r="R913" t="s">
        <v>1167</v>
      </c>
    </row>
    <row r="914" spans="1:18" x14ac:dyDescent="0.3">
      <c r="A914" s="2">
        <v>45787</v>
      </c>
      <c r="B914" t="s">
        <v>922</v>
      </c>
      <c r="C914" t="s">
        <v>1130</v>
      </c>
      <c r="D914" t="s">
        <v>1136</v>
      </c>
      <c r="E914" t="s">
        <v>1141</v>
      </c>
      <c r="F914" t="s">
        <v>1151</v>
      </c>
      <c r="G914" t="s">
        <v>1155</v>
      </c>
      <c r="H914">
        <v>1</v>
      </c>
      <c r="I914">
        <v>50203</v>
      </c>
      <c r="J914">
        <v>5</v>
      </c>
      <c r="K914">
        <v>47692.85</v>
      </c>
      <c r="L914">
        <v>47692.85</v>
      </c>
      <c r="M914">
        <v>2000</v>
      </c>
      <c r="N914" t="s">
        <v>1159</v>
      </c>
      <c r="O914" t="s">
        <v>1162</v>
      </c>
      <c r="R914" t="s">
        <v>1167</v>
      </c>
    </row>
    <row r="915" spans="1:18" x14ac:dyDescent="0.3">
      <c r="A915" s="2">
        <v>45689</v>
      </c>
      <c r="B915" t="s">
        <v>923</v>
      </c>
      <c r="C915" t="s">
        <v>1124</v>
      </c>
      <c r="D915" t="s">
        <v>1135</v>
      </c>
      <c r="E915" t="s">
        <v>1140</v>
      </c>
      <c r="F915" t="s">
        <v>1150</v>
      </c>
      <c r="G915" t="s">
        <v>1154</v>
      </c>
      <c r="H915">
        <v>4</v>
      </c>
      <c r="I915">
        <v>62767</v>
      </c>
      <c r="J915">
        <v>5</v>
      </c>
      <c r="K915">
        <v>59628.65</v>
      </c>
      <c r="L915">
        <v>238514.6</v>
      </c>
      <c r="M915">
        <v>2000</v>
      </c>
      <c r="N915" t="s">
        <v>1159</v>
      </c>
      <c r="O915" t="s">
        <v>1164</v>
      </c>
      <c r="P915" s="2">
        <v>45694</v>
      </c>
      <c r="Q915">
        <v>3</v>
      </c>
    </row>
    <row r="916" spans="1:18" x14ac:dyDescent="0.3">
      <c r="A916" s="2">
        <v>45718</v>
      </c>
      <c r="B916" t="s">
        <v>924</v>
      </c>
      <c r="C916" t="s">
        <v>1118</v>
      </c>
      <c r="D916" t="s">
        <v>1134</v>
      </c>
      <c r="E916" t="s">
        <v>1140</v>
      </c>
      <c r="F916" t="s">
        <v>1150</v>
      </c>
      <c r="G916" t="s">
        <v>1154</v>
      </c>
      <c r="H916">
        <v>1</v>
      </c>
      <c r="I916">
        <v>64804</v>
      </c>
      <c r="J916">
        <v>10</v>
      </c>
      <c r="K916">
        <v>58323.6</v>
      </c>
      <c r="L916">
        <v>58323.6</v>
      </c>
      <c r="M916">
        <v>1000</v>
      </c>
      <c r="N916" t="s">
        <v>1159</v>
      </c>
      <c r="O916" t="s">
        <v>1162</v>
      </c>
      <c r="Q916">
        <v>3</v>
      </c>
      <c r="R916" t="s">
        <v>1170</v>
      </c>
    </row>
    <row r="917" spans="1:18" x14ac:dyDescent="0.3">
      <c r="A917" s="2">
        <v>45710</v>
      </c>
      <c r="B917" t="s">
        <v>925</v>
      </c>
      <c r="C917" t="s">
        <v>1131</v>
      </c>
      <c r="D917" t="s">
        <v>1136</v>
      </c>
      <c r="E917" t="s">
        <v>1140</v>
      </c>
      <c r="F917" t="s">
        <v>1150</v>
      </c>
      <c r="G917" t="s">
        <v>1154</v>
      </c>
      <c r="H917">
        <v>4</v>
      </c>
      <c r="I917">
        <v>29041</v>
      </c>
      <c r="J917">
        <v>0</v>
      </c>
      <c r="K917">
        <v>29041</v>
      </c>
      <c r="L917">
        <v>116164</v>
      </c>
      <c r="M917">
        <v>1500</v>
      </c>
      <c r="N917" t="s">
        <v>1159</v>
      </c>
      <c r="O917" t="s">
        <v>1162</v>
      </c>
      <c r="Q917">
        <v>2</v>
      </c>
      <c r="R917" t="s">
        <v>1170</v>
      </c>
    </row>
    <row r="918" spans="1:18" x14ac:dyDescent="0.3">
      <c r="A918" s="2">
        <v>45803</v>
      </c>
      <c r="B918" t="s">
        <v>926</v>
      </c>
      <c r="C918" t="s">
        <v>1129</v>
      </c>
      <c r="D918" t="s">
        <v>1133</v>
      </c>
      <c r="E918" t="s">
        <v>1146</v>
      </c>
      <c r="F918" t="s">
        <v>1151</v>
      </c>
      <c r="G918" t="s">
        <v>1155</v>
      </c>
      <c r="H918">
        <v>4</v>
      </c>
      <c r="I918">
        <v>65407</v>
      </c>
      <c r="J918">
        <v>10</v>
      </c>
      <c r="K918">
        <v>58866.3</v>
      </c>
      <c r="L918">
        <v>235465.2</v>
      </c>
      <c r="M918">
        <v>2000</v>
      </c>
      <c r="N918" t="s">
        <v>1160</v>
      </c>
      <c r="O918" t="s">
        <v>1164</v>
      </c>
      <c r="P918" s="2">
        <v>45811</v>
      </c>
      <c r="R918" t="s">
        <v>1168</v>
      </c>
    </row>
    <row r="919" spans="1:18" x14ac:dyDescent="0.3">
      <c r="A919" s="2">
        <v>45710</v>
      </c>
      <c r="B919" t="s">
        <v>927</v>
      </c>
      <c r="C919" t="s">
        <v>1123</v>
      </c>
      <c r="D919" t="s">
        <v>1135</v>
      </c>
      <c r="E919" t="s">
        <v>1146</v>
      </c>
      <c r="F919" t="s">
        <v>1151</v>
      </c>
      <c r="G919" t="s">
        <v>1155</v>
      </c>
      <c r="H919">
        <v>3</v>
      </c>
      <c r="I919">
        <v>56041</v>
      </c>
      <c r="J919">
        <v>20</v>
      </c>
      <c r="K919">
        <v>44832.800000000003</v>
      </c>
      <c r="L919">
        <v>134498.4</v>
      </c>
      <c r="M919">
        <v>1500</v>
      </c>
      <c r="N919" t="s">
        <v>1159</v>
      </c>
      <c r="O919" t="s">
        <v>1162</v>
      </c>
      <c r="Q919">
        <v>4</v>
      </c>
      <c r="R919" t="s">
        <v>1170</v>
      </c>
    </row>
    <row r="920" spans="1:18" x14ac:dyDescent="0.3">
      <c r="A920" s="2">
        <v>45795</v>
      </c>
      <c r="B920" t="s">
        <v>928</v>
      </c>
      <c r="C920" t="s">
        <v>1124</v>
      </c>
      <c r="D920" t="s">
        <v>1135</v>
      </c>
      <c r="E920" t="s">
        <v>1148</v>
      </c>
      <c r="F920" t="s">
        <v>1149</v>
      </c>
      <c r="G920" t="s">
        <v>1152</v>
      </c>
      <c r="H920">
        <v>3</v>
      </c>
      <c r="I920">
        <v>26352</v>
      </c>
      <c r="J920">
        <v>20</v>
      </c>
      <c r="K920">
        <v>21081.599999999999</v>
      </c>
      <c r="L920">
        <v>63244.800000000003</v>
      </c>
      <c r="M920">
        <v>1000</v>
      </c>
      <c r="N920" t="s">
        <v>1159</v>
      </c>
      <c r="O920" t="s">
        <v>1163</v>
      </c>
      <c r="R920" t="s">
        <v>1170</v>
      </c>
    </row>
    <row r="921" spans="1:18" x14ac:dyDescent="0.3">
      <c r="A921" s="2">
        <v>45817</v>
      </c>
      <c r="B921" t="s">
        <v>929</v>
      </c>
      <c r="C921" t="s">
        <v>1125</v>
      </c>
      <c r="D921" t="s">
        <v>1133</v>
      </c>
      <c r="E921" t="s">
        <v>1139</v>
      </c>
      <c r="F921" t="s">
        <v>1150</v>
      </c>
      <c r="G921" t="s">
        <v>1154</v>
      </c>
      <c r="H921">
        <v>3</v>
      </c>
      <c r="I921">
        <v>22364</v>
      </c>
      <c r="J921">
        <v>10</v>
      </c>
      <c r="K921">
        <v>20127.599999999999</v>
      </c>
      <c r="L921">
        <v>60382.8</v>
      </c>
      <c r="M921">
        <v>2000</v>
      </c>
      <c r="N921" t="s">
        <v>1160</v>
      </c>
      <c r="O921" t="s">
        <v>1164</v>
      </c>
      <c r="P921" s="2">
        <v>45829</v>
      </c>
      <c r="Q921">
        <v>3</v>
      </c>
      <c r="R921" t="s">
        <v>1170</v>
      </c>
    </row>
    <row r="922" spans="1:18" x14ac:dyDescent="0.3">
      <c r="A922" s="2">
        <v>45783</v>
      </c>
      <c r="B922" t="s">
        <v>930</v>
      </c>
      <c r="C922" t="s">
        <v>1125</v>
      </c>
      <c r="D922" t="s">
        <v>1133</v>
      </c>
      <c r="E922" t="s">
        <v>1139</v>
      </c>
      <c r="F922" t="s">
        <v>1150</v>
      </c>
      <c r="G922" t="s">
        <v>1154</v>
      </c>
      <c r="H922">
        <v>2</v>
      </c>
      <c r="I922">
        <v>63372</v>
      </c>
      <c r="J922">
        <v>5</v>
      </c>
      <c r="K922">
        <v>60203.4</v>
      </c>
      <c r="L922">
        <v>120406.8</v>
      </c>
      <c r="M922">
        <v>1500</v>
      </c>
      <c r="N922" t="s">
        <v>1159</v>
      </c>
      <c r="O922" t="s">
        <v>1162</v>
      </c>
      <c r="Q922">
        <v>4</v>
      </c>
      <c r="R922" t="s">
        <v>1166</v>
      </c>
    </row>
    <row r="923" spans="1:18" x14ac:dyDescent="0.3">
      <c r="A923" s="2">
        <v>45696</v>
      </c>
      <c r="B923" t="s">
        <v>931</v>
      </c>
      <c r="C923" t="s">
        <v>1132</v>
      </c>
      <c r="D923" t="s">
        <v>1134</v>
      </c>
      <c r="E923" t="s">
        <v>1140</v>
      </c>
      <c r="F923" t="s">
        <v>1150</v>
      </c>
      <c r="G923" t="s">
        <v>1154</v>
      </c>
      <c r="H923">
        <v>1</v>
      </c>
      <c r="I923">
        <v>44353</v>
      </c>
      <c r="J923">
        <v>5</v>
      </c>
      <c r="K923">
        <v>42135.35</v>
      </c>
      <c r="L923">
        <v>42135.35</v>
      </c>
      <c r="M923">
        <v>1500</v>
      </c>
      <c r="N923" t="s">
        <v>1161</v>
      </c>
      <c r="O923" t="s">
        <v>1164</v>
      </c>
      <c r="P923" s="2">
        <v>45702</v>
      </c>
      <c r="Q923">
        <v>2</v>
      </c>
      <c r="R923" t="s">
        <v>1170</v>
      </c>
    </row>
    <row r="924" spans="1:18" x14ac:dyDescent="0.3">
      <c r="A924" s="2">
        <v>45697</v>
      </c>
      <c r="B924" t="s">
        <v>932</v>
      </c>
      <c r="C924" t="s">
        <v>1126</v>
      </c>
      <c r="D924" t="s">
        <v>1133</v>
      </c>
      <c r="E924" t="s">
        <v>1146</v>
      </c>
      <c r="F924" t="s">
        <v>1151</v>
      </c>
      <c r="G924" t="s">
        <v>1155</v>
      </c>
      <c r="H924">
        <v>2</v>
      </c>
      <c r="I924">
        <v>27589</v>
      </c>
      <c r="J924">
        <v>5</v>
      </c>
      <c r="K924">
        <v>26209.55</v>
      </c>
      <c r="L924">
        <v>52419.1</v>
      </c>
      <c r="M924">
        <v>1500</v>
      </c>
      <c r="N924" t="s">
        <v>1161</v>
      </c>
      <c r="O924" t="s">
        <v>1164</v>
      </c>
      <c r="P924" s="2">
        <v>45709</v>
      </c>
      <c r="Q924">
        <v>1</v>
      </c>
      <c r="R924" t="s">
        <v>1170</v>
      </c>
    </row>
    <row r="925" spans="1:18" x14ac:dyDescent="0.3">
      <c r="A925" s="2">
        <v>45835</v>
      </c>
      <c r="B925" t="s">
        <v>933</v>
      </c>
      <c r="C925" t="s">
        <v>1118</v>
      </c>
      <c r="D925" t="s">
        <v>1134</v>
      </c>
      <c r="E925" t="s">
        <v>1146</v>
      </c>
      <c r="F925" t="s">
        <v>1151</v>
      </c>
      <c r="G925" t="s">
        <v>1155</v>
      </c>
      <c r="H925">
        <v>1</v>
      </c>
      <c r="I925">
        <v>66793</v>
      </c>
      <c r="J925">
        <v>10</v>
      </c>
      <c r="K925">
        <v>60113.7</v>
      </c>
      <c r="L925">
        <v>60113.7</v>
      </c>
      <c r="M925">
        <v>1500</v>
      </c>
      <c r="N925" t="s">
        <v>1161</v>
      </c>
      <c r="O925" t="s">
        <v>1162</v>
      </c>
      <c r="Q925">
        <v>4</v>
      </c>
    </row>
    <row r="926" spans="1:18" x14ac:dyDescent="0.3">
      <c r="A926" s="2">
        <v>45806</v>
      </c>
      <c r="B926" t="s">
        <v>934</v>
      </c>
      <c r="C926" t="s">
        <v>1132</v>
      </c>
      <c r="D926" t="s">
        <v>1134</v>
      </c>
      <c r="E926" t="s">
        <v>1140</v>
      </c>
      <c r="F926" t="s">
        <v>1150</v>
      </c>
      <c r="G926" t="s">
        <v>1154</v>
      </c>
      <c r="H926">
        <v>3</v>
      </c>
      <c r="I926">
        <v>52240</v>
      </c>
      <c r="J926">
        <v>15</v>
      </c>
      <c r="K926">
        <v>44404</v>
      </c>
      <c r="L926">
        <v>133212</v>
      </c>
      <c r="M926">
        <v>2000</v>
      </c>
      <c r="N926" t="s">
        <v>1161</v>
      </c>
      <c r="O926" t="s">
        <v>1164</v>
      </c>
      <c r="P926" s="2">
        <v>45820</v>
      </c>
      <c r="Q926">
        <v>3</v>
      </c>
      <c r="R926" t="s">
        <v>1167</v>
      </c>
    </row>
    <row r="927" spans="1:18" x14ac:dyDescent="0.3">
      <c r="A927" s="2">
        <v>45818</v>
      </c>
      <c r="B927" t="s">
        <v>935</v>
      </c>
      <c r="C927" t="s">
        <v>1119</v>
      </c>
      <c r="D927" t="s">
        <v>1134</v>
      </c>
      <c r="E927" t="s">
        <v>1147</v>
      </c>
      <c r="F927" t="s">
        <v>1150</v>
      </c>
      <c r="G927" t="s">
        <v>1156</v>
      </c>
      <c r="H927">
        <v>2</v>
      </c>
      <c r="I927">
        <v>7675</v>
      </c>
      <c r="J927">
        <v>0</v>
      </c>
      <c r="K927">
        <v>7675</v>
      </c>
      <c r="L927">
        <v>15350</v>
      </c>
      <c r="M927">
        <v>2000</v>
      </c>
      <c r="N927" t="s">
        <v>1160</v>
      </c>
      <c r="O927" t="s">
        <v>1162</v>
      </c>
      <c r="R927" t="s">
        <v>1168</v>
      </c>
    </row>
    <row r="928" spans="1:18" x14ac:dyDescent="0.3">
      <c r="A928" s="2">
        <v>45677</v>
      </c>
      <c r="B928" t="s">
        <v>936</v>
      </c>
      <c r="C928" t="s">
        <v>1128</v>
      </c>
      <c r="D928" t="s">
        <v>1135</v>
      </c>
      <c r="E928" t="s">
        <v>1141</v>
      </c>
      <c r="F928" t="s">
        <v>1151</v>
      </c>
      <c r="G928" t="s">
        <v>1155</v>
      </c>
      <c r="H928">
        <v>5</v>
      </c>
      <c r="I928">
        <v>12538</v>
      </c>
      <c r="J928">
        <v>0</v>
      </c>
      <c r="K928">
        <v>12538</v>
      </c>
      <c r="L928">
        <v>62690</v>
      </c>
      <c r="M928">
        <v>1500</v>
      </c>
      <c r="N928" t="s">
        <v>1161</v>
      </c>
      <c r="O928" t="s">
        <v>1164</v>
      </c>
      <c r="P928" s="2">
        <v>45682</v>
      </c>
      <c r="Q928">
        <v>5</v>
      </c>
      <c r="R928" t="s">
        <v>1170</v>
      </c>
    </row>
    <row r="929" spans="1:18" x14ac:dyDescent="0.3">
      <c r="A929" s="2">
        <v>45811</v>
      </c>
      <c r="B929" t="s">
        <v>937</v>
      </c>
      <c r="C929" t="s">
        <v>1122</v>
      </c>
      <c r="D929" t="s">
        <v>1136</v>
      </c>
      <c r="E929" t="s">
        <v>1140</v>
      </c>
      <c r="F929" t="s">
        <v>1150</v>
      </c>
      <c r="G929" t="s">
        <v>1154</v>
      </c>
      <c r="H929">
        <v>5</v>
      </c>
      <c r="I929">
        <v>39161</v>
      </c>
      <c r="J929">
        <v>0</v>
      </c>
      <c r="K929">
        <v>39161</v>
      </c>
      <c r="L929">
        <v>195805</v>
      </c>
      <c r="M929">
        <v>1500</v>
      </c>
      <c r="N929" t="s">
        <v>1159</v>
      </c>
      <c r="O929" t="s">
        <v>1162</v>
      </c>
      <c r="Q929">
        <v>4</v>
      </c>
      <c r="R929" t="s">
        <v>1170</v>
      </c>
    </row>
    <row r="930" spans="1:18" x14ac:dyDescent="0.3">
      <c r="A930" s="2">
        <v>45799</v>
      </c>
      <c r="B930" t="s">
        <v>938</v>
      </c>
      <c r="C930" t="s">
        <v>1123</v>
      </c>
      <c r="D930" t="s">
        <v>1135</v>
      </c>
      <c r="E930" t="s">
        <v>1147</v>
      </c>
      <c r="F930" t="s">
        <v>1150</v>
      </c>
      <c r="G930" t="s">
        <v>1156</v>
      </c>
      <c r="H930">
        <v>4</v>
      </c>
      <c r="I930">
        <v>40732</v>
      </c>
      <c r="J930">
        <v>20</v>
      </c>
      <c r="K930">
        <v>32585.599999999999</v>
      </c>
      <c r="L930">
        <v>130342.39999999999</v>
      </c>
      <c r="M930">
        <v>2000</v>
      </c>
      <c r="N930" t="s">
        <v>1160</v>
      </c>
      <c r="O930" t="s">
        <v>1162</v>
      </c>
      <c r="Q930">
        <v>2</v>
      </c>
      <c r="R930" t="s">
        <v>1167</v>
      </c>
    </row>
    <row r="931" spans="1:18" x14ac:dyDescent="0.3">
      <c r="A931" s="2">
        <v>45667</v>
      </c>
      <c r="B931" t="s">
        <v>939</v>
      </c>
      <c r="C931" t="s">
        <v>1121</v>
      </c>
      <c r="D931" t="s">
        <v>1136</v>
      </c>
      <c r="E931" t="s">
        <v>1139</v>
      </c>
      <c r="F931" t="s">
        <v>1150</v>
      </c>
      <c r="G931" t="s">
        <v>1154</v>
      </c>
      <c r="H931">
        <v>3</v>
      </c>
      <c r="I931">
        <v>9713</v>
      </c>
      <c r="J931">
        <v>20</v>
      </c>
      <c r="K931">
        <v>7770.4</v>
      </c>
      <c r="L931">
        <v>23311.200000000001</v>
      </c>
      <c r="M931">
        <v>1500</v>
      </c>
      <c r="N931" t="s">
        <v>1159</v>
      </c>
      <c r="O931" t="s">
        <v>1163</v>
      </c>
    </row>
    <row r="932" spans="1:18" x14ac:dyDescent="0.3">
      <c r="A932" s="2">
        <v>45827</v>
      </c>
      <c r="B932" t="s">
        <v>940</v>
      </c>
      <c r="C932" t="s">
        <v>1132</v>
      </c>
      <c r="D932" t="s">
        <v>1134</v>
      </c>
      <c r="E932" t="s">
        <v>1142</v>
      </c>
      <c r="F932" t="s">
        <v>1150</v>
      </c>
      <c r="G932" t="s">
        <v>1156</v>
      </c>
      <c r="H932">
        <v>2</v>
      </c>
      <c r="I932">
        <v>25194</v>
      </c>
      <c r="J932">
        <v>0</v>
      </c>
      <c r="K932">
        <v>25194</v>
      </c>
      <c r="L932">
        <v>50388</v>
      </c>
      <c r="M932">
        <v>2000</v>
      </c>
      <c r="N932" t="s">
        <v>1160</v>
      </c>
      <c r="O932" t="s">
        <v>1164</v>
      </c>
      <c r="P932" s="2">
        <v>45832</v>
      </c>
      <c r="Q932">
        <v>1</v>
      </c>
      <c r="R932" t="s">
        <v>1170</v>
      </c>
    </row>
    <row r="933" spans="1:18" x14ac:dyDescent="0.3">
      <c r="A933" s="2">
        <v>45705</v>
      </c>
      <c r="B933" t="s">
        <v>941</v>
      </c>
      <c r="C933" t="s">
        <v>1130</v>
      </c>
      <c r="D933" t="s">
        <v>1136</v>
      </c>
      <c r="E933" t="s">
        <v>1138</v>
      </c>
      <c r="F933" t="s">
        <v>1149</v>
      </c>
      <c r="G933" t="s">
        <v>1153</v>
      </c>
      <c r="H933">
        <v>5</v>
      </c>
      <c r="I933">
        <v>58053</v>
      </c>
      <c r="J933">
        <v>0</v>
      </c>
      <c r="K933">
        <v>58053</v>
      </c>
      <c r="L933">
        <v>290265</v>
      </c>
      <c r="M933">
        <v>1500</v>
      </c>
      <c r="N933" t="s">
        <v>1159</v>
      </c>
      <c r="O933" t="s">
        <v>1163</v>
      </c>
      <c r="Q933">
        <v>5</v>
      </c>
    </row>
    <row r="934" spans="1:18" x14ac:dyDescent="0.3">
      <c r="A934" s="2">
        <v>45836</v>
      </c>
      <c r="B934" t="s">
        <v>942</v>
      </c>
      <c r="C934" t="s">
        <v>1121</v>
      </c>
      <c r="D934" t="s">
        <v>1136</v>
      </c>
      <c r="E934" t="s">
        <v>1148</v>
      </c>
      <c r="F934" t="s">
        <v>1149</v>
      </c>
      <c r="G934" t="s">
        <v>1152</v>
      </c>
      <c r="H934">
        <v>3</v>
      </c>
      <c r="I934">
        <v>58053</v>
      </c>
      <c r="J934">
        <v>0</v>
      </c>
      <c r="K934">
        <v>58053</v>
      </c>
      <c r="L934">
        <v>174159</v>
      </c>
      <c r="M934">
        <v>2000</v>
      </c>
      <c r="N934" t="s">
        <v>1159</v>
      </c>
      <c r="O934" t="s">
        <v>1164</v>
      </c>
      <c r="P934" s="2">
        <v>45847</v>
      </c>
      <c r="Q934">
        <v>4</v>
      </c>
    </row>
    <row r="935" spans="1:18" x14ac:dyDescent="0.3">
      <c r="A935" s="2">
        <v>45667</v>
      </c>
      <c r="B935" t="s">
        <v>943</v>
      </c>
      <c r="C935" t="s">
        <v>1124</v>
      </c>
      <c r="D935" t="s">
        <v>1135</v>
      </c>
      <c r="E935" t="s">
        <v>1148</v>
      </c>
      <c r="F935" t="s">
        <v>1149</v>
      </c>
      <c r="G935" t="s">
        <v>1152</v>
      </c>
      <c r="H935">
        <v>1</v>
      </c>
      <c r="I935">
        <v>1670</v>
      </c>
      <c r="J935">
        <v>20</v>
      </c>
      <c r="K935">
        <v>1336</v>
      </c>
      <c r="L935">
        <v>1336</v>
      </c>
      <c r="M935">
        <v>1500</v>
      </c>
      <c r="N935" t="s">
        <v>1160</v>
      </c>
      <c r="O935" t="s">
        <v>1163</v>
      </c>
      <c r="Q935">
        <v>1</v>
      </c>
      <c r="R935" t="s">
        <v>1170</v>
      </c>
    </row>
    <row r="936" spans="1:18" x14ac:dyDescent="0.3">
      <c r="A936" s="2">
        <v>45764</v>
      </c>
      <c r="B936" t="s">
        <v>944</v>
      </c>
      <c r="C936" t="s">
        <v>1122</v>
      </c>
      <c r="D936" t="s">
        <v>1136</v>
      </c>
      <c r="E936" t="s">
        <v>1145</v>
      </c>
      <c r="F936" t="s">
        <v>1149</v>
      </c>
      <c r="G936" t="s">
        <v>1153</v>
      </c>
      <c r="H936">
        <v>2</v>
      </c>
      <c r="I936">
        <v>23128</v>
      </c>
      <c r="J936">
        <v>15</v>
      </c>
      <c r="K936">
        <v>19658.8</v>
      </c>
      <c r="L936">
        <v>39317.599999999999</v>
      </c>
      <c r="M936">
        <v>2000</v>
      </c>
      <c r="N936" t="s">
        <v>1159</v>
      </c>
      <c r="O936" t="s">
        <v>1162</v>
      </c>
      <c r="Q936">
        <v>2</v>
      </c>
      <c r="R936" t="s">
        <v>1169</v>
      </c>
    </row>
    <row r="937" spans="1:18" x14ac:dyDescent="0.3">
      <c r="A937" s="2">
        <v>45743</v>
      </c>
      <c r="B937" t="s">
        <v>945</v>
      </c>
      <c r="C937" t="s">
        <v>1129</v>
      </c>
      <c r="D937" t="s">
        <v>1133</v>
      </c>
      <c r="E937" t="s">
        <v>1144</v>
      </c>
      <c r="F937" t="s">
        <v>1151</v>
      </c>
      <c r="G937" t="s">
        <v>1157</v>
      </c>
      <c r="H937">
        <v>1</v>
      </c>
      <c r="I937">
        <v>74174</v>
      </c>
      <c r="J937">
        <v>10</v>
      </c>
      <c r="K937">
        <v>66756.600000000006</v>
      </c>
      <c r="L937">
        <v>66756.600000000006</v>
      </c>
      <c r="M937">
        <v>1500</v>
      </c>
      <c r="N937" t="s">
        <v>1160</v>
      </c>
      <c r="O937" t="s">
        <v>1162</v>
      </c>
      <c r="Q937">
        <v>2</v>
      </c>
      <c r="R937" t="s">
        <v>1169</v>
      </c>
    </row>
    <row r="938" spans="1:18" x14ac:dyDescent="0.3">
      <c r="A938" s="2">
        <v>45678</v>
      </c>
      <c r="B938" t="s">
        <v>946</v>
      </c>
      <c r="C938" t="s">
        <v>1125</v>
      </c>
      <c r="D938" t="s">
        <v>1133</v>
      </c>
      <c r="E938" t="s">
        <v>1139</v>
      </c>
      <c r="F938" t="s">
        <v>1150</v>
      </c>
      <c r="G938" t="s">
        <v>1154</v>
      </c>
      <c r="H938">
        <v>2</v>
      </c>
      <c r="I938">
        <v>38000</v>
      </c>
      <c r="J938">
        <v>20</v>
      </c>
      <c r="K938">
        <v>30400</v>
      </c>
      <c r="L938">
        <v>60800</v>
      </c>
      <c r="M938">
        <v>1000</v>
      </c>
      <c r="N938" t="s">
        <v>1161</v>
      </c>
      <c r="O938" t="s">
        <v>1163</v>
      </c>
      <c r="Q938">
        <v>2</v>
      </c>
      <c r="R938" t="s">
        <v>1166</v>
      </c>
    </row>
    <row r="939" spans="1:18" x14ac:dyDescent="0.3">
      <c r="A939" s="2">
        <v>45792</v>
      </c>
      <c r="B939" t="s">
        <v>947</v>
      </c>
      <c r="C939" t="s">
        <v>1125</v>
      </c>
      <c r="D939" t="s">
        <v>1133</v>
      </c>
      <c r="E939" t="s">
        <v>1142</v>
      </c>
      <c r="F939" t="s">
        <v>1150</v>
      </c>
      <c r="G939" t="s">
        <v>1156</v>
      </c>
      <c r="H939">
        <v>1</v>
      </c>
      <c r="I939">
        <v>53554</v>
      </c>
      <c r="J939">
        <v>15</v>
      </c>
      <c r="K939">
        <v>45520.9</v>
      </c>
      <c r="L939">
        <v>45520.9</v>
      </c>
      <c r="M939">
        <v>2000</v>
      </c>
      <c r="N939" t="s">
        <v>1159</v>
      </c>
      <c r="O939" t="s">
        <v>1164</v>
      </c>
      <c r="P939" s="2">
        <v>45799</v>
      </c>
      <c r="Q939">
        <v>2</v>
      </c>
    </row>
    <row r="940" spans="1:18" x14ac:dyDescent="0.3">
      <c r="A940" s="2">
        <v>45707</v>
      </c>
      <c r="B940" t="s">
        <v>948</v>
      </c>
      <c r="C940" t="s">
        <v>1129</v>
      </c>
      <c r="D940" t="s">
        <v>1133</v>
      </c>
      <c r="E940" t="s">
        <v>1147</v>
      </c>
      <c r="F940" t="s">
        <v>1150</v>
      </c>
      <c r="G940" t="s">
        <v>1156</v>
      </c>
      <c r="H940">
        <v>1</v>
      </c>
      <c r="I940">
        <v>73865</v>
      </c>
      <c r="J940">
        <v>0</v>
      </c>
      <c r="K940">
        <v>73865</v>
      </c>
      <c r="L940">
        <v>73865</v>
      </c>
      <c r="M940">
        <v>1000</v>
      </c>
      <c r="N940" t="s">
        <v>1160</v>
      </c>
      <c r="O940" t="s">
        <v>1163</v>
      </c>
      <c r="Q940">
        <v>2</v>
      </c>
    </row>
    <row r="941" spans="1:18" x14ac:dyDescent="0.3">
      <c r="A941" s="2">
        <v>45767</v>
      </c>
      <c r="B941" t="s">
        <v>949</v>
      </c>
      <c r="C941" t="s">
        <v>1131</v>
      </c>
      <c r="D941" t="s">
        <v>1136</v>
      </c>
      <c r="E941" t="s">
        <v>1144</v>
      </c>
      <c r="F941" t="s">
        <v>1151</v>
      </c>
      <c r="G941" t="s">
        <v>1157</v>
      </c>
      <c r="H941">
        <v>3</v>
      </c>
      <c r="I941">
        <v>76760</v>
      </c>
      <c r="J941">
        <v>10</v>
      </c>
      <c r="K941">
        <v>69084</v>
      </c>
      <c r="L941">
        <v>207252</v>
      </c>
      <c r="M941">
        <v>1000</v>
      </c>
      <c r="N941" t="s">
        <v>1159</v>
      </c>
      <c r="O941" t="s">
        <v>1162</v>
      </c>
      <c r="R941" t="s">
        <v>1166</v>
      </c>
    </row>
    <row r="942" spans="1:18" x14ac:dyDescent="0.3">
      <c r="A942" s="2">
        <v>45680</v>
      </c>
      <c r="B942" t="s">
        <v>950</v>
      </c>
      <c r="C942" t="s">
        <v>1128</v>
      </c>
      <c r="D942" t="s">
        <v>1135</v>
      </c>
      <c r="E942" t="s">
        <v>1139</v>
      </c>
      <c r="F942" t="s">
        <v>1150</v>
      </c>
      <c r="G942" t="s">
        <v>1154</v>
      </c>
      <c r="H942">
        <v>5</v>
      </c>
      <c r="I942">
        <v>75312</v>
      </c>
      <c r="J942">
        <v>15</v>
      </c>
      <c r="K942">
        <v>64015.199999999997</v>
      </c>
      <c r="L942">
        <v>320076</v>
      </c>
      <c r="M942">
        <v>2000</v>
      </c>
      <c r="N942" t="s">
        <v>1161</v>
      </c>
      <c r="O942" t="s">
        <v>1162</v>
      </c>
      <c r="Q942">
        <v>2</v>
      </c>
      <c r="R942" t="s">
        <v>1168</v>
      </c>
    </row>
    <row r="943" spans="1:18" x14ac:dyDescent="0.3">
      <c r="A943" s="2">
        <v>45810</v>
      </c>
      <c r="B943" t="s">
        <v>951</v>
      </c>
      <c r="C943" t="s">
        <v>1121</v>
      </c>
      <c r="D943" t="s">
        <v>1136</v>
      </c>
      <c r="E943" t="s">
        <v>1138</v>
      </c>
      <c r="F943" t="s">
        <v>1149</v>
      </c>
      <c r="G943" t="s">
        <v>1153</v>
      </c>
      <c r="H943">
        <v>3</v>
      </c>
      <c r="I943">
        <v>9954</v>
      </c>
      <c r="J943">
        <v>5</v>
      </c>
      <c r="K943">
        <v>9456.2999999999993</v>
      </c>
      <c r="L943">
        <v>28368.9</v>
      </c>
      <c r="M943">
        <v>2000</v>
      </c>
      <c r="N943" t="s">
        <v>1161</v>
      </c>
      <c r="O943" t="s">
        <v>1162</v>
      </c>
      <c r="Q943">
        <v>2</v>
      </c>
      <c r="R943" t="s">
        <v>1167</v>
      </c>
    </row>
    <row r="944" spans="1:18" x14ac:dyDescent="0.3">
      <c r="A944" s="2">
        <v>45721</v>
      </c>
      <c r="B944" t="s">
        <v>952</v>
      </c>
      <c r="C944" t="s">
        <v>1119</v>
      </c>
      <c r="D944" t="s">
        <v>1134</v>
      </c>
      <c r="E944" t="s">
        <v>1148</v>
      </c>
      <c r="F944" t="s">
        <v>1149</v>
      </c>
      <c r="G944" t="s">
        <v>1152</v>
      </c>
      <c r="H944">
        <v>5</v>
      </c>
      <c r="I944">
        <v>1595</v>
      </c>
      <c r="J944">
        <v>20</v>
      </c>
      <c r="K944">
        <v>1276</v>
      </c>
      <c r="L944">
        <v>6380</v>
      </c>
      <c r="M944">
        <v>2000</v>
      </c>
      <c r="N944" t="s">
        <v>1160</v>
      </c>
      <c r="O944" t="s">
        <v>1163</v>
      </c>
      <c r="Q944">
        <v>3</v>
      </c>
      <c r="R944" t="s">
        <v>1168</v>
      </c>
    </row>
    <row r="945" spans="1:18" x14ac:dyDescent="0.3">
      <c r="A945" s="2">
        <v>45785</v>
      </c>
      <c r="B945" t="s">
        <v>953</v>
      </c>
      <c r="C945" t="s">
        <v>1125</v>
      </c>
      <c r="D945" t="s">
        <v>1133</v>
      </c>
      <c r="E945" t="s">
        <v>1142</v>
      </c>
      <c r="F945" t="s">
        <v>1150</v>
      </c>
      <c r="G945" t="s">
        <v>1156</v>
      </c>
      <c r="H945">
        <v>4</v>
      </c>
      <c r="I945">
        <v>52236</v>
      </c>
      <c r="J945">
        <v>0</v>
      </c>
      <c r="K945">
        <v>52236</v>
      </c>
      <c r="L945">
        <v>208944</v>
      </c>
      <c r="M945">
        <v>1000</v>
      </c>
      <c r="N945" t="s">
        <v>1161</v>
      </c>
      <c r="O945" t="s">
        <v>1164</v>
      </c>
      <c r="P945" s="2">
        <v>45791</v>
      </c>
      <c r="Q945">
        <v>2</v>
      </c>
      <c r="R945" t="s">
        <v>1170</v>
      </c>
    </row>
    <row r="946" spans="1:18" x14ac:dyDescent="0.3">
      <c r="A946" s="2">
        <v>45803</v>
      </c>
      <c r="B946" t="s">
        <v>954</v>
      </c>
      <c r="C946" t="s">
        <v>1122</v>
      </c>
      <c r="D946" t="s">
        <v>1136</v>
      </c>
      <c r="E946" t="s">
        <v>1137</v>
      </c>
      <c r="F946" t="s">
        <v>1149</v>
      </c>
      <c r="G946" t="s">
        <v>1152</v>
      </c>
      <c r="H946">
        <v>2</v>
      </c>
      <c r="I946">
        <v>10321</v>
      </c>
      <c r="J946">
        <v>20</v>
      </c>
      <c r="K946">
        <v>8256.7999999999993</v>
      </c>
      <c r="L946">
        <v>16513.599999999999</v>
      </c>
      <c r="M946">
        <v>1000</v>
      </c>
      <c r="N946" t="s">
        <v>1159</v>
      </c>
      <c r="O946" t="s">
        <v>1163</v>
      </c>
      <c r="Q946">
        <v>2</v>
      </c>
      <c r="R946" t="s">
        <v>1170</v>
      </c>
    </row>
    <row r="947" spans="1:18" x14ac:dyDescent="0.3">
      <c r="A947" s="2">
        <v>45782</v>
      </c>
      <c r="B947" t="s">
        <v>955</v>
      </c>
      <c r="C947" t="s">
        <v>1126</v>
      </c>
      <c r="D947" t="s">
        <v>1133</v>
      </c>
      <c r="E947" t="s">
        <v>1148</v>
      </c>
      <c r="F947" t="s">
        <v>1149</v>
      </c>
      <c r="G947" t="s">
        <v>1152</v>
      </c>
      <c r="H947">
        <v>4</v>
      </c>
      <c r="I947">
        <v>40055</v>
      </c>
      <c r="J947">
        <v>5</v>
      </c>
      <c r="K947">
        <v>38052.25</v>
      </c>
      <c r="L947">
        <v>152209</v>
      </c>
      <c r="M947">
        <v>1500</v>
      </c>
      <c r="N947" t="s">
        <v>1160</v>
      </c>
      <c r="O947" t="s">
        <v>1164</v>
      </c>
      <c r="P947" s="2">
        <v>45792</v>
      </c>
      <c r="Q947">
        <v>4</v>
      </c>
    </row>
    <row r="948" spans="1:18" x14ac:dyDescent="0.3">
      <c r="A948" s="2">
        <v>45670</v>
      </c>
      <c r="B948" t="s">
        <v>956</v>
      </c>
      <c r="C948" t="s">
        <v>1128</v>
      </c>
      <c r="D948" t="s">
        <v>1135</v>
      </c>
      <c r="E948" t="s">
        <v>1146</v>
      </c>
      <c r="F948" t="s">
        <v>1151</v>
      </c>
      <c r="G948" t="s">
        <v>1155</v>
      </c>
      <c r="H948">
        <v>1</v>
      </c>
      <c r="I948">
        <v>28717</v>
      </c>
      <c r="J948">
        <v>15</v>
      </c>
      <c r="K948">
        <v>24409.45</v>
      </c>
      <c r="L948">
        <v>24409.45</v>
      </c>
      <c r="M948">
        <v>1500</v>
      </c>
      <c r="N948" t="s">
        <v>1159</v>
      </c>
      <c r="O948" t="s">
        <v>1163</v>
      </c>
      <c r="Q948">
        <v>2</v>
      </c>
    </row>
    <row r="949" spans="1:18" x14ac:dyDescent="0.3">
      <c r="A949" s="2">
        <v>45688</v>
      </c>
      <c r="B949" t="s">
        <v>957</v>
      </c>
      <c r="C949" t="s">
        <v>1120</v>
      </c>
      <c r="D949" t="s">
        <v>1135</v>
      </c>
      <c r="E949" t="s">
        <v>1145</v>
      </c>
      <c r="F949" t="s">
        <v>1149</v>
      </c>
      <c r="G949" t="s">
        <v>1153</v>
      </c>
      <c r="H949">
        <v>4</v>
      </c>
      <c r="I949">
        <v>24190</v>
      </c>
      <c r="J949">
        <v>20</v>
      </c>
      <c r="K949">
        <v>19352</v>
      </c>
      <c r="L949">
        <v>77408</v>
      </c>
      <c r="M949">
        <v>1500</v>
      </c>
      <c r="N949" t="s">
        <v>1160</v>
      </c>
      <c r="O949" t="s">
        <v>1162</v>
      </c>
      <c r="Q949">
        <v>3</v>
      </c>
      <c r="R949" t="s">
        <v>1166</v>
      </c>
    </row>
    <row r="950" spans="1:18" x14ac:dyDescent="0.3">
      <c r="A950" s="2">
        <v>45763</v>
      </c>
      <c r="B950" t="s">
        <v>958</v>
      </c>
      <c r="C950" t="s">
        <v>1128</v>
      </c>
      <c r="D950" t="s">
        <v>1135</v>
      </c>
      <c r="E950" t="s">
        <v>1144</v>
      </c>
      <c r="F950" t="s">
        <v>1151</v>
      </c>
      <c r="G950" t="s">
        <v>1157</v>
      </c>
      <c r="H950">
        <v>2</v>
      </c>
      <c r="I950">
        <v>63324</v>
      </c>
      <c r="J950">
        <v>10</v>
      </c>
      <c r="K950">
        <v>56991.6</v>
      </c>
      <c r="L950">
        <v>113983.2</v>
      </c>
      <c r="M950">
        <v>1000</v>
      </c>
      <c r="N950" t="s">
        <v>1160</v>
      </c>
      <c r="O950" t="s">
        <v>1162</v>
      </c>
      <c r="Q950">
        <v>4</v>
      </c>
      <c r="R950" t="s">
        <v>1169</v>
      </c>
    </row>
    <row r="951" spans="1:18" x14ac:dyDescent="0.3">
      <c r="A951" s="2">
        <v>45687</v>
      </c>
      <c r="B951" t="s">
        <v>959</v>
      </c>
      <c r="C951" t="s">
        <v>1132</v>
      </c>
      <c r="D951" t="s">
        <v>1134</v>
      </c>
      <c r="E951" t="s">
        <v>1144</v>
      </c>
      <c r="F951" t="s">
        <v>1151</v>
      </c>
      <c r="G951" t="s">
        <v>1157</v>
      </c>
      <c r="H951">
        <v>2</v>
      </c>
      <c r="I951">
        <v>45297</v>
      </c>
      <c r="J951">
        <v>20</v>
      </c>
      <c r="K951">
        <v>36237.599999999999</v>
      </c>
      <c r="L951">
        <v>72475.199999999997</v>
      </c>
      <c r="M951">
        <v>1500</v>
      </c>
      <c r="N951" t="s">
        <v>1160</v>
      </c>
      <c r="O951" t="s">
        <v>1163</v>
      </c>
      <c r="Q951">
        <v>3</v>
      </c>
      <c r="R951" t="s">
        <v>1169</v>
      </c>
    </row>
    <row r="952" spans="1:18" x14ac:dyDescent="0.3">
      <c r="A952" s="2">
        <v>45773</v>
      </c>
      <c r="B952" t="s">
        <v>960</v>
      </c>
      <c r="C952" t="s">
        <v>1131</v>
      </c>
      <c r="D952" t="s">
        <v>1136</v>
      </c>
      <c r="E952" t="s">
        <v>1138</v>
      </c>
      <c r="F952" t="s">
        <v>1149</v>
      </c>
      <c r="G952" t="s">
        <v>1153</v>
      </c>
      <c r="H952">
        <v>1</v>
      </c>
      <c r="I952">
        <v>43225</v>
      </c>
      <c r="J952">
        <v>0</v>
      </c>
      <c r="K952">
        <v>43225</v>
      </c>
      <c r="L952">
        <v>43225</v>
      </c>
      <c r="M952">
        <v>1500</v>
      </c>
      <c r="N952" t="s">
        <v>1160</v>
      </c>
      <c r="O952" t="s">
        <v>1164</v>
      </c>
      <c r="P952" s="2">
        <v>45776</v>
      </c>
      <c r="Q952">
        <v>4</v>
      </c>
      <c r="R952" t="s">
        <v>1170</v>
      </c>
    </row>
    <row r="953" spans="1:18" x14ac:dyDescent="0.3">
      <c r="A953" s="2">
        <v>45723</v>
      </c>
      <c r="B953" t="s">
        <v>961</v>
      </c>
      <c r="C953" t="s">
        <v>1123</v>
      </c>
      <c r="D953" t="s">
        <v>1135</v>
      </c>
      <c r="E953" t="s">
        <v>1143</v>
      </c>
      <c r="F953" t="s">
        <v>1151</v>
      </c>
      <c r="G953" t="s">
        <v>1157</v>
      </c>
      <c r="H953">
        <v>1</v>
      </c>
      <c r="I953">
        <v>18806</v>
      </c>
      <c r="J953">
        <v>0</v>
      </c>
      <c r="K953">
        <v>18806</v>
      </c>
      <c r="L953">
        <v>18806</v>
      </c>
      <c r="M953">
        <v>1000</v>
      </c>
      <c r="N953" t="s">
        <v>1159</v>
      </c>
      <c r="O953" t="s">
        <v>1163</v>
      </c>
      <c r="Q953">
        <v>3</v>
      </c>
    </row>
    <row r="954" spans="1:18" x14ac:dyDescent="0.3">
      <c r="A954" s="2">
        <v>45782</v>
      </c>
      <c r="B954" t="s">
        <v>962</v>
      </c>
      <c r="C954" t="s">
        <v>1131</v>
      </c>
      <c r="D954" t="s">
        <v>1136</v>
      </c>
      <c r="E954" t="s">
        <v>1147</v>
      </c>
      <c r="F954" t="s">
        <v>1150</v>
      </c>
      <c r="G954" t="s">
        <v>1156</v>
      </c>
      <c r="H954">
        <v>5</v>
      </c>
      <c r="I954">
        <v>34727</v>
      </c>
      <c r="J954">
        <v>5</v>
      </c>
      <c r="K954">
        <v>32990.65</v>
      </c>
      <c r="L954">
        <v>164953.25</v>
      </c>
      <c r="M954">
        <v>1000</v>
      </c>
      <c r="N954" t="s">
        <v>1161</v>
      </c>
      <c r="O954" t="s">
        <v>1163</v>
      </c>
      <c r="Q954">
        <v>4</v>
      </c>
      <c r="R954" t="s">
        <v>1169</v>
      </c>
    </row>
    <row r="955" spans="1:18" x14ac:dyDescent="0.3">
      <c r="A955" s="2">
        <v>45766</v>
      </c>
      <c r="B955" t="s">
        <v>963</v>
      </c>
      <c r="C955" t="s">
        <v>1117</v>
      </c>
      <c r="D955" t="s">
        <v>1133</v>
      </c>
      <c r="E955" t="s">
        <v>1140</v>
      </c>
      <c r="F955" t="s">
        <v>1150</v>
      </c>
      <c r="G955" t="s">
        <v>1154</v>
      </c>
      <c r="H955">
        <v>3</v>
      </c>
      <c r="I955">
        <v>21765</v>
      </c>
      <c r="J955">
        <v>20</v>
      </c>
      <c r="K955">
        <v>17412</v>
      </c>
      <c r="L955">
        <v>52236</v>
      </c>
      <c r="M955">
        <v>2000</v>
      </c>
      <c r="N955" t="s">
        <v>1159</v>
      </c>
      <c r="O955" t="s">
        <v>1163</v>
      </c>
      <c r="Q955">
        <v>3</v>
      </c>
    </row>
    <row r="956" spans="1:18" x14ac:dyDescent="0.3">
      <c r="A956" s="2">
        <v>45705</v>
      </c>
      <c r="B956" t="s">
        <v>964</v>
      </c>
      <c r="C956" t="s">
        <v>1129</v>
      </c>
      <c r="D956" t="s">
        <v>1133</v>
      </c>
      <c r="E956" t="s">
        <v>1139</v>
      </c>
      <c r="F956" t="s">
        <v>1150</v>
      </c>
      <c r="G956" t="s">
        <v>1154</v>
      </c>
      <c r="H956">
        <v>1</v>
      </c>
      <c r="I956">
        <v>22352</v>
      </c>
      <c r="J956">
        <v>10</v>
      </c>
      <c r="K956">
        <v>20116.8</v>
      </c>
      <c r="L956">
        <v>20116.8</v>
      </c>
      <c r="M956">
        <v>1500</v>
      </c>
      <c r="N956" t="s">
        <v>1161</v>
      </c>
      <c r="O956" t="s">
        <v>1162</v>
      </c>
      <c r="Q956">
        <v>1</v>
      </c>
      <c r="R956" t="s">
        <v>1167</v>
      </c>
    </row>
    <row r="957" spans="1:18" x14ac:dyDescent="0.3">
      <c r="A957" s="2">
        <v>45692</v>
      </c>
      <c r="B957" t="s">
        <v>965</v>
      </c>
      <c r="C957" t="s">
        <v>1129</v>
      </c>
      <c r="D957" t="s">
        <v>1133</v>
      </c>
      <c r="E957" t="s">
        <v>1137</v>
      </c>
      <c r="F957" t="s">
        <v>1149</v>
      </c>
      <c r="G957" t="s">
        <v>1152</v>
      </c>
      <c r="H957">
        <v>3</v>
      </c>
      <c r="I957">
        <v>66090</v>
      </c>
      <c r="J957">
        <v>10</v>
      </c>
      <c r="K957">
        <v>59481</v>
      </c>
      <c r="L957">
        <v>178443</v>
      </c>
      <c r="M957">
        <v>1000</v>
      </c>
      <c r="N957" t="s">
        <v>1161</v>
      </c>
      <c r="O957" t="s">
        <v>1164</v>
      </c>
      <c r="P957" s="2">
        <v>45703</v>
      </c>
      <c r="Q957">
        <v>2</v>
      </c>
      <c r="R957" t="s">
        <v>1169</v>
      </c>
    </row>
    <row r="958" spans="1:18" x14ac:dyDescent="0.3">
      <c r="A958" s="2">
        <v>45689</v>
      </c>
      <c r="B958" t="s">
        <v>966</v>
      </c>
      <c r="C958" t="s">
        <v>1130</v>
      </c>
      <c r="D958" t="s">
        <v>1136</v>
      </c>
      <c r="E958" t="s">
        <v>1147</v>
      </c>
      <c r="F958" t="s">
        <v>1150</v>
      </c>
      <c r="G958" t="s">
        <v>1156</v>
      </c>
      <c r="H958">
        <v>4</v>
      </c>
      <c r="I958">
        <v>38316</v>
      </c>
      <c r="J958">
        <v>10</v>
      </c>
      <c r="K958">
        <v>34484.400000000001</v>
      </c>
      <c r="L958">
        <v>137937.60000000001</v>
      </c>
      <c r="M958">
        <v>2000</v>
      </c>
      <c r="N958" t="s">
        <v>1160</v>
      </c>
      <c r="O958" t="s">
        <v>1164</v>
      </c>
      <c r="P958" s="2">
        <v>45696</v>
      </c>
      <c r="Q958">
        <v>4</v>
      </c>
    </row>
    <row r="959" spans="1:18" x14ac:dyDescent="0.3">
      <c r="A959" s="2">
        <v>45710</v>
      </c>
      <c r="B959" t="s">
        <v>967</v>
      </c>
      <c r="C959" t="s">
        <v>1121</v>
      </c>
      <c r="D959" t="s">
        <v>1136</v>
      </c>
      <c r="E959" t="s">
        <v>1141</v>
      </c>
      <c r="F959" t="s">
        <v>1151</v>
      </c>
      <c r="G959" t="s">
        <v>1155</v>
      </c>
      <c r="H959">
        <v>2</v>
      </c>
      <c r="I959">
        <v>55245</v>
      </c>
      <c r="J959">
        <v>10</v>
      </c>
      <c r="K959">
        <v>49720.5</v>
      </c>
      <c r="L959">
        <v>99441</v>
      </c>
      <c r="M959">
        <v>2000</v>
      </c>
      <c r="N959" t="s">
        <v>1159</v>
      </c>
      <c r="O959" t="s">
        <v>1162</v>
      </c>
      <c r="Q959">
        <v>1</v>
      </c>
      <c r="R959" t="s">
        <v>1170</v>
      </c>
    </row>
    <row r="960" spans="1:18" x14ac:dyDescent="0.3">
      <c r="A960" s="2">
        <v>45828</v>
      </c>
      <c r="B960" t="s">
        <v>968</v>
      </c>
      <c r="C960" t="s">
        <v>1132</v>
      </c>
      <c r="D960" t="s">
        <v>1134</v>
      </c>
      <c r="E960" t="s">
        <v>1139</v>
      </c>
      <c r="F960" t="s">
        <v>1150</v>
      </c>
      <c r="G960" t="s">
        <v>1154</v>
      </c>
      <c r="H960">
        <v>3</v>
      </c>
      <c r="I960">
        <v>9940</v>
      </c>
      <c r="J960">
        <v>0</v>
      </c>
      <c r="K960">
        <v>9940</v>
      </c>
      <c r="L960">
        <v>29820</v>
      </c>
      <c r="M960">
        <v>1000</v>
      </c>
      <c r="N960" t="s">
        <v>1160</v>
      </c>
      <c r="O960" t="s">
        <v>1162</v>
      </c>
      <c r="Q960">
        <v>2</v>
      </c>
      <c r="R960" t="s">
        <v>1167</v>
      </c>
    </row>
    <row r="961" spans="1:18" x14ac:dyDescent="0.3">
      <c r="A961" s="2">
        <v>45757</v>
      </c>
      <c r="B961" t="s">
        <v>969</v>
      </c>
      <c r="C961" t="s">
        <v>1120</v>
      </c>
      <c r="D961" t="s">
        <v>1135</v>
      </c>
      <c r="E961" t="s">
        <v>1138</v>
      </c>
      <c r="F961" t="s">
        <v>1149</v>
      </c>
      <c r="G961" t="s">
        <v>1153</v>
      </c>
      <c r="H961">
        <v>4</v>
      </c>
      <c r="I961">
        <v>28583</v>
      </c>
      <c r="J961" t="s">
        <v>1158</v>
      </c>
      <c r="K961">
        <v>22866.400000000001</v>
      </c>
      <c r="L961">
        <v>91465.600000000006</v>
      </c>
      <c r="M961">
        <v>2000</v>
      </c>
      <c r="N961" t="s">
        <v>1161</v>
      </c>
      <c r="O961" t="s">
        <v>1162</v>
      </c>
      <c r="Q961">
        <v>2</v>
      </c>
    </row>
    <row r="962" spans="1:18" x14ac:dyDescent="0.3">
      <c r="A962" s="2">
        <v>45831</v>
      </c>
      <c r="B962" t="s">
        <v>970</v>
      </c>
      <c r="C962" t="s">
        <v>1122</v>
      </c>
      <c r="D962" t="s">
        <v>1136</v>
      </c>
      <c r="E962" t="s">
        <v>1139</v>
      </c>
      <c r="F962" t="s">
        <v>1150</v>
      </c>
      <c r="G962" t="s">
        <v>1154</v>
      </c>
      <c r="H962">
        <v>1</v>
      </c>
      <c r="I962">
        <v>24054</v>
      </c>
      <c r="J962">
        <v>20</v>
      </c>
      <c r="K962">
        <v>19243.2</v>
      </c>
      <c r="L962">
        <v>19243.2</v>
      </c>
      <c r="M962">
        <v>1500</v>
      </c>
      <c r="N962" t="s">
        <v>1161</v>
      </c>
      <c r="O962" t="s">
        <v>1164</v>
      </c>
      <c r="P962" s="2">
        <v>45845</v>
      </c>
      <c r="Q962">
        <v>3</v>
      </c>
      <c r="R962" t="s">
        <v>1168</v>
      </c>
    </row>
    <row r="963" spans="1:18" x14ac:dyDescent="0.3">
      <c r="A963" s="2">
        <v>45781</v>
      </c>
      <c r="B963" t="s">
        <v>971</v>
      </c>
      <c r="C963" t="s">
        <v>1128</v>
      </c>
      <c r="D963" t="s">
        <v>1135</v>
      </c>
      <c r="E963" t="s">
        <v>1137</v>
      </c>
      <c r="F963" t="s">
        <v>1149</v>
      </c>
      <c r="G963" t="s">
        <v>1152</v>
      </c>
      <c r="H963">
        <v>2</v>
      </c>
      <c r="I963">
        <v>56593</v>
      </c>
      <c r="J963">
        <v>0</v>
      </c>
      <c r="K963">
        <v>56593</v>
      </c>
      <c r="L963">
        <v>113186</v>
      </c>
      <c r="M963">
        <v>2000</v>
      </c>
      <c r="N963" t="s">
        <v>1160</v>
      </c>
      <c r="O963" t="s">
        <v>1164</v>
      </c>
      <c r="P963" s="2">
        <v>45786</v>
      </c>
      <c r="Q963">
        <v>5</v>
      </c>
      <c r="R963" t="s">
        <v>1166</v>
      </c>
    </row>
    <row r="964" spans="1:18" x14ac:dyDescent="0.3">
      <c r="A964" s="2">
        <v>45767</v>
      </c>
      <c r="B964" t="s">
        <v>972</v>
      </c>
      <c r="C964" t="s">
        <v>1129</v>
      </c>
      <c r="D964" t="s">
        <v>1133</v>
      </c>
      <c r="E964" t="s">
        <v>1143</v>
      </c>
      <c r="F964" t="s">
        <v>1151</v>
      </c>
      <c r="G964" t="s">
        <v>1157</v>
      </c>
      <c r="H964">
        <v>5</v>
      </c>
      <c r="I964">
        <v>52683</v>
      </c>
      <c r="J964">
        <v>0</v>
      </c>
      <c r="K964">
        <v>52683</v>
      </c>
      <c r="L964">
        <v>263415</v>
      </c>
      <c r="M964">
        <v>1000</v>
      </c>
      <c r="N964" t="s">
        <v>1161</v>
      </c>
      <c r="O964" t="s">
        <v>1163</v>
      </c>
      <c r="Q964">
        <v>5</v>
      </c>
      <c r="R964" t="s">
        <v>1166</v>
      </c>
    </row>
    <row r="965" spans="1:18" x14ac:dyDescent="0.3">
      <c r="A965" s="2">
        <v>45724</v>
      </c>
      <c r="B965" t="s">
        <v>973</v>
      </c>
      <c r="C965" t="s">
        <v>1131</v>
      </c>
      <c r="D965" t="s">
        <v>1136</v>
      </c>
      <c r="E965" t="s">
        <v>1147</v>
      </c>
      <c r="F965" t="s">
        <v>1150</v>
      </c>
      <c r="G965" t="s">
        <v>1156</v>
      </c>
      <c r="H965">
        <v>3</v>
      </c>
      <c r="I965">
        <v>39980</v>
      </c>
      <c r="J965">
        <v>0</v>
      </c>
      <c r="K965">
        <v>39980</v>
      </c>
      <c r="L965">
        <v>119940</v>
      </c>
      <c r="M965">
        <v>1000</v>
      </c>
      <c r="N965" t="s">
        <v>1160</v>
      </c>
      <c r="O965" t="s">
        <v>1163</v>
      </c>
      <c r="Q965">
        <v>3</v>
      </c>
    </row>
    <row r="966" spans="1:18" x14ac:dyDescent="0.3">
      <c r="A966" s="2">
        <v>45700</v>
      </c>
      <c r="B966" t="s">
        <v>974</v>
      </c>
      <c r="C966" t="s">
        <v>1130</v>
      </c>
      <c r="D966" t="s">
        <v>1136</v>
      </c>
      <c r="E966" t="s">
        <v>1145</v>
      </c>
      <c r="F966" t="s">
        <v>1149</v>
      </c>
      <c r="G966" t="s">
        <v>1153</v>
      </c>
      <c r="H966">
        <v>1</v>
      </c>
      <c r="I966">
        <v>30665</v>
      </c>
      <c r="J966">
        <v>10</v>
      </c>
      <c r="K966">
        <v>27598.5</v>
      </c>
      <c r="L966">
        <v>27598.5</v>
      </c>
      <c r="M966">
        <v>1000</v>
      </c>
      <c r="N966" t="s">
        <v>1161</v>
      </c>
      <c r="O966" t="s">
        <v>1162</v>
      </c>
      <c r="Q966">
        <v>4</v>
      </c>
      <c r="R966" t="s">
        <v>1170</v>
      </c>
    </row>
    <row r="967" spans="1:18" x14ac:dyDescent="0.3">
      <c r="A967" s="2">
        <v>45772</v>
      </c>
      <c r="B967" t="s">
        <v>975</v>
      </c>
      <c r="C967" t="s">
        <v>1130</v>
      </c>
      <c r="D967" t="s">
        <v>1136</v>
      </c>
      <c r="E967" t="s">
        <v>1137</v>
      </c>
      <c r="F967" t="s">
        <v>1149</v>
      </c>
      <c r="G967" t="s">
        <v>1152</v>
      </c>
      <c r="H967">
        <v>2</v>
      </c>
      <c r="I967">
        <v>32194</v>
      </c>
      <c r="J967">
        <v>5</v>
      </c>
      <c r="K967">
        <v>30584.3</v>
      </c>
      <c r="L967">
        <v>61168.6</v>
      </c>
      <c r="M967">
        <v>2000</v>
      </c>
      <c r="N967" t="s">
        <v>1159</v>
      </c>
      <c r="O967" t="s">
        <v>1163</v>
      </c>
      <c r="Q967">
        <v>2</v>
      </c>
      <c r="R967" t="s">
        <v>1168</v>
      </c>
    </row>
    <row r="968" spans="1:18" x14ac:dyDescent="0.3">
      <c r="A968" s="2">
        <v>45785</v>
      </c>
      <c r="B968" t="s">
        <v>976</v>
      </c>
      <c r="C968" t="s">
        <v>1132</v>
      </c>
      <c r="D968" t="s">
        <v>1134</v>
      </c>
      <c r="E968" t="s">
        <v>1140</v>
      </c>
      <c r="F968" t="s">
        <v>1150</v>
      </c>
      <c r="G968" t="s">
        <v>1154</v>
      </c>
      <c r="H968">
        <v>3</v>
      </c>
      <c r="I968">
        <v>26220</v>
      </c>
      <c r="J968">
        <v>10</v>
      </c>
      <c r="K968">
        <v>23598</v>
      </c>
      <c r="L968">
        <v>70794</v>
      </c>
      <c r="M968">
        <v>1500</v>
      </c>
      <c r="N968" t="s">
        <v>1161</v>
      </c>
      <c r="O968" t="s">
        <v>1162</v>
      </c>
      <c r="Q968">
        <v>4</v>
      </c>
      <c r="R968" t="s">
        <v>1169</v>
      </c>
    </row>
    <row r="969" spans="1:18" x14ac:dyDescent="0.3">
      <c r="A969" s="2">
        <v>45721</v>
      </c>
      <c r="B969" t="s">
        <v>977</v>
      </c>
      <c r="C969" t="s">
        <v>1124</v>
      </c>
      <c r="D969" t="s">
        <v>1135</v>
      </c>
      <c r="E969" t="s">
        <v>1141</v>
      </c>
      <c r="F969" t="s">
        <v>1151</v>
      </c>
      <c r="G969" t="s">
        <v>1155</v>
      </c>
      <c r="H969">
        <v>3</v>
      </c>
      <c r="I969">
        <v>23364</v>
      </c>
      <c r="J969">
        <v>10</v>
      </c>
      <c r="K969">
        <v>21027.599999999999</v>
      </c>
      <c r="L969">
        <v>63082.8</v>
      </c>
      <c r="M969">
        <v>2000</v>
      </c>
      <c r="N969" t="s">
        <v>1159</v>
      </c>
      <c r="O969" t="s">
        <v>1162</v>
      </c>
      <c r="Q969">
        <v>1</v>
      </c>
      <c r="R969" t="s">
        <v>1166</v>
      </c>
    </row>
    <row r="970" spans="1:18" x14ac:dyDescent="0.3">
      <c r="A970" s="2">
        <v>45824</v>
      </c>
      <c r="B970" t="s">
        <v>978</v>
      </c>
      <c r="C970" t="s">
        <v>1126</v>
      </c>
      <c r="D970" t="s">
        <v>1133</v>
      </c>
      <c r="E970" t="s">
        <v>1137</v>
      </c>
      <c r="F970" t="s">
        <v>1149</v>
      </c>
      <c r="G970" t="s">
        <v>1152</v>
      </c>
      <c r="H970">
        <v>3</v>
      </c>
      <c r="I970">
        <v>78995</v>
      </c>
      <c r="J970">
        <v>0</v>
      </c>
      <c r="K970">
        <v>78995</v>
      </c>
      <c r="L970">
        <v>236985</v>
      </c>
      <c r="M970">
        <v>2000</v>
      </c>
      <c r="N970" t="s">
        <v>1159</v>
      </c>
      <c r="O970" t="s">
        <v>1162</v>
      </c>
      <c r="Q970">
        <v>4</v>
      </c>
      <c r="R970" t="s">
        <v>1166</v>
      </c>
    </row>
    <row r="971" spans="1:18" x14ac:dyDescent="0.3">
      <c r="A971" s="2">
        <v>45747</v>
      </c>
      <c r="B971" t="s">
        <v>979</v>
      </c>
      <c r="C971" t="s">
        <v>1124</v>
      </c>
      <c r="D971" t="s">
        <v>1135</v>
      </c>
      <c r="E971" t="s">
        <v>1148</v>
      </c>
      <c r="F971" t="s">
        <v>1149</v>
      </c>
      <c r="G971" t="s">
        <v>1152</v>
      </c>
      <c r="H971">
        <v>5</v>
      </c>
      <c r="I971">
        <v>48805</v>
      </c>
      <c r="J971">
        <v>10</v>
      </c>
      <c r="K971">
        <v>43924.5</v>
      </c>
      <c r="L971">
        <v>219622.5</v>
      </c>
      <c r="M971">
        <v>1500</v>
      </c>
      <c r="N971" t="s">
        <v>1161</v>
      </c>
      <c r="O971" t="s">
        <v>1164</v>
      </c>
      <c r="P971" s="2">
        <v>45752</v>
      </c>
      <c r="Q971">
        <v>4</v>
      </c>
    </row>
    <row r="972" spans="1:18" x14ac:dyDescent="0.3">
      <c r="A972" s="2">
        <v>45763</v>
      </c>
      <c r="B972" t="s">
        <v>980</v>
      </c>
      <c r="C972" t="s">
        <v>1122</v>
      </c>
      <c r="D972" t="s">
        <v>1136</v>
      </c>
      <c r="E972" t="s">
        <v>1143</v>
      </c>
      <c r="F972" t="s">
        <v>1151</v>
      </c>
      <c r="G972" t="s">
        <v>1157</v>
      </c>
      <c r="H972">
        <v>2</v>
      </c>
      <c r="I972">
        <v>43168</v>
      </c>
      <c r="J972">
        <v>5</v>
      </c>
      <c r="K972">
        <v>41009.599999999999</v>
      </c>
      <c r="L972">
        <v>82019.199999999997</v>
      </c>
      <c r="M972">
        <v>1000</v>
      </c>
      <c r="N972" t="s">
        <v>1161</v>
      </c>
      <c r="O972" t="s">
        <v>1162</v>
      </c>
      <c r="R972" t="s">
        <v>1166</v>
      </c>
    </row>
    <row r="973" spans="1:18" x14ac:dyDescent="0.3">
      <c r="A973" s="2">
        <v>45739</v>
      </c>
      <c r="B973" t="s">
        <v>981</v>
      </c>
      <c r="C973" t="s">
        <v>1120</v>
      </c>
      <c r="D973" t="s">
        <v>1135</v>
      </c>
      <c r="E973" t="s">
        <v>1147</v>
      </c>
      <c r="F973" t="s">
        <v>1150</v>
      </c>
      <c r="G973" t="s">
        <v>1156</v>
      </c>
      <c r="H973">
        <v>4</v>
      </c>
      <c r="I973">
        <v>35244</v>
      </c>
      <c r="J973">
        <v>10</v>
      </c>
      <c r="K973">
        <v>31719.599999999999</v>
      </c>
      <c r="L973">
        <v>126878.39999999999</v>
      </c>
      <c r="M973">
        <v>1000</v>
      </c>
      <c r="N973" t="s">
        <v>1159</v>
      </c>
      <c r="O973" t="s">
        <v>1162</v>
      </c>
      <c r="Q973">
        <v>5</v>
      </c>
      <c r="R973" t="s">
        <v>1167</v>
      </c>
    </row>
    <row r="974" spans="1:18" x14ac:dyDescent="0.3">
      <c r="A974" s="2">
        <v>45681</v>
      </c>
      <c r="B974" t="s">
        <v>982</v>
      </c>
      <c r="C974" t="s">
        <v>1128</v>
      </c>
      <c r="D974" t="s">
        <v>1135</v>
      </c>
      <c r="E974" t="s">
        <v>1147</v>
      </c>
      <c r="F974" t="s">
        <v>1150</v>
      </c>
      <c r="G974" t="s">
        <v>1156</v>
      </c>
      <c r="H974">
        <v>1</v>
      </c>
      <c r="I974">
        <v>24294</v>
      </c>
      <c r="J974">
        <v>15</v>
      </c>
      <c r="K974">
        <v>20649.900000000001</v>
      </c>
      <c r="L974">
        <v>20649.900000000001</v>
      </c>
      <c r="M974">
        <v>2000</v>
      </c>
      <c r="N974" t="s">
        <v>1161</v>
      </c>
      <c r="O974" t="s">
        <v>1162</v>
      </c>
      <c r="Q974">
        <v>5</v>
      </c>
      <c r="R974" t="s">
        <v>1168</v>
      </c>
    </row>
    <row r="975" spans="1:18" x14ac:dyDescent="0.3">
      <c r="A975" s="2">
        <v>45688</v>
      </c>
      <c r="B975" t="s">
        <v>983</v>
      </c>
      <c r="C975" t="s">
        <v>1124</v>
      </c>
      <c r="D975" t="s">
        <v>1135</v>
      </c>
      <c r="E975" t="s">
        <v>1139</v>
      </c>
      <c r="F975" t="s">
        <v>1150</v>
      </c>
      <c r="G975" t="s">
        <v>1154</v>
      </c>
      <c r="H975">
        <v>5</v>
      </c>
      <c r="I975">
        <v>62547</v>
      </c>
      <c r="J975">
        <v>20</v>
      </c>
      <c r="K975">
        <v>50037.599999999999</v>
      </c>
      <c r="L975">
        <v>250188</v>
      </c>
      <c r="M975">
        <v>1000</v>
      </c>
      <c r="N975" t="s">
        <v>1161</v>
      </c>
      <c r="O975" t="s">
        <v>1163</v>
      </c>
      <c r="R975" t="s">
        <v>1168</v>
      </c>
    </row>
    <row r="976" spans="1:18" x14ac:dyDescent="0.3">
      <c r="A976" s="2">
        <v>45678</v>
      </c>
      <c r="B976" t="s">
        <v>984</v>
      </c>
      <c r="C976" t="s">
        <v>1121</v>
      </c>
      <c r="D976" t="s">
        <v>1136</v>
      </c>
      <c r="E976" t="s">
        <v>1148</v>
      </c>
      <c r="F976" t="s">
        <v>1149</v>
      </c>
      <c r="G976" t="s">
        <v>1152</v>
      </c>
      <c r="H976">
        <v>3</v>
      </c>
      <c r="I976">
        <v>54197</v>
      </c>
      <c r="J976">
        <v>0</v>
      </c>
      <c r="K976">
        <v>54197</v>
      </c>
      <c r="L976">
        <v>162591</v>
      </c>
      <c r="M976">
        <v>1500</v>
      </c>
      <c r="N976" t="s">
        <v>1161</v>
      </c>
      <c r="O976" t="s">
        <v>1163</v>
      </c>
      <c r="Q976">
        <v>4</v>
      </c>
      <c r="R976" t="s">
        <v>1168</v>
      </c>
    </row>
    <row r="977" spans="1:18" x14ac:dyDescent="0.3">
      <c r="A977" s="2">
        <v>45824</v>
      </c>
      <c r="B977" t="s">
        <v>985</v>
      </c>
      <c r="C977" t="s">
        <v>1129</v>
      </c>
      <c r="D977" t="s">
        <v>1133</v>
      </c>
      <c r="E977" t="s">
        <v>1144</v>
      </c>
      <c r="F977" t="s">
        <v>1151</v>
      </c>
      <c r="G977" t="s">
        <v>1157</v>
      </c>
      <c r="H977">
        <v>4</v>
      </c>
      <c r="I977">
        <v>57552</v>
      </c>
      <c r="J977">
        <v>20</v>
      </c>
      <c r="K977">
        <v>46041.599999999999</v>
      </c>
      <c r="L977">
        <v>184166.39999999999</v>
      </c>
      <c r="M977">
        <v>2000</v>
      </c>
      <c r="N977" t="s">
        <v>1160</v>
      </c>
      <c r="O977" t="s">
        <v>1163</v>
      </c>
      <c r="Q977">
        <v>2</v>
      </c>
      <c r="R977" t="s">
        <v>1169</v>
      </c>
    </row>
    <row r="978" spans="1:18" x14ac:dyDescent="0.3">
      <c r="A978" s="2">
        <v>45671</v>
      </c>
      <c r="B978" t="s">
        <v>986</v>
      </c>
      <c r="C978" t="s">
        <v>1129</v>
      </c>
      <c r="D978" t="s">
        <v>1133</v>
      </c>
      <c r="E978" t="s">
        <v>1145</v>
      </c>
      <c r="F978" t="s">
        <v>1149</v>
      </c>
      <c r="G978" t="s">
        <v>1153</v>
      </c>
      <c r="H978">
        <v>4</v>
      </c>
      <c r="I978">
        <v>76370</v>
      </c>
      <c r="J978">
        <v>15</v>
      </c>
      <c r="K978">
        <v>64914.5</v>
      </c>
      <c r="L978">
        <v>259658</v>
      </c>
      <c r="M978">
        <v>1500</v>
      </c>
      <c r="N978" t="s">
        <v>1160</v>
      </c>
      <c r="O978" t="s">
        <v>1164</v>
      </c>
      <c r="P978" s="2">
        <v>45676</v>
      </c>
      <c r="R978" t="s">
        <v>1168</v>
      </c>
    </row>
    <row r="979" spans="1:18" x14ac:dyDescent="0.3">
      <c r="A979" s="2">
        <v>45792</v>
      </c>
      <c r="B979" t="s">
        <v>987</v>
      </c>
      <c r="C979" t="s">
        <v>1117</v>
      </c>
      <c r="D979" t="s">
        <v>1133</v>
      </c>
      <c r="E979" t="s">
        <v>1146</v>
      </c>
      <c r="F979" t="s">
        <v>1151</v>
      </c>
      <c r="G979" t="s">
        <v>1155</v>
      </c>
      <c r="H979">
        <v>4</v>
      </c>
      <c r="I979">
        <v>79446</v>
      </c>
      <c r="J979">
        <v>0</v>
      </c>
      <c r="K979">
        <v>79446</v>
      </c>
      <c r="L979">
        <v>317784</v>
      </c>
      <c r="M979">
        <v>1000</v>
      </c>
      <c r="N979" t="s">
        <v>1159</v>
      </c>
      <c r="O979" t="s">
        <v>1164</v>
      </c>
      <c r="P979" s="2">
        <v>45798</v>
      </c>
      <c r="Q979">
        <v>4</v>
      </c>
      <c r="R979" t="s">
        <v>1169</v>
      </c>
    </row>
    <row r="980" spans="1:18" x14ac:dyDescent="0.3">
      <c r="A980" s="2">
        <v>45708</v>
      </c>
      <c r="B980" t="s">
        <v>988</v>
      </c>
      <c r="C980" t="s">
        <v>1126</v>
      </c>
      <c r="D980" t="s">
        <v>1133</v>
      </c>
      <c r="E980" t="s">
        <v>1148</v>
      </c>
      <c r="F980" t="s">
        <v>1149</v>
      </c>
      <c r="G980" t="s">
        <v>1152</v>
      </c>
      <c r="H980">
        <v>3</v>
      </c>
      <c r="I980">
        <v>14636</v>
      </c>
      <c r="J980">
        <v>15</v>
      </c>
      <c r="K980">
        <v>12440.6</v>
      </c>
      <c r="L980">
        <v>37321.800000000003</v>
      </c>
      <c r="M980">
        <v>2000</v>
      </c>
      <c r="N980" t="s">
        <v>1160</v>
      </c>
      <c r="O980" t="s">
        <v>1163</v>
      </c>
      <c r="Q980">
        <v>1</v>
      </c>
    </row>
    <row r="981" spans="1:18" x14ac:dyDescent="0.3">
      <c r="A981" s="2">
        <v>45834</v>
      </c>
      <c r="B981" t="s">
        <v>989</v>
      </c>
      <c r="C981" t="s">
        <v>1125</v>
      </c>
      <c r="D981" t="s">
        <v>1133</v>
      </c>
      <c r="E981" t="s">
        <v>1147</v>
      </c>
      <c r="F981" t="s">
        <v>1150</v>
      </c>
      <c r="G981" t="s">
        <v>1156</v>
      </c>
      <c r="H981">
        <v>2</v>
      </c>
      <c r="I981">
        <v>71260</v>
      </c>
      <c r="J981">
        <v>20</v>
      </c>
      <c r="K981">
        <v>57008</v>
      </c>
      <c r="L981">
        <v>114016</v>
      </c>
      <c r="M981">
        <v>1000</v>
      </c>
      <c r="N981" t="s">
        <v>1160</v>
      </c>
      <c r="O981" t="s">
        <v>1162</v>
      </c>
      <c r="Q981">
        <v>2</v>
      </c>
      <c r="R981" t="s">
        <v>1169</v>
      </c>
    </row>
    <row r="982" spans="1:18" x14ac:dyDescent="0.3">
      <c r="A982" s="2">
        <v>45687</v>
      </c>
      <c r="B982" t="s">
        <v>990</v>
      </c>
      <c r="C982" t="s">
        <v>1131</v>
      </c>
      <c r="D982" t="s">
        <v>1136</v>
      </c>
      <c r="E982" t="s">
        <v>1140</v>
      </c>
      <c r="F982" t="s">
        <v>1150</v>
      </c>
      <c r="G982" t="s">
        <v>1154</v>
      </c>
      <c r="H982">
        <v>1</v>
      </c>
      <c r="I982">
        <v>52791</v>
      </c>
      <c r="J982">
        <v>5</v>
      </c>
      <c r="K982">
        <v>50151.45</v>
      </c>
      <c r="L982">
        <v>50151.45</v>
      </c>
      <c r="M982">
        <v>1000</v>
      </c>
      <c r="N982" t="s">
        <v>1159</v>
      </c>
      <c r="O982" t="s">
        <v>1164</v>
      </c>
      <c r="P982" s="2">
        <v>45691</v>
      </c>
      <c r="Q982">
        <v>1</v>
      </c>
      <c r="R982" t="s">
        <v>1169</v>
      </c>
    </row>
    <row r="983" spans="1:18" x14ac:dyDescent="0.3">
      <c r="A983" s="2">
        <v>45756</v>
      </c>
      <c r="B983" t="s">
        <v>991</v>
      </c>
      <c r="C983" t="s">
        <v>1130</v>
      </c>
      <c r="D983" t="s">
        <v>1136</v>
      </c>
      <c r="E983" t="s">
        <v>1143</v>
      </c>
      <c r="F983" t="s">
        <v>1151</v>
      </c>
      <c r="G983" t="s">
        <v>1157</v>
      </c>
      <c r="H983">
        <v>5</v>
      </c>
      <c r="I983">
        <v>1565</v>
      </c>
      <c r="J983">
        <v>20</v>
      </c>
      <c r="K983">
        <v>1252</v>
      </c>
      <c r="L983">
        <v>6260</v>
      </c>
      <c r="M983">
        <v>1000</v>
      </c>
      <c r="N983" t="s">
        <v>1160</v>
      </c>
      <c r="O983" t="s">
        <v>1163</v>
      </c>
      <c r="Q983">
        <v>5</v>
      </c>
      <c r="R983" t="s">
        <v>1168</v>
      </c>
    </row>
    <row r="984" spans="1:18" x14ac:dyDescent="0.3">
      <c r="A984" s="2">
        <v>45683</v>
      </c>
      <c r="B984" t="s">
        <v>992</v>
      </c>
      <c r="C984" t="s">
        <v>1124</v>
      </c>
      <c r="D984" t="s">
        <v>1135</v>
      </c>
      <c r="E984" t="s">
        <v>1144</v>
      </c>
      <c r="F984" t="s">
        <v>1151</v>
      </c>
      <c r="G984" t="s">
        <v>1157</v>
      </c>
      <c r="H984">
        <v>3</v>
      </c>
      <c r="I984">
        <v>73503</v>
      </c>
      <c r="J984">
        <v>0</v>
      </c>
      <c r="K984">
        <v>73503</v>
      </c>
      <c r="L984">
        <v>220509</v>
      </c>
      <c r="M984">
        <v>2000</v>
      </c>
      <c r="N984" t="s">
        <v>1161</v>
      </c>
      <c r="O984" t="s">
        <v>1163</v>
      </c>
      <c r="R984" t="s">
        <v>1169</v>
      </c>
    </row>
    <row r="985" spans="1:18" x14ac:dyDescent="0.3">
      <c r="A985" s="2">
        <v>45814</v>
      </c>
      <c r="B985" t="s">
        <v>993</v>
      </c>
      <c r="C985" t="s">
        <v>1118</v>
      </c>
      <c r="D985" t="s">
        <v>1134</v>
      </c>
      <c r="E985" t="s">
        <v>1139</v>
      </c>
      <c r="F985" t="s">
        <v>1150</v>
      </c>
      <c r="G985" t="s">
        <v>1154</v>
      </c>
      <c r="H985">
        <v>1</v>
      </c>
      <c r="I985">
        <v>69662</v>
      </c>
      <c r="J985">
        <v>0</v>
      </c>
      <c r="K985">
        <v>69662</v>
      </c>
      <c r="L985">
        <v>69662</v>
      </c>
      <c r="M985">
        <v>1500</v>
      </c>
      <c r="N985" t="s">
        <v>1159</v>
      </c>
      <c r="O985" t="s">
        <v>1163</v>
      </c>
      <c r="Q985">
        <v>1</v>
      </c>
      <c r="R985" t="s">
        <v>1166</v>
      </c>
    </row>
    <row r="986" spans="1:18" x14ac:dyDescent="0.3">
      <c r="A986" s="2">
        <v>45777</v>
      </c>
      <c r="B986" t="s">
        <v>994</v>
      </c>
      <c r="C986" t="s">
        <v>1127</v>
      </c>
      <c r="D986" t="s">
        <v>1134</v>
      </c>
      <c r="E986" t="s">
        <v>1141</v>
      </c>
      <c r="F986" t="s">
        <v>1151</v>
      </c>
      <c r="G986" t="s">
        <v>1155</v>
      </c>
      <c r="H986">
        <v>2</v>
      </c>
      <c r="I986">
        <v>36751</v>
      </c>
      <c r="J986">
        <v>0</v>
      </c>
      <c r="K986">
        <v>36751</v>
      </c>
      <c r="L986">
        <v>73502</v>
      </c>
      <c r="M986">
        <v>2000</v>
      </c>
      <c r="N986" t="s">
        <v>1159</v>
      </c>
      <c r="O986" t="s">
        <v>1162</v>
      </c>
      <c r="Q986">
        <v>5</v>
      </c>
      <c r="R986" t="s">
        <v>1169</v>
      </c>
    </row>
    <row r="987" spans="1:18" x14ac:dyDescent="0.3">
      <c r="A987" s="2">
        <v>45689</v>
      </c>
      <c r="B987" t="s">
        <v>140</v>
      </c>
      <c r="C987" t="s">
        <v>1126</v>
      </c>
      <c r="D987" t="s">
        <v>1133</v>
      </c>
      <c r="E987" t="s">
        <v>1138</v>
      </c>
      <c r="F987" t="s">
        <v>1149</v>
      </c>
      <c r="G987" t="s">
        <v>1153</v>
      </c>
      <c r="H987">
        <v>2</v>
      </c>
      <c r="I987">
        <v>60648</v>
      </c>
      <c r="J987">
        <v>10</v>
      </c>
      <c r="K987">
        <v>54583.199999999997</v>
      </c>
      <c r="L987">
        <v>109166.39999999999</v>
      </c>
      <c r="M987">
        <v>1500</v>
      </c>
      <c r="N987" t="s">
        <v>1160</v>
      </c>
      <c r="O987" t="s">
        <v>1163</v>
      </c>
    </row>
    <row r="988" spans="1:18" x14ac:dyDescent="0.3">
      <c r="A988" s="2">
        <v>45697</v>
      </c>
      <c r="B988" t="s">
        <v>995</v>
      </c>
      <c r="C988" t="s">
        <v>1124</v>
      </c>
      <c r="D988" t="s">
        <v>1135</v>
      </c>
      <c r="E988" t="s">
        <v>1144</v>
      </c>
      <c r="F988" t="s">
        <v>1151</v>
      </c>
      <c r="G988" t="s">
        <v>1157</v>
      </c>
      <c r="H988">
        <v>5</v>
      </c>
      <c r="I988">
        <v>47796</v>
      </c>
      <c r="J988">
        <v>0</v>
      </c>
      <c r="K988">
        <v>47796</v>
      </c>
      <c r="L988">
        <v>238980</v>
      </c>
      <c r="M988">
        <v>1500</v>
      </c>
      <c r="N988" t="s">
        <v>1159</v>
      </c>
      <c r="O988" t="s">
        <v>1162</v>
      </c>
      <c r="Q988">
        <v>5</v>
      </c>
      <c r="R988" t="s">
        <v>1169</v>
      </c>
    </row>
    <row r="989" spans="1:18" x14ac:dyDescent="0.3">
      <c r="A989" s="2">
        <v>45813</v>
      </c>
      <c r="B989" t="s">
        <v>996</v>
      </c>
      <c r="C989" t="s">
        <v>1129</v>
      </c>
      <c r="D989" t="s">
        <v>1133</v>
      </c>
      <c r="E989" t="s">
        <v>1146</v>
      </c>
      <c r="F989" t="s">
        <v>1151</v>
      </c>
      <c r="G989" t="s">
        <v>1155</v>
      </c>
      <c r="H989">
        <v>4</v>
      </c>
      <c r="I989">
        <v>44644</v>
      </c>
      <c r="J989">
        <v>15</v>
      </c>
      <c r="K989">
        <v>37947.4</v>
      </c>
      <c r="L989">
        <v>151789.6</v>
      </c>
      <c r="M989">
        <v>1500</v>
      </c>
      <c r="N989" t="s">
        <v>1160</v>
      </c>
      <c r="O989" t="s">
        <v>1164</v>
      </c>
      <c r="P989" s="2">
        <v>45823</v>
      </c>
      <c r="Q989">
        <v>5</v>
      </c>
      <c r="R989" t="s">
        <v>1170</v>
      </c>
    </row>
    <row r="990" spans="1:18" x14ac:dyDescent="0.3">
      <c r="A990" s="2">
        <v>45786</v>
      </c>
      <c r="B990" t="s">
        <v>997</v>
      </c>
      <c r="C990" t="s">
        <v>1120</v>
      </c>
      <c r="D990" t="s">
        <v>1135</v>
      </c>
      <c r="E990" t="s">
        <v>1145</v>
      </c>
      <c r="F990" t="s">
        <v>1149</v>
      </c>
      <c r="G990" t="s">
        <v>1153</v>
      </c>
      <c r="H990">
        <v>1</v>
      </c>
      <c r="I990">
        <v>39756</v>
      </c>
      <c r="J990">
        <v>15</v>
      </c>
      <c r="K990">
        <v>33792.6</v>
      </c>
      <c r="L990">
        <v>33792.6</v>
      </c>
      <c r="M990">
        <v>1000</v>
      </c>
      <c r="N990" t="s">
        <v>1159</v>
      </c>
      <c r="O990" t="s">
        <v>1163</v>
      </c>
      <c r="Q990">
        <v>1</v>
      </c>
    </row>
    <row r="991" spans="1:18" x14ac:dyDescent="0.3">
      <c r="A991" s="2">
        <v>45801</v>
      </c>
      <c r="B991" t="s">
        <v>998</v>
      </c>
      <c r="C991" t="s">
        <v>1131</v>
      </c>
      <c r="D991" t="s">
        <v>1136</v>
      </c>
      <c r="E991" t="s">
        <v>1139</v>
      </c>
      <c r="F991" t="s">
        <v>1150</v>
      </c>
      <c r="G991" t="s">
        <v>1154</v>
      </c>
      <c r="H991">
        <v>3</v>
      </c>
      <c r="I991">
        <v>48419</v>
      </c>
      <c r="J991">
        <v>15</v>
      </c>
      <c r="K991">
        <v>41156.15</v>
      </c>
      <c r="L991">
        <v>123468.45</v>
      </c>
      <c r="M991">
        <v>1000</v>
      </c>
      <c r="N991" t="s">
        <v>1160</v>
      </c>
      <c r="O991" t="s">
        <v>1162</v>
      </c>
      <c r="Q991">
        <v>1</v>
      </c>
      <c r="R991" t="s">
        <v>1167</v>
      </c>
    </row>
    <row r="992" spans="1:18" x14ac:dyDescent="0.3">
      <c r="A992" s="2">
        <v>45752</v>
      </c>
      <c r="B992" t="s">
        <v>999</v>
      </c>
      <c r="C992" t="s">
        <v>1124</v>
      </c>
      <c r="D992" t="s">
        <v>1135</v>
      </c>
      <c r="E992" t="s">
        <v>1145</v>
      </c>
      <c r="F992" t="s">
        <v>1149</v>
      </c>
      <c r="G992" t="s">
        <v>1153</v>
      </c>
      <c r="H992">
        <v>1</v>
      </c>
      <c r="I992">
        <v>76706</v>
      </c>
      <c r="J992">
        <v>10</v>
      </c>
      <c r="K992">
        <v>69035.399999999994</v>
      </c>
      <c r="L992">
        <v>69035.399999999994</v>
      </c>
      <c r="M992">
        <v>2000</v>
      </c>
      <c r="N992" t="s">
        <v>1160</v>
      </c>
      <c r="O992" t="s">
        <v>1162</v>
      </c>
      <c r="R992" t="s">
        <v>1170</v>
      </c>
    </row>
    <row r="993" spans="1:18" x14ac:dyDescent="0.3">
      <c r="A993" s="2">
        <v>45798</v>
      </c>
      <c r="B993" t="s">
        <v>1000</v>
      </c>
      <c r="C993" t="s">
        <v>1126</v>
      </c>
      <c r="D993" t="s">
        <v>1133</v>
      </c>
      <c r="E993" t="s">
        <v>1139</v>
      </c>
      <c r="F993" t="s">
        <v>1150</v>
      </c>
      <c r="G993" t="s">
        <v>1154</v>
      </c>
      <c r="H993">
        <v>4</v>
      </c>
      <c r="I993">
        <v>29001</v>
      </c>
      <c r="J993">
        <v>20</v>
      </c>
      <c r="K993">
        <v>23200.799999999999</v>
      </c>
      <c r="L993">
        <v>92803.199999999997</v>
      </c>
      <c r="M993">
        <v>1500</v>
      </c>
      <c r="N993" t="s">
        <v>1160</v>
      </c>
      <c r="O993" t="s">
        <v>1162</v>
      </c>
      <c r="Q993">
        <v>3</v>
      </c>
      <c r="R993" t="s">
        <v>1167</v>
      </c>
    </row>
    <row r="994" spans="1:18" x14ac:dyDescent="0.3">
      <c r="A994" s="2">
        <v>45803</v>
      </c>
      <c r="B994" t="s">
        <v>1001</v>
      </c>
      <c r="C994" t="s">
        <v>1126</v>
      </c>
      <c r="D994" t="s">
        <v>1133</v>
      </c>
      <c r="E994" t="s">
        <v>1146</v>
      </c>
      <c r="F994" t="s">
        <v>1151</v>
      </c>
      <c r="G994" t="s">
        <v>1155</v>
      </c>
      <c r="H994">
        <v>2</v>
      </c>
      <c r="I994">
        <v>59798</v>
      </c>
      <c r="J994">
        <v>20</v>
      </c>
      <c r="K994">
        <v>47838.400000000001</v>
      </c>
      <c r="L994">
        <v>95676.800000000003</v>
      </c>
      <c r="M994">
        <v>2000</v>
      </c>
      <c r="N994" t="s">
        <v>1160</v>
      </c>
      <c r="O994" t="s">
        <v>1163</v>
      </c>
      <c r="Q994">
        <v>4</v>
      </c>
      <c r="R994" t="s">
        <v>1168</v>
      </c>
    </row>
    <row r="995" spans="1:18" x14ac:dyDescent="0.3">
      <c r="A995" s="2">
        <v>45766</v>
      </c>
      <c r="B995" t="s">
        <v>1002</v>
      </c>
      <c r="C995" t="s">
        <v>1121</v>
      </c>
      <c r="D995" t="s">
        <v>1136</v>
      </c>
      <c r="E995" t="s">
        <v>1137</v>
      </c>
      <c r="F995" t="s">
        <v>1149</v>
      </c>
      <c r="G995" t="s">
        <v>1152</v>
      </c>
      <c r="H995">
        <v>1</v>
      </c>
      <c r="I995">
        <v>51300</v>
      </c>
      <c r="J995">
        <v>0</v>
      </c>
      <c r="K995">
        <v>51300</v>
      </c>
      <c r="L995">
        <v>51300</v>
      </c>
      <c r="M995">
        <v>1000</v>
      </c>
      <c r="N995" t="s">
        <v>1160</v>
      </c>
      <c r="O995" t="s">
        <v>1162</v>
      </c>
      <c r="Q995">
        <v>3</v>
      </c>
    </row>
    <row r="996" spans="1:18" x14ac:dyDescent="0.3">
      <c r="A996" s="2">
        <v>45827</v>
      </c>
      <c r="B996" t="s">
        <v>1003</v>
      </c>
      <c r="C996" t="s">
        <v>1132</v>
      </c>
      <c r="D996" t="s">
        <v>1134</v>
      </c>
      <c r="E996" t="s">
        <v>1147</v>
      </c>
      <c r="F996" t="s">
        <v>1150</v>
      </c>
      <c r="G996" t="s">
        <v>1156</v>
      </c>
      <c r="H996">
        <v>1</v>
      </c>
      <c r="I996">
        <v>61065</v>
      </c>
      <c r="J996">
        <v>0</v>
      </c>
      <c r="K996">
        <v>61065</v>
      </c>
      <c r="L996">
        <v>61065</v>
      </c>
      <c r="M996">
        <v>1500</v>
      </c>
      <c r="N996" t="s">
        <v>1159</v>
      </c>
      <c r="O996" t="s">
        <v>1162</v>
      </c>
      <c r="R996" t="s">
        <v>1166</v>
      </c>
    </row>
    <row r="997" spans="1:18" x14ac:dyDescent="0.3">
      <c r="A997" s="2">
        <v>45708</v>
      </c>
      <c r="B997" t="s">
        <v>1004</v>
      </c>
      <c r="C997" t="s">
        <v>1129</v>
      </c>
      <c r="D997" t="s">
        <v>1133</v>
      </c>
      <c r="E997" t="s">
        <v>1139</v>
      </c>
      <c r="F997" t="s">
        <v>1150</v>
      </c>
      <c r="G997" t="s">
        <v>1154</v>
      </c>
      <c r="H997">
        <v>3</v>
      </c>
      <c r="I997">
        <v>23286</v>
      </c>
      <c r="J997">
        <v>10</v>
      </c>
      <c r="K997">
        <v>20957.400000000001</v>
      </c>
      <c r="L997">
        <v>62872.2</v>
      </c>
      <c r="M997">
        <v>2000</v>
      </c>
      <c r="N997" t="s">
        <v>1159</v>
      </c>
      <c r="O997" t="s">
        <v>1162</v>
      </c>
      <c r="Q997">
        <v>1</v>
      </c>
      <c r="R997" t="s">
        <v>1168</v>
      </c>
    </row>
    <row r="998" spans="1:18" x14ac:dyDescent="0.3">
      <c r="A998" s="2">
        <v>45749</v>
      </c>
      <c r="B998" t="s">
        <v>1005</v>
      </c>
      <c r="C998" t="s">
        <v>1130</v>
      </c>
      <c r="D998" t="s">
        <v>1136</v>
      </c>
      <c r="E998" t="s">
        <v>1147</v>
      </c>
      <c r="F998" t="s">
        <v>1150</v>
      </c>
      <c r="G998" t="s">
        <v>1156</v>
      </c>
      <c r="H998">
        <v>4</v>
      </c>
      <c r="I998">
        <v>6947</v>
      </c>
      <c r="J998">
        <v>15</v>
      </c>
      <c r="K998">
        <v>5904.95</v>
      </c>
      <c r="L998">
        <v>23619.8</v>
      </c>
      <c r="M998">
        <v>1000</v>
      </c>
      <c r="N998" t="s">
        <v>1159</v>
      </c>
      <c r="O998" t="s">
        <v>1164</v>
      </c>
      <c r="P998" s="2">
        <v>45757</v>
      </c>
      <c r="Q998" t="s">
        <v>1165</v>
      </c>
      <c r="R998" t="s">
        <v>1169</v>
      </c>
    </row>
    <row r="999" spans="1:18" x14ac:dyDescent="0.3">
      <c r="A999" s="2">
        <v>45758</v>
      </c>
      <c r="B999" t="s">
        <v>1006</v>
      </c>
      <c r="C999" t="s">
        <v>1120</v>
      </c>
      <c r="D999" t="s">
        <v>1135</v>
      </c>
      <c r="E999" t="s">
        <v>1144</v>
      </c>
      <c r="F999" t="s">
        <v>1151</v>
      </c>
      <c r="G999" t="s">
        <v>1157</v>
      </c>
      <c r="H999">
        <v>2</v>
      </c>
      <c r="I999">
        <v>23876</v>
      </c>
      <c r="J999">
        <v>15</v>
      </c>
      <c r="K999">
        <v>20294.599999999999</v>
      </c>
      <c r="L999">
        <v>40589.199999999997</v>
      </c>
      <c r="M999">
        <v>1000</v>
      </c>
      <c r="N999" t="s">
        <v>1159</v>
      </c>
      <c r="O999" t="s">
        <v>1162</v>
      </c>
      <c r="Q999">
        <v>5</v>
      </c>
      <c r="R999" t="s">
        <v>1169</v>
      </c>
    </row>
    <row r="1000" spans="1:18" x14ac:dyDescent="0.3">
      <c r="A1000" s="2">
        <v>45694</v>
      </c>
      <c r="B1000" t="s">
        <v>1007</v>
      </c>
      <c r="C1000" t="s">
        <v>1123</v>
      </c>
      <c r="D1000" t="s">
        <v>1135</v>
      </c>
      <c r="E1000" t="s">
        <v>1138</v>
      </c>
      <c r="F1000" t="s">
        <v>1149</v>
      </c>
      <c r="G1000" t="s">
        <v>1153</v>
      </c>
      <c r="H1000">
        <v>4</v>
      </c>
      <c r="I1000">
        <v>74440</v>
      </c>
      <c r="J1000">
        <v>10</v>
      </c>
      <c r="K1000">
        <v>66996</v>
      </c>
      <c r="L1000">
        <v>267984</v>
      </c>
      <c r="M1000">
        <v>1500</v>
      </c>
      <c r="N1000" t="s">
        <v>1161</v>
      </c>
      <c r="O1000" t="s">
        <v>1162</v>
      </c>
      <c r="Q1000">
        <v>1</v>
      </c>
    </row>
    <row r="1001" spans="1:18" x14ac:dyDescent="0.3">
      <c r="A1001" s="2">
        <v>45709</v>
      </c>
      <c r="B1001" t="s">
        <v>1008</v>
      </c>
      <c r="C1001" t="s">
        <v>1123</v>
      </c>
      <c r="D1001" t="s">
        <v>1135</v>
      </c>
      <c r="E1001" t="s">
        <v>1148</v>
      </c>
      <c r="F1001" t="s">
        <v>1149</v>
      </c>
      <c r="G1001" t="s">
        <v>1152</v>
      </c>
      <c r="H1001">
        <v>5</v>
      </c>
      <c r="I1001">
        <v>21900</v>
      </c>
      <c r="J1001">
        <v>20</v>
      </c>
      <c r="K1001">
        <v>17520</v>
      </c>
      <c r="L1001">
        <v>87600</v>
      </c>
      <c r="M1001">
        <v>2000</v>
      </c>
      <c r="N1001" t="s">
        <v>1159</v>
      </c>
      <c r="O1001" t="s">
        <v>1164</v>
      </c>
      <c r="P1001" s="2">
        <v>45714</v>
      </c>
      <c r="Q1001">
        <v>1</v>
      </c>
      <c r="R1001" t="s">
        <v>1168</v>
      </c>
    </row>
    <row r="1002" spans="1:18" x14ac:dyDescent="0.3">
      <c r="A1002" s="2">
        <v>45816</v>
      </c>
      <c r="B1002" t="s">
        <v>1009</v>
      </c>
      <c r="C1002" t="s">
        <v>1129</v>
      </c>
      <c r="D1002" t="s">
        <v>1133</v>
      </c>
      <c r="E1002" t="s">
        <v>1145</v>
      </c>
      <c r="F1002" t="s">
        <v>1149</v>
      </c>
      <c r="G1002" t="s">
        <v>1153</v>
      </c>
      <c r="H1002">
        <v>5</v>
      </c>
      <c r="I1002">
        <v>61902</v>
      </c>
      <c r="J1002">
        <v>20</v>
      </c>
      <c r="K1002">
        <v>49521.599999999999</v>
      </c>
      <c r="L1002">
        <v>247608</v>
      </c>
      <c r="M1002">
        <v>2000</v>
      </c>
      <c r="N1002" t="s">
        <v>1161</v>
      </c>
      <c r="O1002" t="s">
        <v>1164</v>
      </c>
      <c r="P1002" s="2">
        <v>45819</v>
      </c>
      <c r="Q1002">
        <v>1</v>
      </c>
      <c r="R1002" t="s">
        <v>1168</v>
      </c>
    </row>
    <row r="1003" spans="1:18" x14ac:dyDescent="0.3">
      <c r="A1003" s="2">
        <v>45713</v>
      </c>
      <c r="B1003" t="s">
        <v>1010</v>
      </c>
      <c r="C1003" t="s">
        <v>1118</v>
      </c>
      <c r="D1003" t="s">
        <v>1134</v>
      </c>
      <c r="E1003" t="s">
        <v>1145</v>
      </c>
      <c r="F1003" t="s">
        <v>1149</v>
      </c>
      <c r="G1003" t="s">
        <v>1153</v>
      </c>
      <c r="H1003">
        <v>5</v>
      </c>
      <c r="I1003">
        <v>55832</v>
      </c>
      <c r="J1003">
        <v>20</v>
      </c>
      <c r="K1003">
        <v>44665.599999999999</v>
      </c>
      <c r="L1003">
        <v>223328</v>
      </c>
      <c r="M1003">
        <v>2000</v>
      </c>
      <c r="N1003" t="s">
        <v>1160</v>
      </c>
      <c r="O1003" t="s">
        <v>1164</v>
      </c>
      <c r="P1003" s="2">
        <v>45716</v>
      </c>
      <c r="Q1003">
        <v>2</v>
      </c>
      <c r="R1003" t="s">
        <v>1170</v>
      </c>
    </row>
    <row r="1004" spans="1:18" x14ac:dyDescent="0.3">
      <c r="A1004" s="2">
        <v>45827</v>
      </c>
      <c r="B1004" t="s">
        <v>1011</v>
      </c>
      <c r="C1004" t="s">
        <v>1131</v>
      </c>
      <c r="D1004" t="s">
        <v>1136</v>
      </c>
      <c r="E1004" t="s">
        <v>1137</v>
      </c>
      <c r="F1004" t="s">
        <v>1149</v>
      </c>
      <c r="G1004" t="s">
        <v>1152</v>
      </c>
      <c r="H1004">
        <v>2</v>
      </c>
      <c r="I1004">
        <v>26533</v>
      </c>
      <c r="J1004">
        <v>10</v>
      </c>
      <c r="K1004">
        <v>23879.7</v>
      </c>
      <c r="L1004">
        <v>47759.4</v>
      </c>
      <c r="M1004">
        <v>1500</v>
      </c>
      <c r="N1004" t="s">
        <v>1160</v>
      </c>
      <c r="O1004" t="s">
        <v>1162</v>
      </c>
      <c r="Q1004">
        <v>5</v>
      </c>
      <c r="R1004" t="s">
        <v>1166</v>
      </c>
    </row>
    <row r="1005" spans="1:18" x14ac:dyDescent="0.3">
      <c r="A1005" s="2">
        <v>45770</v>
      </c>
      <c r="B1005" t="s">
        <v>1012</v>
      </c>
      <c r="C1005" t="s">
        <v>1125</v>
      </c>
      <c r="D1005" t="s">
        <v>1133</v>
      </c>
      <c r="E1005" t="s">
        <v>1143</v>
      </c>
      <c r="F1005" t="s">
        <v>1151</v>
      </c>
      <c r="G1005" t="s">
        <v>1157</v>
      </c>
      <c r="H1005">
        <v>4</v>
      </c>
      <c r="I1005">
        <v>61051</v>
      </c>
      <c r="J1005">
        <v>10</v>
      </c>
      <c r="K1005">
        <v>54945.9</v>
      </c>
      <c r="L1005">
        <v>219783.6</v>
      </c>
      <c r="M1005">
        <v>2000</v>
      </c>
      <c r="N1005" t="s">
        <v>1161</v>
      </c>
      <c r="O1005" t="s">
        <v>1164</v>
      </c>
      <c r="P1005" s="2">
        <v>45781</v>
      </c>
      <c r="Q1005">
        <v>2</v>
      </c>
      <c r="R1005" t="s">
        <v>1167</v>
      </c>
    </row>
    <row r="1006" spans="1:18" x14ac:dyDescent="0.3">
      <c r="A1006" s="2">
        <v>45690</v>
      </c>
      <c r="B1006" t="s">
        <v>1013</v>
      </c>
      <c r="C1006" t="s">
        <v>1132</v>
      </c>
      <c r="D1006" t="s">
        <v>1134</v>
      </c>
      <c r="E1006" t="s">
        <v>1145</v>
      </c>
      <c r="F1006" t="s">
        <v>1149</v>
      </c>
      <c r="G1006" t="s">
        <v>1153</v>
      </c>
      <c r="H1006">
        <v>4</v>
      </c>
      <c r="I1006">
        <v>10412</v>
      </c>
      <c r="J1006">
        <v>15</v>
      </c>
      <c r="K1006">
        <v>8850.2000000000007</v>
      </c>
      <c r="L1006">
        <v>35400.800000000003</v>
      </c>
      <c r="M1006">
        <v>1500</v>
      </c>
      <c r="N1006" t="s">
        <v>1159</v>
      </c>
      <c r="O1006" t="s">
        <v>1162</v>
      </c>
      <c r="Q1006">
        <v>2</v>
      </c>
      <c r="R1006" t="s">
        <v>1167</v>
      </c>
    </row>
    <row r="1007" spans="1:18" x14ac:dyDescent="0.3">
      <c r="A1007" s="2">
        <v>45780</v>
      </c>
      <c r="B1007" t="s">
        <v>1014</v>
      </c>
      <c r="C1007" t="s">
        <v>1119</v>
      </c>
      <c r="D1007" t="s">
        <v>1134</v>
      </c>
      <c r="E1007" t="s">
        <v>1139</v>
      </c>
      <c r="F1007" t="s">
        <v>1150</v>
      </c>
      <c r="G1007" t="s">
        <v>1154</v>
      </c>
      <c r="H1007">
        <v>4</v>
      </c>
      <c r="I1007">
        <v>34895</v>
      </c>
      <c r="J1007">
        <v>0</v>
      </c>
      <c r="K1007">
        <v>34895</v>
      </c>
      <c r="L1007">
        <v>139580</v>
      </c>
      <c r="M1007">
        <v>2000</v>
      </c>
      <c r="N1007" t="s">
        <v>1161</v>
      </c>
      <c r="O1007" t="s">
        <v>1164</v>
      </c>
      <c r="P1007" s="2">
        <v>45786</v>
      </c>
      <c r="Q1007">
        <v>4</v>
      </c>
      <c r="R1007" t="s">
        <v>1167</v>
      </c>
    </row>
    <row r="1008" spans="1:18" x14ac:dyDescent="0.3">
      <c r="A1008" s="2">
        <v>45699</v>
      </c>
      <c r="B1008" t="s">
        <v>1015</v>
      </c>
      <c r="C1008" t="s">
        <v>1120</v>
      </c>
      <c r="D1008" t="s">
        <v>1135</v>
      </c>
      <c r="E1008" t="s">
        <v>1137</v>
      </c>
      <c r="F1008" t="s">
        <v>1149</v>
      </c>
      <c r="G1008" t="s">
        <v>1152</v>
      </c>
      <c r="H1008">
        <v>3</v>
      </c>
      <c r="I1008">
        <v>41957</v>
      </c>
      <c r="J1008">
        <v>5</v>
      </c>
      <c r="K1008">
        <v>39859.15</v>
      </c>
      <c r="L1008">
        <v>119577.45</v>
      </c>
      <c r="M1008">
        <v>1000</v>
      </c>
      <c r="N1008" t="s">
        <v>1161</v>
      </c>
      <c r="O1008" t="s">
        <v>1164</v>
      </c>
      <c r="P1008" s="2">
        <v>45710</v>
      </c>
      <c r="Q1008">
        <v>5</v>
      </c>
      <c r="R1008" t="s">
        <v>1167</v>
      </c>
    </row>
    <row r="1009" spans="1:18" x14ac:dyDescent="0.3">
      <c r="A1009" s="2">
        <v>45674</v>
      </c>
      <c r="B1009" t="s">
        <v>1016</v>
      </c>
      <c r="C1009" t="s">
        <v>1123</v>
      </c>
      <c r="D1009" t="s">
        <v>1135</v>
      </c>
      <c r="E1009" t="s">
        <v>1142</v>
      </c>
      <c r="F1009" t="s">
        <v>1150</v>
      </c>
      <c r="G1009" t="s">
        <v>1156</v>
      </c>
      <c r="H1009">
        <v>5</v>
      </c>
      <c r="I1009">
        <v>12801</v>
      </c>
      <c r="J1009">
        <v>5</v>
      </c>
      <c r="K1009">
        <v>12160.95</v>
      </c>
      <c r="L1009">
        <v>60804.75</v>
      </c>
      <c r="M1009">
        <v>1500</v>
      </c>
      <c r="N1009" t="s">
        <v>1159</v>
      </c>
      <c r="O1009" t="s">
        <v>1164</v>
      </c>
      <c r="P1009" s="2">
        <v>45685</v>
      </c>
      <c r="Q1009">
        <v>5</v>
      </c>
      <c r="R1009" t="s">
        <v>1168</v>
      </c>
    </row>
    <row r="1010" spans="1:18" x14ac:dyDescent="0.3">
      <c r="A1010" s="2">
        <v>45689</v>
      </c>
      <c r="B1010" t="s">
        <v>1017</v>
      </c>
      <c r="C1010" t="s">
        <v>1117</v>
      </c>
      <c r="D1010" t="s">
        <v>1133</v>
      </c>
      <c r="E1010" t="s">
        <v>1143</v>
      </c>
      <c r="F1010" t="s">
        <v>1151</v>
      </c>
      <c r="G1010" t="s">
        <v>1157</v>
      </c>
      <c r="H1010">
        <v>4</v>
      </c>
      <c r="I1010">
        <v>16719</v>
      </c>
      <c r="J1010">
        <v>20</v>
      </c>
      <c r="K1010">
        <v>13375.2</v>
      </c>
      <c r="L1010">
        <v>53500.800000000003</v>
      </c>
      <c r="M1010">
        <v>1000</v>
      </c>
      <c r="N1010" t="s">
        <v>1161</v>
      </c>
      <c r="O1010" t="s">
        <v>1163</v>
      </c>
      <c r="Q1010">
        <v>4</v>
      </c>
      <c r="R1010" t="s">
        <v>1169</v>
      </c>
    </row>
    <row r="1011" spans="1:18" x14ac:dyDescent="0.3">
      <c r="A1011" s="2">
        <v>45685</v>
      </c>
      <c r="B1011" t="s">
        <v>1018</v>
      </c>
      <c r="C1011" t="s">
        <v>1118</v>
      </c>
      <c r="D1011" t="s">
        <v>1134</v>
      </c>
      <c r="E1011" t="s">
        <v>1145</v>
      </c>
      <c r="F1011" t="s">
        <v>1149</v>
      </c>
      <c r="G1011" t="s">
        <v>1153</v>
      </c>
      <c r="H1011">
        <v>2</v>
      </c>
      <c r="I1011">
        <v>27137</v>
      </c>
      <c r="J1011">
        <v>0</v>
      </c>
      <c r="K1011">
        <v>27137</v>
      </c>
      <c r="L1011">
        <v>54274</v>
      </c>
      <c r="M1011">
        <v>2000</v>
      </c>
      <c r="N1011" t="s">
        <v>1160</v>
      </c>
      <c r="O1011" t="s">
        <v>1164</v>
      </c>
      <c r="P1011" s="2">
        <v>45691</v>
      </c>
      <c r="Q1011">
        <v>2</v>
      </c>
      <c r="R1011" t="s">
        <v>1170</v>
      </c>
    </row>
    <row r="1012" spans="1:18" x14ac:dyDescent="0.3">
      <c r="A1012" s="2">
        <v>45686</v>
      </c>
      <c r="B1012" t="s">
        <v>1019</v>
      </c>
      <c r="C1012" t="s">
        <v>1122</v>
      </c>
      <c r="D1012" t="s">
        <v>1136</v>
      </c>
      <c r="E1012" t="s">
        <v>1147</v>
      </c>
      <c r="F1012" t="s">
        <v>1150</v>
      </c>
      <c r="G1012" t="s">
        <v>1156</v>
      </c>
      <c r="H1012">
        <v>3</v>
      </c>
      <c r="I1012">
        <v>25596</v>
      </c>
      <c r="J1012">
        <v>15</v>
      </c>
      <c r="K1012">
        <v>21756.6</v>
      </c>
      <c r="L1012">
        <v>65269.8</v>
      </c>
      <c r="M1012">
        <v>2000</v>
      </c>
      <c r="N1012" t="s">
        <v>1159</v>
      </c>
      <c r="O1012" t="s">
        <v>1162</v>
      </c>
      <c r="Q1012">
        <v>5</v>
      </c>
      <c r="R1012" t="s">
        <v>1168</v>
      </c>
    </row>
    <row r="1013" spans="1:18" x14ac:dyDescent="0.3">
      <c r="A1013" s="2">
        <v>45745</v>
      </c>
      <c r="B1013" t="s">
        <v>1020</v>
      </c>
      <c r="C1013" t="s">
        <v>1127</v>
      </c>
      <c r="D1013" t="s">
        <v>1134</v>
      </c>
      <c r="E1013" t="s">
        <v>1141</v>
      </c>
      <c r="F1013" t="s">
        <v>1151</v>
      </c>
      <c r="G1013" t="s">
        <v>1155</v>
      </c>
      <c r="H1013">
        <v>3</v>
      </c>
      <c r="I1013">
        <v>56883</v>
      </c>
      <c r="J1013">
        <v>5</v>
      </c>
      <c r="K1013">
        <v>54038.85</v>
      </c>
      <c r="L1013">
        <v>162116.54999999999</v>
      </c>
      <c r="M1013">
        <v>1500</v>
      </c>
      <c r="N1013" t="s">
        <v>1159</v>
      </c>
      <c r="O1013" t="s">
        <v>1163</v>
      </c>
      <c r="Q1013">
        <v>5</v>
      </c>
      <c r="R1013" t="s">
        <v>1166</v>
      </c>
    </row>
    <row r="1014" spans="1:18" x14ac:dyDescent="0.3">
      <c r="A1014" s="2">
        <v>45752</v>
      </c>
      <c r="B1014" t="s">
        <v>1021</v>
      </c>
      <c r="C1014" t="s">
        <v>1126</v>
      </c>
      <c r="D1014" t="s">
        <v>1133</v>
      </c>
      <c r="E1014" t="s">
        <v>1145</v>
      </c>
      <c r="F1014" t="s">
        <v>1149</v>
      </c>
      <c r="G1014" t="s">
        <v>1153</v>
      </c>
      <c r="H1014">
        <v>3</v>
      </c>
      <c r="I1014">
        <v>12992</v>
      </c>
      <c r="J1014">
        <v>5</v>
      </c>
      <c r="K1014">
        <v>12342.4</v>
      </c>
      <c r="L1014">
        <v>37027.199999999997</v>
      </c>
      <c r="M1014">
        <v>2000</v>
      </c>
      <c r="N1014" t="s">
        <v>1159</v>
      </c>
      <c r="O1014" t="s">
        <v>1164</v>
      </c>
      <c r="P1014" s="2">
        <v>45756</v>
      </c>
      <c r="Q1014">
        <v>3</v>
      </c>
      <c r="R1014" t="s">
        <v>1168</v>
      </c>
    </row>
    <row r="1015" spans="1:18" x14ac:dyDescent="0.3">
      <c r="A1015" s="2">
        <v>45825</v>
      </c>
      <c r="B1015" t="s">
        <v>1022</v>
      </c>
      <c r="C1015" t="s">
        <v>1119</v>
      </c>
      <c r="D1015" t="s">
        <v>1134</v>
      </c>
      <c r="E1015" t="s">
        <v>1137</v>
      </c>
      <c r="F1015" t="s">
        <v>1149</v>
      </c>
      <c r="G1015" t="s">
        <v>1152</v>
      </c>
      <c r="H1015">
        <v>2</v>
      </c>
      <c r="I1015">
        <v>51812</v>
      </c>
      <c r="J1015">
        <v>0</v>
      </c>
      <c r="K1015">
        <v>51812</v>
      </c>
      <c r="L1015">
        <v>103624</v>
      </c>
      <c r="M1015">
        <v>2000</v>
      </c>
      <c r="N1015" t="s">
        <v>1159</v>
      </c>
      <c r="O1015" t="s">
        <v>1163</v>
      </c>
      <c r="Q1015">
        <v>3</v>
      </c>
      <c r="R1015" t="s">
        <v>1170</v>
      </c>
    </row>
    <row r="1016" spans="1:18" x14ac:dyDescent="0.3">
      <c r="A1016" s="2">
        <v>45668</v>
      </c>
      <c r="B1016" t="s">
        <v>1023</v>
      </c>
      <c r="C1016" t="s">
        <v>1127</v>
      </c>
      <c r="D1016" t="s">
        <v>1134</v>
      </c>
      <c r="E1016" t="s">
        <v>1144</v>
      </c>
      <c r="F1016" t="s">
        <v>1151</v>
      </c>
      <c r="G1016" t="s">
        <v>1157</v>
      </c>
      <c r="H1016">
        <v>4</v>
      </c>
      <c r="I1016">
        <v>48092</v>
      </c>
      <c r="J1016">
        <v>0</v>
      </c>
      <c r="K1016">
        <v>48092</v>
      </c>
      <c r="L1016">
        <v>192368</v>
      </c>
      <c r="M1016">
        <v>2000</v>
      </c>
      <c r="N1016" t="s">
        <v>1159</v>
      </c>
      <c r="O1016" t="s">
        <v>1163</v>
      </c>
      <c r="Q1016">
        <v>2</v>
      </c>
      <c r="R1016" t="s">
        <v>1168</v>
      </c>
    </row>
    <row r="1017" spans="1:18" x14ac:dyDescent="0.3">
      <c r="A1017" s="2">
        <v>45831</v>
      </c>
      <c r="B1017" t="s">
        <v>1024</v>
      </c>
      <c r="C1017" t="s">
        <v>1122</v>
      </c>
      <c r="D1017" t="s">
        <v>1136</v>
      </c>
      <c r="E1017" t="s">
        <v>1141</v>
      </c>
      <c r="F1017" t="s">
        <v>1151</v>
      </c>
      <c r="G1017" t="s">
        <v>1155</v>
      </c>
      <c r="H1017">
        <v>5</v>
      </c>
      <c r="I1017">
        <v>14497</v>
      </c>
      <c r="J1017">
        <v>5</v>
      </c>
      <c r="K1017">
        <v>13772.15</v>
      </c>
      <c r="L1017">
        <v>68860.75</v>
      </c>
      <c r="M1017">
        <v>1000</v>
      </c>
      <c r="N1017" t="s">
        <v>1160</v>
      </c>
      <c r="O1017" t="s">
        <v>1162</v>
      </c>
      <c r="Q1017">
        <v>1</v>
      </c>
      <c r="R1017" t="s">
        <v>1168</v>
      </c>
    </row>
    <row r="1018" spans="1:18" x14ac:dyDescent="0.3">
      <c r="A1018" s="2">
        <v>45745</v>
      </c>
      <c r="B1018" t="s">
        <v>1025</v>
      </c>
      <c r="C1018" t="s">
        <v>1123</v>
      </c>
      <c r="D1018" t="s">
        <v>1135</v>
      </c>
      <c r="E1018" t="s">
        <v>1148</v>
      </c>
      <c r="F1018" t="s">
        <v>1149</v>
      </c>
      <c r="G1018" t="s">
        <v>1152</v>
      </c>
      <c r="H1018">
        <v>5</v>
      </c>
      <c r="I1018">
        <v>61758</v>
      </c>
      <c r="J1018">
        <v>20</v>
      </c>
      <c r="K1018">
        <v>49406.400000000001</v>
      </c>
      <c r="L1018">
        <v>247032</v>
      </c>
      <c r="M1018">
        <v>1000</v>
      </c>
      <c r="N1018" t="s">
        <v>1159</v>
      </c>
      <c r="O1018" t="s">
        <v>1163</v>
      </c>
      <c r="R1018" t="s">
        <v>1170</v>
      </c>
    </row>
    <row r="1019" spans="1:18" x14ac:dyDescent="0.3">
      <c r="A1019" s="2">
        <v>45663</v>
      </c>
      <c r="B1019" t="s">
        <v>1026</v>
      </c>
      <c r="C1019" t="s">
        <v>1118</v>
      </c>
      <c r="D1019" t="s">
        <v>1134</v>
      </c>
      <c r="E1019" t="s">
        <v>1142</v>
      </c>
      <c r="F1019" t="s">
        <v>1150</v>
      </c>
      <c r="G1019" t="s">
        <v>1156</v>
      </c>
      <c r="H1019">
        <v>3</v>
      </c>
      <c r="I1019">
        <v>70942</v>
      </c>
      <c r="J1019">
        <v>5</v>
      </c>
      <c r="K1019">
        <v>67394.899999999994</v>
      </c>
      <c r="L1019">
        <v>202184.7</v>
      </c>
      <c r="M1019">
        <v>2000</v>
      </c>
      <c r="N1019" t="s">
        <v>1160</v>
      </c>
      <c r="O1019" t="s">
        <v>1162</v>
      </c>
      <c r="Q1019">
        <v>4</v>
      </c>
      <c r="R1019" t="s">
        <v>1166</v>
      </c>
    </row>
    <row r="1020" spans="1:18" x14ac:dyDescent="0.3">
      <c r="A1020" s="2">
        <v>45688</v>
      </c>
      <c r="B1020" t="s">
        <v>1027</v>
      </c>
      <c r="C1020" t="s">
        <v>1128</v>
      </c>
      <c r="D1020" t="s">
        <v>1135</v>
      </c>
      <c r="E1020" t="s">
        <v>1146</v>
      </c>
      <c r="F1020" t="s">
        <v>1151</v>
      </c>
      <c r="G1020" t="s">
        <v>1155</v>
      </c>
      <c r="H1020">
        <v>1</v>
      </c>
      <c r="I1020">
        <v>35540</v>
      </c>
      <c r="J1020">
        <v>0</v>
      </c>
      <c r="K1020">
        <v>35540</v>
      </c>
      <c r="L1020">
        <v>35540</v>
      </c>
      <c r="M1020">
        <v>1500</v>
      </c>
      <c r="N1020" t="s">
        <v>1159</v>
      </c>
      <c r="O1020" t="s">
        <v>1163</v>
      </c>
      <c r="R1020" t="s">
        <v>1167</v>
      </c>
    </row>
    <row r="1021" spans="1:18" x14ac:dyDescent="0.3">
      <c r="A1021" s="2">
        <v>45728</v>
      </c>
      <c r="B1021" t="s">
        <v>1028</v>
      </c>
      <c r="C1021" t="s">
        <v>1124</v>
      </c>
      <c r="D1021" t="s">
        <v>1135</v>
      </c>
      <c r="E1021" t="s">
        <v>1138</v>
      </c>
      <c r="F1021" t="s">
        <v>1149</v>
      </c>
      <c r="G1021" t="s">
        <v>1153</v>
      </c>
      <c r="H1021">
        <v>3</v>
      </c>
      <c r="I1021">
        <v>35702</v>
      </c>
      <c r="J1021">
        <v>15</v>
      </c>
      <c r="K1021">
        <v>30346.7</v>
      </c>
      <c r="L1021">
        <v>91040.1</v>
      </c>
      <c r="M1021">
        <v>1500</v>
      </c>
      <c r="N1021" t="s">
        <v>1160</v>
      </c>
      <c r="O1021" t="s">
        <v>1164</v>
      </c>
      <c r="P1021" s="2">
        <v>45740</v>
      </c>
      <c r="Q1021">
        <v>5</v>
      </c>
      <c r="R1021" t="s">
        <v>1170</v>
      </c>
    </row>
    <row r="1022" spans="1:18" x14ac:dyDescent="0.3">
      <c r="A1022" s="2">
        <v>45736</v>
      </c>
      <c r="B1022" t="s">
        <v>1029</v>
      </c>
      <c r="C1022" t="s">
        <v>1120</v>
      </c>
      <c r="D1022" t="s">
        <v>1135</v>
      </c>
      <c r="E1022" t="s">
        <v>1140</v>
      </c>
      <c r="F1022" t="s">
        <v>1150</v>
      </c>
      <c r="G1022" t="s">
        <v>1154</v>
      </c>
      <c r="H1022">
        <v>2</v>
      </c>
      <c r="I1022">
        <v>35033</v>
      </c>
      <c r="J1022">
        <v>5</v>
      </c>
      <c r="K1022">
        <v>33281.35</v>
      </c>
      <c r="L1022">
        <v>66562.7</v>
      </c>
      <c r="M1022">
        <v>1000</v>
      </c>
      <c r="N1022" t="s">
        <v>1159</v>
      </c>
      <c r="O1022" t="s">
        <v>1163</v>
      </c>
      <c r="Q1022">
        <v>2</v>
      </c>
      <c r="R1022" t="s">
        <v>1169</v>
      </c>
    </row>
    <row r="1023" spans="1:18" x14ac:dyDescent="0.3">
      <c r="A1023" s="2">
        <v>45744</v>
      </c>
      <c r="B1023" t="s">
        <v>1030</v>
      </c>
      <c r="C1023" t="s">
        <v>1124</v>
      </c>
      <c r="D1023" t="s">
        <v>1135</v>
      </c>
      <c r="E1023" t="s">
        <v>1141</v>
      </c>
      <c r="F1023" t="s">
        <v>1151</v>
      </c>
      <c r="G1023" t="s">
        <v>1155</v>
      </c>
      <c r="H1023">
        <v>2</v>
      </c>
      <c r="I1023">
        <v>73412</v>
      </c>
      <c r="J1023">
        <v>10</v>
      </c>
      <c r="K1023">
        <v>66070.8</v>
      </c>
      <c r="L1023">
        <v>132141.6</v>
      </c>
      <c r="M1023">
        <v>2000</v>
      </c>
      <c r="N1023" t="s">
        <v>1159</v>
      </c>
      <c r="O1023" t="s">
        <v>1164</v>
      </c>
      <c r="P1023" s="2">
        <v>45750</v>
      </c>
      <c r="Q1023">
        <v>5</v>
      </c>
      <c r="R1023" t="s">
        <v>1167</v>
      </c>
    </row>
    <row r="1024" spans="1:18" x14ac:dyDescent="0.3">
      <c r="A1024" s="2">
        <v>45737</v>
      </c>
      <c r="B1024" t="s">
        <v>1031</v>
      </c>
      <c r="C1024" t="s">
        <v>1131</v>
      </c>
      <c r="D1024" t="s">
        <v>1136</v>
      </c>
      <c r="E1024" t="s">
        <v>1138</v>
      </c>
      <c r="F1024" t="s">
        <v>1149</v>
      </c>
      <c r="G1024" t="s">
        <v>1153</v>
      </c>
      <c r="H1024">
        <v>4</v>
      </c>
      <c r="I1024">
        <v>23100</v>
      </c>
      <c r="J1024">
        <v>20</v>
      </c>
      <c r="K1024">
        <v>18480</v>
      </c>
      <c r="L1024">
        <v>73920</v>
      </c>
      <c r="M1024">
        <v>2000</v>
      </c>
      <c r="N1024" t="s">
        <v>1159</v>
      </c>
      <c r="O1024" t="s">
        <v>1163</v>
      </c>
      <c r="Q1024">
        <v>5</v>
      </c>
      <c r="R1024" t="s">
        <v>1166</v>
      </c>
    </row>
    <row r="1025" spans="1:18" x14ac:dyDescent="0.3">
      <c r="A1025" s="2">
        <v>45804</v>
      </c>
      <c r="B1025" t="s">
        <v>1032</v>
      </c>
      <c r="C1025" t="s">
        <v>1124</v>
      </c>
      <c r="D1025" t="s">
        <v>1135</v>
      </c>
      <c r="E1025" t="s">
        <v>1142</v>
      </c>
      <c r="F1025" t="s">
        <v>1150</v>
      </c>
      <c r="G1025" t="s">
        <v>1156</v>
      </c>
      <c r="H1025">
        <v>2</v>
      </c>
      <c r="I1025">
        <v>78169</v>
      </c>
      <c r="J1025">
        <v>5</v>
      </c>
      <c r="K1025">
        <v>74260.55</v>
      </c>
      <c r="L1025">
        <v>148521.1</v>
      </c>
      <c r="M1025">
        <v>1500</v>
      </c>
      <c r="N1025" t="s">
        <v>1160</v>
      </c>
      <c r="O1025" t="s">
        <v>1162</v>
      </c>
      <c r="Q1025">
        <v>3</v>
      </c>
      <c r="R1025" t="s">
        <v>1168</v>
      </c>
    </row>
    <row r="1026" spans="1:18" x14ac:dyDescent="0.3">
      <c r="A1026" s="2">
        <v>45813</v>
      </c>
      <c r="B1026" t="s">
        <v>1033</v>
      </c>
      <c r="C1026" t="s">
        <v>1117</v>
      </c>
      <c r="D1026" t="s">
        <v>1133</v>
      </c>
      <c r="E1026" t="s">
        <v>1148</v>
      </c>
      <c r="F1026" t="s">
        <v>1149</v>
      </c>
      <c r="G1026" t="s">
        <v>1152</v>
      </c>
      <c r="H1026">
        <v>1</v>
      </c>
      <c r="I1026">
        <v>61401</v>
      </c>
      <c r="J1026">
        <v>15</v>
      </c>
      <c r="K1026">
        <v>52190.85</v>
      </c>
      <c r="L1026">
        <v>52190.85</v>
      </c>
      <c r="M1026">
        <v>2000</v>
      </c>
      <c r="N1026" t="s">
        <v>1159</v>
      </c>
      <c r="O1026" t="s">
        <v>1163</v>
      </c>
      <c r="Q1026">
        <v>3</v>
      </c>
      <c r="R1026" t="s">
        <v>1170</v>
      </c>
    </row>
    <row r="1027" spans="1:18" x14ac:dyDescent="0.3">
      <c r="A1027" s="2">
        <v>45804</v>
      </c>
      <c r="B1027" t="s">
        <v>1034</v>
      </c>
      <c r="C1027" t="s">
        <v>1121</v>
      </c>
      <c r="D1027" t="s">
        <v>1136</v>
      </c>
      <c r="E1027" t="s">
        <v>1143</v>
      </c>
      <c r="F1027" t="s">
        <v>1151</v>
      </c>
      <c r="G1027" t="s">
        <v>1157</v>
      </c>
      <c r="H1027">
        <v>3</v>
      </c>
      <c r="I1027">
        <v>7344</v>
      </c>
      <c r="J1027">
        <v>0</v>
      </c>
      <c r="K1027">
        <v>7344</v>
      </c>
      <c r="L1027">
        <v>22032</v>
      </c>
      <c r="M1027">
        <v>2000</v>
      </c>
      <c r="N1027" t="s">
        <v>1160</v>
      </c>
      <c r="O1027" t="s">
        <v>1164</v>
      </c>
      <c r="P1027" s="2">
        <v>45810</v>
      </c>
      <c r="Q1027">
        <v>2</v>
      </c>
      <c r="R1027" t="s">
        <v>1168</v>
      </c>
    </row>
    <row r="1028" spans="1:18" x14ac:dyDescent="0.3">
      <c r="A1028" s="2">
        <v>45763</v>
      </c>
      <c r="B1028" t="s">
        <v>1035</v>
      </c>
      <c r="C1028" t="s">
        <v>1123</v>
      </c>
      <c r="D1028" t="s">
        <v>1135</v>
      </c>
      <c r="E1028" t="s">
        <v>1145</v>
      </c>
      <c r="F1028" t="s">
        <v>1149</v>
      </c>
      <c r="G1028" t="s">
        <v>1153</v>
      </c>
      <c r="H1028">
        <v>5</v>
      </c>
      <c r="I1028">
        <v>6742</v>
      </c>
      <c r="J1028">
        <v>10</v>
      </c>
      <c r="K1028">
        <v>6067.8</v>
      </c>
      <c r="L1028">
        <v>30339</v>
      </c>
      <c r="M1028">
        <v>2000</v>
      </c>
      <c r="N1028" t="s">
        <v>1161</v>
      </c>
      <c r="O1028" t="s">
        <v>1162</v>
      </c>
      <c r="Q1028">
        <v>1</v>
      </c>
      <c r="R1028" t="s">
        <v>1167</v>
      </c>
    </row>
    <row r="1029" spans="1:18" x14ac:dyDescent="0.3">
      <c r="A1029" s="2">
        <v>45676</v>
      </c>
      <c r="B1029" t="s">
        <v>1036</v>
      </c>
      <c r="C1029" t="s">
        <v>1124</v>
      </c>
      <c r="D1029" t="s">
        <v>1135</v>
      </c>
      <c r="E1029" t="s">
        <v>1145</v>
      </c>
      <c r="F1029" t="s">
        <v>1149</v>
      </c>
      <c r="G1029" t="s">
        <v>1153</v>
      </c>
      <c r="H1029">
        <v>1</v>
      </c>
      <c r="I1029">
        <v>72873</v>
      </c>
      <c r="J1029">
        <v>0</v>
      </c>
      <c r="K1029">
        <v>72873</v>
      </c>
      <c r="L1029">
        <v>72873</v>
      </c>
      <c r="M1029">
        <v>2000</v>
      </c>
      <c r="N1029" t="s">
        <v>1160</v>
      </c>
      <c r="O1029" t="s">
        <v>1163</v>
      </c>
    </row>
    <row r="1030" spans="1:18" x14ac:dyDescent="0.3">
      <c r="A1030" s="2">
        <v>45824</v>
      </c>
      <c r="B1030" t="s">
        <v>1037</v>
      </c>
      <c r="C1030" t="s">
        <v>1129</v>
      </c>
      <c r="D1030" t="s">
        <v>1133</v>
      </c>
      <c r="E1030" t="s">
        <v>1145</v>
      </c>
      <c r="F1030" t="s">
        <v>1149</v>
      </c>
      <c r="G1030" t="s">
        <v>1153</v>
      </c>
      <c r="H1030">
        <v>4</v>
      </c>
      <c r="I1030">
        <v>8141</v>
      </c>
      <c r="J1030" t="s">
        <v>1158</v>
      </c>
      <c r="K1030">
        <v>6512.8</v>
      </c>
      <c r="L1030">
        <v>26051.200000000001</v>
      </c>
      <c r="M1030">
        <v>1500</v>
      </c>
      <c r="N1030" t="s">
        <v>1160</v>
      </c>
      <c r="O1030" t="s">
        <v>1163</v>
      </c>
      <c r="Q1030">
        <v>2</v>
      </c>
      <c r="R1030" t="s">
        <v>1170</v>
      </c>
    </row>
    <row r="1031" spans="1:18" x14ac:dyDescent="0.3">
      <c r="A1031" s="2">
        <v>45792</v>
      </c>
      <c r="B1031" t="s">
        <v>1038</v>
      </c>
      <c r="C1031" t="s">
        <v>1122</v>
      </c>
      <c r="D1031" t="s">
        <v>1136</v>
      </c>
      <c r="E1031" t="s">
        <v>1143</v>
      </c>
      <c r="F1031" t="s">
        <v>1151</v>
      </c>
      <c r="G1031" t="s">
        <v>1157</v>
      </c>
      <c r="H1031">
        <v>1</v>
      </c>
      <c r="I1031">
        <v>14743</v>
      </c>
      <c r="J1031">
        <v>0</v>
      </c>
      <c r="K1031">
        <v>14743</v>
      </c>
      <c r="L1031">
        <v>14743</v>
      </c>
      <c r="M1031">
        <v>1500</v>
      </c>
      <c r="N1031" t="s">
        <v>1161</v>
      </c>
      <c r="O1031" t="s">
        <v>1162</v>
      </c>
    </row>
    <row r="1032" spans="1:18" x14ac:dyDescent="0.3">
      <c r="A1032" s="2">
        <v>45812</v>
      </c>
      <c r="B1032" t="s">
        <v>1039</v>
      </c>
      <c r="C1032" t="s">
        <v>1118</v>
      </c>
      <c r="D1032" t="s">
        <v>1134</v>
      </c>
      <c r="E1032" t="s">
        <v>1143</v>
      </c>
      <c r="F1032" t="s">
        <v>1151</v>
      </c>
      <c r="G1032" t="s">
        <v>1157</v>
      </c>
      <c r="H1032">
        <v>4</v>
      </c>
      <c r="I1032">
        <v>77486</v>
      </c>
      <c r="J1032">
        <v>5</v>
      </c>
      <c r="K1032">
        <v>73611.7</v>
      </c>
      <c r="L1032">
        <v>294446.8</v>
      </c>
      <c r="M1032">
        <v>2000</v>
      </c>
      <c r="N1032" t="s">
        <v>1159</v>
      </c>
      <c r="O1032" t="s">
        <v>1164</v>
      </c>
      <c r="P1032" s="2">
        <v>45825</v>
      </c>
      <c r="Q1032">
        <v>4</v>
      </c>
      <c r="R1032" t="s">
        <v>1170</v>
      </c>
    </row>
    <row r="1033" spans="1:18" x14ac:dyDescent="0.3">
      <c r="A1033" s="2">
        <v>45795</v>
      </c>
      <c r="B1033" t="s">
        <v>1040</v>
      </c>
      <c r="C1033" t="s">
        <v>1117</v>
      </c>
      <c r="D1033" t="s">
        <v>1133</v>
      </c>
      <c r="E1033" t="s">
        <v>1147</v>
      </c>
      <c r="F1033" t="s">
        <v>1150</v>
      </c>
      <c r="G1033" t="s">
        <v>1156</v>
      </c>
      <c r="H1033">
        <v>4</v>
      </c>
      <c r="I1033">
        <v>20325</v>
      </c>
      <c r="J1033">
        <v>0</v>
      </c>
      <c r="K1033">
        <v>20325</v>
      </c>
      <c r="L1033">
        <v>81300</v>
      </c>
      <c r="M1033">
        <v>2000</v>
      </c>
      <c r="N1033" t="s">
        <v>1159</v>
      </c>
      <c r="O1033" t="s">
        <v>1162</v>
      </c>
      <c r="Q1033">
        <v>5</v>
      </c>
      <c r="R1033" t="s">
        <v>1169</v>
      </c>
    </row>
    <row r="1034" spans="1:18" x14ac:dyDescent="0.3">
      <c r="A1034" s="2">
        <v>45742</v>
      </c>
      <c r="B1034" t="s">
        <v>1041</v>
      </c>
      <c r="C1034" t="s">
        <v>1121</v>
      </c>
      <c r="D1034" t="s">
        <v>1136</v>
      </c>
      <c r="E1034" t="s">
        <v>1138</v>
      </c>
      <c r="F1034" t="s">
        <v>1149</v>
      </c>
      <c r="G1034" t="s">
        <v>1153</v>
      </c>
      <c r="H1034">
        <v>4</v>
      </c>
      <c r="I1034">
        <v>16010</v>
      </c>
      <c r="J1034">
        <v>20</v>
      </c>
      <c r="K1034">
        <v>12808</v>
      </c>
      <c r="L1034">
        <v>51232</v>
      </c>
      <c r="M1034">
        <v>2000</v>
      </c>
      <c r="N1034" t="s">
        <v>1159</v>
      </c>
      <c r="O1034" t="s">
        <v>1163</v>
      </c>
      <c r="Q1034">
        <v>1</v>
      </c>
      <c r="R1034" t="s">
        <v>1168</v>
      </c>
    </row>
    <row r="1035" spans="1:18" x14ac:dyDescent="0.3">
      <c r="A1035" s="2">
        <v>45809</v>
      </c>
      <c r="B1035" t="s">
        <v>1042</v>
      </c>
      <c r="C1035" t="s">
        <v>1122</v>
      </c>
      <c r="D1035" t="s">
        <v>1136</v>
      </c>
      <c r="E1035" t="s">
        <v>1143</v>
      </c>
      <c r="F1035" t="s">
        <v>1151</v>
      </c>
      <c r="G1035" t="s">
        <v>1157</v>
      </c>
      <c r="H1035">
        <v>3</v>
      </c>
      <c r="I1035">
        <v>48413</v>
      </c>
      <c r="J1035">
        <v>15</v>
      </c>
      <c r="K1035">
        <v>41151.050000000003</v>
      </c>
      <c r="L1035">
        <v>123453.15</v>
      </c>
      <c r="M1035">
        <v>1000</v>
      </c>
      <c r="N1035" t="s">
        <v>1159</v>
      </c>
      <c r="O1035" t="s">
        <v>1164</v>
      </c>
      <c r="P1035" s="2">
        <v>45811</v>
      </c>
      <c r="Q1035">
        <v>2</v>
      </c>
      <c r="R1035" t="s">
        <v>1167</v>
      </c>
    </row>
    <row r="1036" spans="1:18" x14ac:dyDescent="0.3">
      <c r="A1036" s="2">
        <v>45818</v>
      </c>
      <c r="B1036" t="s">
        <v>1043</v>
      </c>
      <c r="C1036" t="s">
        <v>1122</v>
      </c>
      <c r="D1036" t="s">
        <v>1136</v>
      </c>
      <c r="E1036" t="s">
        <v>1145</v>
      </c>
      <c r="F1036" t="s">
        <v>1149</v>
      </c>
      <c r="G1036" t="s">
        <v>1153</v>
      </c>
      <c r="H1036">
        <v>2</v>
      </c>
      <c r="I1036">
        <v>14918</v>
      </c>
      <c r="J1036">
        <v>0</v>
      </c>
      <c r="K1036">
        <v>14918</v>
      </c>
      <c r="L1036">
        <v>29836</v>
      </c>
      <c r="M1036">
        <v>2000</v>
      </c>
      <c r="N1036" t="s">
        <v>1159</v>
      </c>
      <c r="O1036" t="s">
        <v>1162</v>
      </c>
      <c r="Q1036">
        <v>4</v>
      </c>
      <c r="R1036" t="s">
        <v>1169</v>
      </c>
    </row>
    <row r="1037" spans="1:18" x14ac:dyDescent="0.3">
      <c r="A1037" s="2">
        <v>45785</v>
      </c>
      <c r="B1037" t="s">
        <v>1044</v>
      </c>
      <c r="C1037" t="s">
        <v>1117</v>
      </c>
      <c r="D1037" t="s">
        <v>1133</v>
      </c>
      <c r="E1037" t="s">
        <v>1142</v>
      </c>
      <c r="F1037" t="s">
        <v>1150</v>
      </c>
      <c r="G1037" t="s">
        <v>1156</v>
      </c>
      <c r="H1037">
        <v>1</v>
      </c>
      <c r="I1037">
        <v>19683</v>
      </c>
      <c r="J1037">
        <v>10</v>
      </c>
      <c r="K1037">
        <v>17714.7</v>
      </c>
      <c r="L1037">
        <v>17714.7</v>
      </c>
      <c r="M1037">
        <v>2000</v>
      </c>
      <c r="N1037" t="s">
        <v>1159</v>
      </c>
      <c r="O1037" t="s">
        <v>1162</v>
      </c>
      <c r="R1037" t="s">
        <v>1169</v>
      </c>
    </row>
    <row r="1038" spans="1:18" x14ac:dyDescent="0.3">
      <c r="A1038" s="2">
        <v>45745</v>
      </c>
      <c r="B1038" t="s">
        <v>1045</v>
      </c>
      <c r="C1038" t="s">
        <v>1130</v>
      </c>
      <c r="D1038" t="s">
        <v>1136</v>
      </c>
      <c r="E1038" t="s">
        <v>1139</v>
      </c>
      <c r="F1038" t="s">
        <v>1150</v>
      </c>
      <c r="G1038" t="s">
        <v>1154</v>
      </c>
      <c r="H1038">
        <v>3</v>
      </c>
      <c r="I1038">
        <v>50661</v>
      </c>
      <c r="J1038">
        <v>15</v>
      </c>
      <c r="K1038">
        <v>43061.85</v>
      </c>
      <c r="L1038">
        <v>129185.55</v>
      </c>
      <c r="M1038">
        <v>2000</v>
      </c>
      <c r="N1038" t="s">
        <v>1159</v>
      </c>
      <c r="O1038" t="s">
        <v>1164</v>
      </c>
      <c r="P1038" s="2">
        <v>45749</v>
      </c>
      <c r="Q1038">
        <v>5</v>
      </c>
      <c r="R1038" t="s">
        <v>1166</v>
      </c>
    </row>
    <row r="1039" spans="1:18" x14ac:dyDescent="0.3">
      <c r="A1039" s="2">
        <v>45676</v>
      </c>
      <c r="B1039" t="s">
        <v>1046</v>
      </c>
      <c r="C1039" t="s">
        <v>1125</v>
      </c>
      <c r="D1039" t="s">
        <v>1133</v>
      </c>
      <c r="E1039" t="s">
        <v>1140</v>
      </c>
      <c r="F1039" t="s">
        <v>1150</v>
      </c>
      <c r="G1039" t="s">
        <v>1154</v>
      </c>
      <c r="H1039">
        <v>1</v>
      </c>
      <c r="I1039">
        <v>16418</v>
      </c>
      <c r="J1039">
        <v>10</v>
      </c>
      <c r="K1039">
        <v>14776.2</v>
      </c>
      <c r="L1039">
        <v>14776.2</v>
      </c>
      <c r="M1039">
        <v>1000</v>
      </c>
      <c r="N1039" t="s">
        <v>1161</v>
      </c>
      <c r="O1039" t="s">
        <v>1162</v>
      </c>
      <c r="R1039" t="s">
        <v>1168</v>
      </c>
    </row>
    <row r="1040" spans="1:18" x14ac:dyDescent="0.3">
      <c r="A1040" s="2">
        <v>45770</v>
      </c>
      <c r="B1040" t="s">
        <v>1047</v>
      </c>
      <c r="C1040" t="s">
        <v>1118</v>
      </c>
      <c r="D1040" t="s">
        <v>1134</v>
      </c>
      <c r="E1040" t="s">
        <v>1142</v>
      </c>
      <c r="F1040" t="s">
        <v>1150</v>
      </c>
      <c r="G1040" t="s">
        <v>1156</v>
      </c>
      <c r="H1040">
        <v>2</v>
      </c>
      <c r="I1040">
        <v>64205</v>
      </c>
      <c r="J1040">
        <v>10</v>
      </c>
      <c r="K1040">
        <v>57784.5</v>
      </c>
      <c r="L1040">
        <v>115569</v>
      </c>
      <c r="M1040">
        <v>2000</v>
      </c>
      <c r="N1040" t="s">
        <v>1161</v>
      </c>
      <c r="O1040" t="s">
        <v>1164</v>
      </c>
      <c r="P1040" s="2">
        <v>45784</v>
      </c>
      <c r="R1040" t="s">
        <v>1170</v>
      </c>
    </row>
    <row r="1041" spans="1:18" x14ac:dyDescent="0.3">
      <c r="A1041" s="2">
        <v>45660</v>
      </c>
      <c r="B1041" t="s">
        <v>1048</v>
      </c>
      <c r="C1041" t="s">
        <v>1120</v>
      </c>
      <c r="D1041" t="s">
        <v>1135</v>
      </c>
      <c r="E1041" t="s">
        <v>1138</v>
      </c>
      <c r="F1041" t="s">
        <v>1149</v>
      </c>
      <c r="G1041" t="s">
        <v>1153</v>
      </c>
      <c r="H1041">
        <v>2</v>
      </c>
      <c r="I1041">
        <v>9457</v>
      </c>
      <c r="J1041">
        <v>15</v>
      </c>
      <c r="K1041">
        <v>8038.45</v>
      </c>
      <c r="L1041">
        <v>16076.9</v>
      </c>
      <c r="M1041">
        <v>1500</v>
      </c>
      <c r="N1041" t="s">
        <v>1161</v>
      </c>
      <c r="O1041" t="s">
        <v>1164</v>
      </c>
      <c r="P1041" s="2">
        <v>45669</v>
      </c>
      <c r="Q1041">
        <v>5</v>
      </c>
      <c r="R1041" t="s">
        <v>1168</v>
      </c>
    </row>
    <row r="1042" spans="1:18" x14ac:dyDescent="0.3">
      <c r="A1042" s="2">
        <v>45821</v>
      </c>
      <c r="B1042" t="s">
        <v>1049</v>
      </c>
      <c r="C1042" t="s">
        <v>1131</v>
      </c>
      <c r="D1042" t="s">
        <v>1136</v>
      </c>
      <c r="E1042" t="s">
        <v>1141</v>
      </c>
      <c r="F1042" t="s">
        <v>1151</v>
      </c>
      <c r="G1042" t="s">
        <v>1155</v>
      </c>
      <c r="H1042">
        <v>3</v>
      </c>
      <c r="I1042">
        <v>31882</v>
      </c>
      <c r="J1042">
        <v>0</v>
      </c>
      <c r="K1042">
        <v>31882</v>
      </c>
      <c r="L1042">
        <v>95646</v>
      </c>
      <c r="M1042">
        <v>1000</v>
      </c>
      <c r="N1042" t="s">
        <v>1161</v>
      </c>
      <c r="O1042" t="s">
        <v>1163</v>
      </c>
      <c r="R1042" t="s">
        <v>1170</v>
      </c>
    </row>
    <row r="1043" spans="1:18" x14ac:dyDescent="0.3">
      <c r="A1043" s="2">
        <v>45746</v>
      </c>
      <c r="B1043" t="s">
        <v>1050</v>
      </c>
      <c r="C1043" t="s">
        <v>1122</v>
      </c>
      <c r="D1043" t="s">
        <v>1136</v>
      </c>
      <c r="E1043" t="s">
        <v>1144</v>
      </c>
      <c r="F1043" t="s">
        <v>1151</v>
      </c>
      <c r="G1043" t="s">
        <v>1157</v>
      </c>
      <c r="H1043">
        <v>3</v>
      </c>
      <c r="I1043">
        <v>44362</v>
      </c>
      <c r="J1043">
        <v>0</v>
      </c>
      <c r="K1043">
        <v>44362</v>
      </c>
      <c r="L1043">
        <v>133086</v>
      </c>
      <c r="M1043">
        <v>1000</v>
      </c>
      <c r="N1043" t="s">
        <v>1160</v>
      </c>
      <c r="O1043" t="s">
        <v>1164</v>
      </c>
      <c r="P1043" s="2">
        <v>45760</v>
      </c>
      <c r="Q1043">
        <v>1</v>
      </c>
      <c r="R1043" t="s">
        <v>1167</v>
      </c>
    </row>
    <row r="1044" spans="1:18" x14ac:dyDescent="0.3">
      <c r="A1044" s="2">
        <v>45682</v>
      </c>
      <c r="B1044" t="s">
        <v>1051</v>
      </c>
      <c r="C1044" t="s">
        <v>1121</v>
      </c>
      <c r="D1044" t="s">
        <v>1136</v>
      </c>
      <c r="E1044" t="s">
        <v>1145</v>
      </c>
      <c r="F1044" t="s">
        <v>1149</v>
      </c>
      <c r="G1044" t="s">
        <v>1153</v>
      </c>
      <c r="H1044">
        <v>1</v>
      </c>
      <c r="I1044">
        <v>20446</v>
      </c>
      <c r="J1044">
        <v>20</v>
      </c>
      <c r="K1044">
        <v>16356.8</v>
      </c>
      <c r="L1044">
        <v>16356.8</v>
      </c>
      <c r="M1044">
        <v>1500</v>
      </c>
      <c r="N1044" t="s">
        <v>1159</v>
      </c>
      <c r="O1044" t="s">
        <v>1164</v>
      </c>
      <c r="P1044" s="2">
        <v>45689</v>
      </c>
      <c r="Q1044">
        <v>5</v>
      </c>
      <c r="R1044" t="s">
        <v>1167</v>
      </c>
    </row>
    <row r="1045" spans="1:18" x14ac:dyDescent="0.3">
      <c r="A1045" s="2">
        <v>45679</v>
      </c>
      <c r="B1045" t="s">
        <v>1052</v>
      </c>
      <c r="C1045" t="s">
        <v>1120</v>
      </c>
      <c r="D1045" t="s">
        <v>1135</v>
      </c>
      <c r="E1045" t="s">
        <v>1147</v>
      </c>
      <c r="F1045" t="s">
        <v>1150</v>
      </c>
      <c r="G1045" t="s">
        <v>1156</v>
      </c>
      <c r="H1045">
        <v>4</v>
      </c>
      <c r="I1045">
        <v>62962</v>
      </c>
      <c r="J1045">
        <v>5</v>
      </c>
      <c r="K1045">
        <v>59813.9</v>
      </c>
      <c r="L1045">
        <v>239255.6</v>
      </c>
      <c r="M1045">
        <v>1000</v>
      </c>
      <c r="N1045" t="s">
        <v>1160</v>
      </c>
      <c r="O1045" t="s">
        <v>1162</v>
      </c>
      <c r="Q1045">
        <v>1</v>
      </c>
      <c r="R1045" t="s">
        <v>1169</v>
      </c>
    </row>
    <row r="1046" spans="1:18" x14ac:dyDescent="0.3">
      <c r="A1046" s="2">
        <v>45750</v>
      </c>
      <c r="B1046" t="s">
        <v>1053</v>
      </c>
      <c r="C1046" t="s">
        <v>1121</v>
      </c>
      <c r="D1046" t="s">
        <v>1136</v>
      </c>
      <c r="E1046" t="s">
        <v>1148</v>
      </c>
      <c r="F1046" t="s">
        <v>1149</v>
      </c>
      <c r="G1046" t="s">
        <v>1152</v>
      </c>
      <c r="H1046">
        <v>3</v>
      </c>
      <c r="I1046">
        <v>18950</v>
      </c>
      <c r="J1046">
        <v>10</v>
      </c>
      <c r="K1046">
        <v>17055</v>
      </c>
      <c r="L1046">
        <v>51165</v>
      </c>
      <c r="M1046">
        <v>1500</v>
      </c>
      <c r="N1046" t="s">
        <v>1160</v>
      </c>
      <c r="O1046" t="s">
        <v>1164</v>
      </c>
      <c r="P1046" s="2">
        <v>45760</v>
      </c>
      <c r="R1046" t="s">
        <v>1166</v>
      </c>
    </row>
    <row r="1047" spans="1:18" x14ac:dyDescent="0.3">
      <c r="A1047" s="2">
        <v>45736</v>
      </c>
      <c r="B1047" t="s">
        <v>1054</v>
      </c>
      <c r="C1047" t="s">
        <v>1120</v>
      </c>
      <c r="D1047" t="s">
        <v>1135</v>
      </c>
      <c r="E1047" t="s">
        <v>1142</v>
      </c>
      <c r="F1047" t="s">
        <v>1150</v>
      </c>
      <c r="G1047" t="s">
        <v>1156</v>
      </c>
      <c r="H1047">
        <v>5</v>
      </c>
      <c r="I1047">
        <v>20521</v>
      </c>
      <c r="J1047">
        <v>15</v>
      </c>
      <c r="K1047">
        <v>17442.849999999999</v>
      </c>
      <c r="L1047">
        <v>87214.25</v>
      </c>
      <c r="M1047">
        <v>2000</v>
      </c>
      <c r="N1047" t="s">
        <v>1161</v>
      </c>
      <c r="O1047" t="s">
        <v>1162</v>
      </c>
      <c r="Q1047">
        <v>1</v>
      </c>
      <c r="R1047" t="s">
        <v>1166</v>
      </c>
    </row>
    <row r="1048" spans="1:18" x14ac:dyDescent="0.3">
      <c r="A1048" s="2">
        <v>45711</v>
      </c>
      <c r="B1048" t="s">
        <v>1055</v>
      </c>
      <c r="C1048" t="s">
        <v>1126</v>
      </c>
      <c r="D1048" t="s">
        <v>1133</v>
      </c>
      <c r="E1048" t="s">
        <v>1143</v>
      </c>
      <c r="F1048" t="s">
        <v>1151</v>
      </c>
      <c r="G1048" t="s">
        <v>1157</v>
      </c>
      <c r="H1048">
        <v>5</v>
      </c>
      <c r="I1048">
        <v>52557</v>
      </c>
      <c r="J1048">
        <v>0</v>
      </c>
      <c r="K1048">
        <v>52557</v>
      </c>
      <c r="L1048">
        <v>262785</v>
      </c>
      <c r="M1048">
        <v>2000</v>
      </c>
      <c r="N1048" t="s">
        <v>1159</v>
      </c>
      <c r="O1048" t="s">
        <v>1163</v>
      </c>
      <c r="Q1048">
        <v>5</v>
      </c>
      <c r="R1048" t="s">
        <v>1170</v>
      </c>
    </row>
    <row r="1049" spans="1:18" x14ac:dyDescent="0.3">
      <c r="A1049" s="2">
        <v>45690</v>
      </c>
      <c r="B1049" t="s">
        <v>1056</v>
      </c>
      <c r="C1049" t="s">
        <v>1117</v>
      </c>
      <c r="D1049" t="s">
        <v>1133</v>
      </c>
      <c r="E1049" t="s">
        <v>1142</v>
      </c>
      <c r="F1049" t="s">
        <v>1150</v>
      </c>
      <c r="G1049" t="s">
        <v>1156</v>
      </c>
      <c r="H1049">
        <v>2</v>
      </c>
      <c r="I1049">
        <v>67896</v>
      </c>
      <c r="J1049">
        <v>0</v>
      </c>
      <c r="K1049">
        <v>67896</v>
      </c>
      <c r="L1049">
        <v>135792</v>
      </c>
      <c r="M1049">
        <v>1000</v>
      </c>
      <c r="N1049" t="s">
        <v>1160</v>
      </c>
      <c r="O1049" t="s">
        <v>1164</v>
      </c>
      <c r="P1049" s="2">
        <v>45692</v>
      </c>
      <c r="Q1049">
        <v>3</v>
      </c>
      <c r="R1049" t="s">
        <v>1166</v>
      </c>
    </row>
    <row r="1050" spans="1:18" x14ac:dyDescent="0.3">
      <c r="A1050" s="2">
        <v>45793</v>
      </c>
      <c r="B1050" t="s">
        <v>1057</v>
      </c>
      <c r="C1050" t="s">
        <v>1118</v>
      </c>
      <c r="D1050" t="s">
        <v>1134</v>
      </c>
      <c r="E1050" t="s">
        <v>1140</v>
      </c>
      <c r="F1050" t="s">
        <v>1150</v>
      </c>
      <c r="G1050" t="s">
        <v>1154</v>
      </c>
      <c r="H1050">
        <v>5</v>
      </c>
      <c r="I1050">
        <v>25557</v>
      </c>
      <c r="J1050">
        <v>0</v>
      </c>
      <c r="K1050">
        <v>25557</v>
      </c>
      <c r="L1050">
        <v>127785</v>
      </c>
      <c r="M1050">
        <v>1500</v>
      </c>
      <c r="N1050" t="s">
        <v>1161</v>
      </c>
      <c r="O1050" t="s">
        <v>1162</v>
      </c>
      <c r="Q1050">
        <v>2</v>
      </c>
      <c r="R1050" t="s">
        <v>1166</v>
      </c>
    </row>
    <row r="1051" spans="1:18" x14ac:dyDescent="0.3">
      <c r="A1051" s="2">
        <v>45706</v>
      </c>
      <c r="B1051" t="s">
        <v>1058</v>
      </c>
      <c r="C1051" t="s">
        <v>1125</v>
      </c>
      <c r="D1051" t="s">
        <v>1133</v>
      </c>
      <c r="E1051" t="s">
        <v>1145</v>
      </c>
      <c r="F1051" t="s">
        <v>1149</v>
      </c>
      <c r="G1051" t="s">
        <v>1153</v>
      </c>
      <c r="H1051">
        <v>5</v>
      </c>
      <c r="I1051">
        <v>45449</v>
      </c>
      <c r="J1051">
        <v>0</v>
      </c>
      <c r="K1051">
        <v>45449</v>
      </c>
      <c r="L1051">
        <v>227245</v>
      </c>
      <c r="M1051">
        <v>1500</v>
      </c>
      <c r="N1051" t="s">
        <v>1159</v>
      </c>
      <c r="O1051" t="s">
        <v>1163</v>
      </c>
      <c r="R1051" t="s">
        <v>1166</v>
      </c>
    </row>
    <row r="1052" spans="1:18" x14ac:dyDescent="0.3">
      <c r="A1052" s="2">
        <v>45731</v>
      </c>
      <c r="B1052" t="s">
        <v>1059</v>
      </c>
      <c r="C1052" t="s">
        <v>1118</v>
      </c>
      <c r="D1052" t="s">
        <v>1134</v>
      </c>
      <c r="E1052" t="s">
        <v>1138</v>
      </c>
      <c r="F1052" t="s">
        <v>1149</v>
      </c>
      <c r="G1052" t="s">
        <v>1153</v>
      </c>
      <c r="H1052">
        <v>5</v>
      </c>
      <c r="I1052">
        <v>8747</v>
      </c>
      <c r="J1052">
        <v>0</v>
      </c>
      <c r="K1052">
        <v>8747</v>
      </c>
      <c r="L1052">
        <v>43735</v>
      </c>
      <c r="M1052">
        <v>1500</v>
      </c>
      <c r="N1052" t="s">
        <v>1161</v>
      </c>
      <c r="O1052" t="s">
        <v>1162</v>
      </c>
      <c r="Q1052">
        <v>4</v>
      </c>
      <c r="R1052" t="s">
        <v>1166</v>
      </c>
    </row>
    <row r="1053" spans="1:18" x14ac:dyDescent="0.3">
      <c r="A1053" s="2">
        <v>45755</v>
      </c>
      <c r="B1053" t="s">
        <v>1060</v>
      </c>
      <c r="C1053" t="s">
        <v>1128</v>
      </c>
      <c r="D1053" t="s">
        <v>1135</v>
      </c>
      <c r="E1053" t="s">
        <v>1141</v>
      </c>
      <c r="F1053" t="s">
        <v>1151</v>
      </c>
      <c r="G1053" t="s">
        <v>1155</v>
      </c>
      <c r="H1053">
        <v>4</v>
      </c>
      <c r="I1053">
        <v>72911</v>
      </c>
      <c r="J1053">
        <v>0</v>
      </c>
      <c r="K1053">
        <v>72911</v>
      </c>
      <c r="L1053">
        <v>291644</v>
      </c>
      <c r="M1053">
        <v>1000</v>
      </c>
      <c r="N1053" t="s">
        <v>1160</v>
      </c>
      <c r="O1053" t="s">
        <v>1164</v>
      </c>
      <c r="P1053" s="2">
        <v>45766</v>
      </c>
      <c r="Q1053">
        <v>2</v>
      </c>
      <c r="R1053" t="s">
        <v>1168</v>
      </c>
    </row>
    <row r="1054" spans="1:18" x14ac:dyDescent="0.3">
      <c r="A1054" s="2">
        <v>45774</v>
      </c>
      <c r="B1054" t="s">
        <v>1061</v>
      </c>
      <c r="C1054" t="s">
        <v>1127</v>
      </c>
      <c r="D1054" t="s">
        <v>1134</v>
      </c>
      <c r="E1054" t="s">
        <v>1141</v>
      </c>
      <c r="F1054" t="s">
        <v>1151</v>
      </c>
      <c r="G1054" t="s">
        <v>1155</v>
      </c>
      <c r="H1054">
        <v>4</v>
      </c>
      <c r="I1054">
        <v>63058</v>
      </c>
      <c r="J1054">
        <v>10</v>
      </c>
      <c r="K1054">
        <v>56752.2</v>
      </c>
      <c r="L1054">
        <v>227008.8</v>
      </c>
      <c r="M1054">
        <v>1000</v>
      </c>
      <c r="N1054" t="s">
        <v>1160</v>
      </c>
      <c r="O1054" t="s">
        <v>1164</v>
      </c>
      <c r="P1054" s="2">
        <v>45783</v>
      </c>
      <c r="Q1054">
        <v>5</v>
      </c>
      <c r="R1054" t="s">
        <v>1168</v>
      </c>
    </row>
    <row r="1055" spans="1:18" x14ac:dyDescent="0.3">
      <c r="A1055" s="2">
        <v>45694</v>
      </c>
      <c r="B1055" t="s">
        <v>1062</v>
      </c>
      <c r="C1055" t="s">
        <v>1127</v>
      </c>
      <c r="D1055" t="s">
        <v>1134</v>
      </c>
      <c r="E1055" t="s">
        <v>1145</v>
      </c>
      <c r="F1055" t="s">
        <v>1149</v>
      </c>
      <c r="G1055" t="s">
        <v>1153</v>
      </c>
      <c r="H1055">
        <v>1</v>
      </c>
      <c r="I1055">
        <v>65013</v>
      </c>
      <c r="J1055">
        <v>10</v>
      </c>
      <c r="K1055">
        <v>58511.7</v>
      </c>
      <c r="L1055">
        <v>58511.7</v>
      </c>
      <c r="M1055">
        <v>1000</v>
      </c>
      <c r="N1055" t="s">
        <v>1160</v>
      </c>
      <c r="O1055" t="s">
        <v>1162</v>
      </c>
      <c r="Q1055">
        <v>5</v>
      </c>
      <c r="R1055" t="s">
        <v>1168</v>
      </c>
    </row>
    <row r="1056" spans="1:18" x14ac:dyDescent="0.3">
      <c r="A1056" s="2">
        <v>45837</v>
      </c>
      <c r="B1056" t="s">
        <v>1063</v>
      </c>
      <c r="C1056" t="s">
        <v>1122</v>
      </c>
      <c r="D1056" t="s">
        <v>1136</v>
      </c>
      <c r="E1056" t="s">
        <v>1142</v>
      </c>
      <c r="F1056" t="s">
        <v>1150</v>
      </c>
      <c r="G1056" t="s">
        <v>1156</v>
      </c>
      <c r="H1056">
        <v>2</v>
      </c>
      <c r="I1056">
        <v>32820</v>
      </c>
      <c r="J1056">
        <v>10</v>
      </c>
      <c r="K1056">
        <v>29538</v>
      </c>
      <c r="L1056">
        <v>59076</v>
      </c>
      <c r="M1056">
        <v>1000</v>
      </c>
      <c r="N1056" t="s">
        <v>1160</v>
      </c>
      <c r="O1056" t="s">
        <v>1162</v>
      </c>
      <c r="Q1056">
        <v>1</v>
      </c>
      <c r="R1056" t="s">
        <v>1168</v>
      </c>
    </row>
    <row r="1057" spans="1:18" x14ac:dyDescent="0.3">
      <c r="A1057" s="2">
        <v>45685</v>
      </c>
      <c r="B1057" t="s">
        <v>1064</v>
      </c>
      <c r="C1057" t="s">
        <v>1126</v>
      </c>
      <c r="D1057" t="s">
        <v>1133</v>
      </c>
      <c r="E1057" t="s">
        <v>1147</v>
      </c>
      <c r="F1057" t="s">
        <v>1150</v>
      </c>
      <c r="G1057" t="s">
        <v>1156</v>
      </c>
      <c r="H1057">
        <v>1</v>
      </c>
      <c r="I1057">
        <v>35301</v>
      </c>
      <c r="J1057">
        <v>15</v>
      </c>
      <c r="K1057">
        <v>30005.85</v>
      </c>
      <c r="L1057">
        <v>30005.85</v>
      </c>
      <c r="M1057">
        <v>1500</v>
      </c>
      <c r="N1057" t="s">
        <v>1160</v>
      </c>
      <c r="O1057" t="s">
        <v>1162</v>
      </c>
      <c r="Q1057">
        <v>1</v>
      </c>
      <c r="R1057" t="s">
        <v>1170</v>
      </c>
    </row>
    <row r="1058" spans="1:18" x14ac:dyDescent="0.3">
      <c r="A1058" s="2">
        <v>45786</v>
      </c>
      <c r="B1058" t="s">
        <v>1065</v>
      </c>
      <c r="C1058" t="s">
        <v>1126</v>
      </c>
      <c r="D1058" t="s">
        <v>1133</v>
      </c>
      <c r="E1058" t="s">
        <v>1138</v>
      </c>
      <c r="F1058" t="s">
        <v>1149</v>
      </c>
      <c r="G1058" t="s">
        <v>1153</v>
      </c>
      <c r="H1058">
        <v>2</v>
      </c>
      <c r="I1058">
        <v>10523</v>
      </c>
      <c r="J1058">
        <v>15</v>
      </c>
      <c r="K1058">
        <v>8944.5499999999993</v>
      </c>
      <c r="L1058">
        <v>17889.099999999999</v>
      </c>
      <c r="M1058">
        <v>2000</v>
      </c>
      <c r="N1058" t="s">
        <v>1159</v>
      </c>
      <c r="O1058" t="s">
        <v>1162</v>
      </c>
      <c r="Q1058">
        <v>5</v>
      </c>
      <c r="R1058" t="s">
        <v>1170</v>
      </c>
    </row>
    <row r="1059" spans="1:18" x14ac:dyDescent="0.3">
      <c r="A1059" s="2">
        <v>45737</v>
      </c>
      <c r="B1059" t="s">
        <v>1066</v>
      </c>
      <c r="C1059" t="s">
        <v>1129</v>
      </c>
      <c r="D1059" t="s">
        <v>1133</v>
      </c>
      <c r="E1059" t="s">
        <v>1140</v>
      </c>
      <c r="F1059" t="s">
        <v>1150</v>
      </c>
      <c r="G1059" t="s">
        <v>1154</v>
      </c>
      <c r="H1059">
        <v>1</v>
      </c>
      <c r="I1059">
        <v>38536</v>
      </c>
      <c r="J1059">
        <v>5</v>
      </c>
      <c r="K1059">
        <v>36609.199999999997</v>
      </c>
      <c r="L1059">
        <v>36609.199999999997</v>
      </c>
      <c r="M1059">
        <v>1500</v>
      </c>
      <c r="N1059" t="s">
        <v>1160</v>
      </c>
      <c r="O1059" t="s">
        <v>1164</v>
      </c>
      <c r="P1059" s="2">
        <v>45749</v>
      </c>
      <c r="Q1059">
        <v>1</v>
      </c>
      <c r="R1059" t="s">
        <v>1168</v>
      </c>
    </row>
    <row r="1060" spans="1:18" x14ac:dyDescent="0.3">
      <c r="A1060" s="2">
        <v>45685</v>
      </c>
      <c r="B1060" t="s">
        <v>1067</v>
      </c>
      <c r="C1060" t="s">
        <v>1127</v>
      </c>
      <c r="D1060" t="s">
        <v>1134</v>
      </c>
      <c r="E1060" t="s">
        <v>1145</v>
      </c>
      <c r="F1060" t="s">
        <v>1149</v>
      </c>
      <c r="G1060" t="s">
        <v>1153</v>
      </c>
      <c r="H1060">
        <v>3</v>
      </c>
      <c r="I1060">
        <v>50356</v>
      </c>
      <c r="J1060">
        <v>10</v>
      </c>
      <c r="K1060">
        <v>45320.4</v>
      </c>
      <c r="L1060">
        <v>135961.20000000001</v>
      </c>
      <c r="M1060">
        <v>1000</v>
      </c>
      <c r="N1060" t="s">
        <v>1160</v>
      </c>
      <c r="O1060" t="s">
        <v>1162</v>
      </c>
      <c r="Q1060">
        <v>3</v>
      </c>
      <c r="R1060" t="s">
        <v>1169</v>
      </c>
    </row>
    <row r="1061" spans="1:18" x14ac:dyDescent="0.3">
      <c r="A1061" s="2">
        <v>45801</v>
      </c>
      <c r="B1061" t="s">
        <v>1068</v>
      </c>
      <c r="C1061" t="s">
        <v>1120</v>
      </c>
      <c r="D1061" t="s">
        <v>1135</v>
      </c>
      <c r="E1061" t="s">
        <v>1139</v>
      </c>
      <c r="F1061" t="s">
        <v>1150</v>
      </c>
      <c r="G1061" t="s">
        <v>1154</v>
      </c>
      <c r="H1061">
        <v>5</v>
      </c>
      <c r="I1061">
        <v>36597</v>
      </c>
      <c r="J1061">
        <v>10</v>
      </c>
      <c r="K1061">
        <v>32937.300000000003</v>
      </c>
      <c r="L1061">
        <v>164686.5</v>
      </c>
      <c r="M1061">
        <v>1500</v>
      </c>
      <c r="N1061" t="s">
        <v>1161</v>
      </c>
      <c r="O1061" t="s">
        <v>1162</v>
      </c>
      <c r="Q1061">
        <v>4</v>
      </c>
      <c r="R1061" t="s">
        <v>1170</v>
      </c>
    </row>
    <row r="1062" spans="1:18" x14ac:dyDescent="0.3">
      <c r="A1062" s="2">
        <v>45691</v>
      </c>
      <c r="B1062" t="s">
        <v>1069</v>
      </c>
      <c r="C1062" t="s">
        <v>1122</v>
      </c>
      <c r="D1062" t="s">
        <v>1136</v>
      </c>
      <c r="E1062" t="s">
        <v>1141</v>
      </c>
      <c r="F1062" t="s">
        <v>1151</v>
      </c>
      <c r="G1062" t="s">
        <v>1155</v>
      </c>
      <c r="H1062">
        <v>2</v>
      </c>
      <c r="I1062">
        <v>9019</v>
      </c>
      <c r="J1062">
        <v>15</v>
      </c>
      <c r="K1062">
        <v>7666.15</v>
      </c>
      <c r="L1062">
        <v>15332.3</v>
      </c>
      <c r="M1062">
        <v>1000</v>
      </c>
      <c r="N1062" t="s">
        <v>1160</v>
      </c>
      <c r="O1062" t="s">
        <v>1163</v>
      </c>
      <c r="Q1062">
        <v>2</v>
      </c>
      <c r="R1062" t="s">
        <v>1166</v>
      </c>
    </row>
    <row r="1063" spans="1:18" x14ac:dyDescent="0.3">
      <c r="A1063" s="2">
        <v>45826</v>
      </c>
      <c r="B1063" t="s">
        <v>1070</v>
      </c>
      <c r="C1063" t="s">
        <v>1130</v>
      </c>
      <c r="D1063" t="s">
        <v>1136</v>
      </c>
      <c r="E1063" t="s">
        <v>1144</v>
      </c>
      <c r="F1063" t="s">
        <v>1151</v>
      </c>
      <c r="G1063" t="s">
        <v>1157</v>
      </c>
      <c r="H1063">
        <v>5</v>
      </c>
      <c r="I1063">
        <v>25333</v>
      </c>
      <c r="J1063">
        <v>20</v>
      </c>
      <c r="K1063">
        <v>20266.400000000001</v>
      </c>
      <c r="L1063">
        <v>101332</v>
      </c>
      <c r="M1063">
        <v>1500</v>
      </c>
      <c r="N1063" t="s">
        <v>1161</v>
      </c>
      <c r="O1063" t="s">
        <v>1164</v>
      </c>
      <c r="P1063" s="2">
        <v>45837</v>
      </c>
      <c r="Q1063">
        <v>4</v>
      </c>
      <c r="R1063" t="s">
        <v>1168</v>
      </c>
    </row>
    <row r="1064" spans="1:18" x14ac:dyDescent="0.3">
      <c r="A1064" s="2">
        <v>45664</v>
      </c>
      <c r="B1064" t="s">
        <v>1071</v>
      </c>
      <c r="C1064" t="s">
        <v>1124</v>
      </c>
      <c r="D1064" t="s">
        <v>1135</v>
      </c>
      <c r="E1064" t="s">
        <v>1147</v>
      </c>
      <c r="F1064" t="s">
        <v>1150</v>
      </c>
      <c r="G1064" t="s">
        <v>1156</v>
      </c>
      <c r="H1064">
        <v>5</v>
      </c>
      <c r="I1064">
        <v>12428</v>
      </c>
      <c r="J1064">
        <v>15</v>
      </c>
      <c r="K1064">
        <v>10563.8</v>
      </c>
      <c r="L1064">
        <v>52819</v>
      </c>
      <c r="M1064">
        <v>2000</v>
      </c>
      <c r="N1064" t="s">
        <v>1161</v>
      </c>
      <c r="O1064" t="s">
        <v>1164</v>
      </c>
      <c r="P1064" s="2">
        <v>45669</v>
      </c>
      <c r="Q1064">
        <v>5</v>
      </c>
      <c r="R1064" t="s">
        <v>1168</v>
      </c>
    </row>
    <row r="1065" spans="1:18" x14ac:dyDescent="0.3">
      <c r="A1065" s="2">
        <v>45708</v>
      </c>
      <c r="B1065" t="s">
        <v>1072</v>
      </c>
      <c r="C1065" t="s">
        <v>1124</v>
      </c>
      <c r="D1065" t="s">
        <v>1135</v>
      </c>
      <c r="E1065" t="s">
        <v>1138</v>
      </c>
      <c r="F1065" t="s">
        <v>1149</v>
      </c>
      <c r="G1065" t="s">
        <v>1153</v>
      </c>
      <c r="H1065">
        <v>4</v>
      </c>
      <c r="I1065">
        <v>27392</v>
      </c>
      <c r="J1065" t="s">
        <v>1158</v>
      </c>
      <c r="K1065">
        <v>24652.799999999999</v>
      </c>
      <c r="L1065">
        <v>98611.199999999997</v>
      </c>
      <c r="M1065">
        <v>1000</v>
      </c>
      <c r="N1065" t="s">
        <v>1159</v>
      </c>
      <c r="O1065" t="s">
        <v>1163</v>
      </c>
      <c r="Q1065">
        <v>3</v>
      </c>
      <c r="R1065" t="s">
        <v>1166</v>
      </c>
    </row>
    <row r="1066" spans="1:18" x14ac:dyDescent="0.3">
      <c r="A1066" s="2">
        <v>45762</v>
      </c>
      <c r="B1066" t="s">
        <v>1073</v>
      </c>
      <c r="C1066" t="s">
        <v>1125</v>
      </c>
      <c r="D1066" t="s">
        <v>1133</v>
      </c>
      <c r="E1066" t="s">
        <v>1147</v>
      </c>
      <c r="F1066" t="s">
        <v>1150</v>
      </c>
      <c r="G1066" t="s">
        <v>1156</v>
      </c>
      <c r="H1066">
        <v>1</v>
      </c>
      <c r="I1066">
        <v>17288</v>
      </c>
      <c r="J1066">
        <v>15</v>
      </c>
      <c r="K1066">
        <v>14694.8</v>
      </c>
      <c r="L1066">
        <v>14694.8</v>
      </c>
      <c r="M1066">
        <v>1000</v>
      </c>
      <c r="N1066" t="s">
        <v>1159</v>
      </c>
      <c r="O1066" t="s">
        <v>1164</v>
      </c>
      <c r="P1066" s="2">
        <v>45769</v>
      </c>
      <c r="Q1066">
        <v>2</v>
      </c>
      <c r="R1066" t="s">
        <v>1170</v>
      </c>
    </row>
    <row r="1067" spans="1:18" x14ac:dyDescent="0.3">
      <c r="A1067" s="2">
        <v>45824</v>
      </c>
      <c r="B1067" t="s">
        <v>1074</v>
      </c>
      <c r="C1067" t="s">
        <v>1120</v>
      </c>
      <c r="D1067" t="s">
        <v>1135</v>
      </c>
      <c r="E1067" t="s">
        <v>1148</v>
      </c>
      <c r="F1067" t="s">
        <v>1149</v>
      </c>
      <c r="G1067" t="s">
        <v>1152</v>
      </c>
      <c r="H1067">
        <v>5</v>
      </c>
      <c r="I1067">
        <v>6935</v>
      </c>
      <c r="J1067">
        <v>0</v>
      </c>
      <c r="K1067">
        <v>6935</v>
      </c>
      <c r="L1067">
        <v>34675</v>
      </c>
      <c r="M1067">
        <v>2000</v>
      </c>
      <c r="N1067" t="s">
        <v>1160</v>
      </c>
      <c r="O1067" t="s">
        <v>1164</v>
      </c>
      <c r="P1067" s="2">
        <v>45831</v>
      </c>
      <c r="Q1067">
        <v>1</v>
      </c>
      <c r="R1067" t="s">
        <v>1167</v>
      </c>
    </row>
    <row r="1068" spans="1:18" x14ac:dyDescent="0.3">
      <c r="A1068" s="2">
        <v>45730</v>
      </c>
      <c r="B1068" t="s">
        <v>1075</v>
      </c>
      <c r="C1068" t="s">
        <v>1123</v>
      </c>
      <c r="D1068" t="s">
        <v>1135</v>
      </c>
      <c r="E1068" t="s">
        <v>1138</v>
      </c>
      <c r="F1068" t="s">
        <v>1149</v>
      </c>
      <c r="G1068" t="s">
        <v>1153</v>
      </c>
      <c r="H1068">
        <v>2</v>
      </c>
      <c r="I1068">
        <v>67231</v>
      </c>
      <c r="J1068">
        <v>5</v>
      </c>
      <c r="K1068">
        <v>63869.45</v>
      </c>
      <c r="L1068">
        <v>127738.9</v>
      </c>
      <c r="M1068">
        <v>1000</v>
      </c>
      <c r="N1068" t="s">
        <v>1160</v>
      </c>
      <c r="O1068" t="s">
        <v>1163</v>
      </c>
      <c r="Q1068">
        <v>5</v>
      </c>
      <c r="R1068" t="s">
        <v>1167</v>
      </c>
    </row>
    <row r="1069" spans="1:18" x14ac:dyDescent="0.3">
      <c r="A1069" s="2">
        <v>45737</v>
      </c>
      <c r="B1069" t="s">
        <v>1076</v>
      </c>
      <c r="C1069" t="s">
        <v>1131</v>
      </c>
      <c r="D1069" t="s">
        <v>1136</v>
      </c>
      <c r="E1069" t="s">
        <v>1147</v>
      </c>
      <c r="F1069" t="s">
        <v>1150</v>
      </c>
      <c r="G1069" t="s">
        <v>1156</v>
      </c>
      <c r="H1069">
        <v>5</v>
      </c>
      <c r="I1069">
        <v>54031</v>
      </c>
      <c r="J1069">
        <v>15</v>
      </c>
      <c r="K1069">
        <v>45926.35</v>
      </c>
      <c r="L1069">
        <v>229631.75</v>
      </c>
      <c r="M1069">
        <v>1500</v>
      </c>
      <c r="N1069" t="s">
        <v>1160</v>
      </c>
      <c r="O1069" t="s">
        <v>1163</v>
      </c>
      <c r="Q1069">
        <v>5</v>
      </c>
      <c r="R1069" t="s">
        <v>1170</v>
      </c>
    </row>
    <row r="1070" spans="1:18" x14ac:dyDescent="0.3">
      <c r="A1070" s="2">
        <v>45830</v>
      </c>
      <c r="B1070" t="s">
        <v>1077</v>
      </c>
      <c r="C1070" t="s">
        <v>1131</v>
      </c>
      <c r="D1070" t="s">
        <v>1136</v>
      </c>
      <c r="E1070" t="s">
        <v>1138</v>
      </c>
      <c r="F1070" t="s">
        <v>1149</v>
      </c>
      <c r="G1070" t="s">
        <v>1153</v>
      </c>
      <c r="H1070">
        <v>1</v>
      </c>
      <c r="I1070">
        <v>57461</v>
      </c>
      <c r="J1070">
        <v>5</v>
      </c>
      <c r="K1070">
        <v>54587.95</v>
      </c>
      <c r="L1070">
        <v>54587.95</v>
      </c>
      <c r="M1070">
        <v>1000</v>
      </c>
      <c r="N1070" t="s">
        <v>1159</v>
      </c>
      <c r="O1070" t="s">
        <v>1163</v>
      </c>
      <c r="Q1070">
        <v>2</v>
      </c>
      <c r="R1070" t="s">
        <v>1170</v>
      </c>
    </row>
    <row r="1071" spans="1:18" x14ac:dyDescent="0.3">
      <c r="A1071" s="2">
        <v>45826</v>
      </c>
      <c r="B1071" t="s">
        <v>1078</v>
      </c>
      <c r="C1071" t="s">
        <v>1123</v>
      </c>
      <c r="D1071" t="s">
        <v>1135</v>
      </c>
      <c r="E1071" t="s">
        <v>1145</v>
      </c>
      <c r="F1071" t="s">
        <v>1149</v>
      </c>
      <c r="G1071" t="s">
        <v>1153</v>
      </c>
      <c r="H1071">
        <v>3</v>
      </c>
      <c r="I1071">
        <v>77969</v>
      </c>
      <c r="J1071">
        <v>10</v>
      </c>
      <c r="K1071">
        <v>70172.100000000006</v>
      </c>
      <c r="L1071">
        <v>210516.3</v>
      </c>
      <c r="M1071">
        <v>1500</v>
      </c>
      <c r="N1071" t="s">
        <v>1159</v>
      </c>
      <c r="O1071" t="s">
        <v>1162</v>
      </c>
      <c r="Q1071">
        <v>1</v>
      </c>
      <c r="R1071" t="s">
        <v>1168</v>
      </c>
    </row>
    <row r="1072" spans="1:18" x14ac:dyDescent="0.3">
      <c r="A1072" s="2">
        <v>45778</v>
      </c>
      <c r="B1072" t="s">
        <v>1079</v>
      </c>
      <c r="C1072" t="s">
        <v>1121</v>
      </c>
      <c r="D1072" t="s">
        <v>1136</v>
      </c>
      <c r="E1072" t="s">
        <v>1147</v>
      </c>
      <c r="F1072" t="s">
        <v>1150</v>
      </c>
      <c r="G1072" t="s">
        <v>1156</v>
      </c>
      <c r="H1072">
        <v>3</v>
      </c>
      <c r="I1072">
        <v>4093</v>
      </c>
      <c r="J1072">
        <v>15</v>
      </c>
      <c r="K1072">
        <v>3479.05</v>
      </c>
      <c r="L1072">
        <v>10437.15</v>
      </c>
      <c r="M1072">
        <v>2000</v>
      </c>
      <c r="N1072" t="s">
        <v>1159</v>
      </c>
      <c r="O1072" t="s">
        <v>1162</v>
      </c>
      <c r="R1072" t="s">
        <v>1168</v>
      </c>
    </row>
    <row r="1073" spans="1:18" x14ac:dyDescent="0.3">
      <c r="A1073" s="2">
        <v>45756</v>
      </c>
      <c r="B1073" t="s">
        <v>1080</v>
      </c>
      <c r="C1073" t="s">
        <v>1117</v>
      </c>
      <c r="D1073" t="s">
        <v>1133</v>
      </c>
      <c r="E1073" t="s">
        <v>1144</v>
      </c>
      <c r="F1073" t="s">
        <v>1151</v>
      </c>
      <c r="G1073" t="s">
        <v>1157</v>
      </c>
      <c r="H1073">
        <v>3</v>
      </c>
      <c r="I1073">
        <v>73588</v>
      </c>
      <c r="J1073">
        <v>15</v>
      </c>
      <c r="K1073">
        <v>62549.8</v>
      </c>
      <c r="L1073">
        <v>187649.4</v>
      </c>
      <c r="M1073">
        <v>1000</v>
      </c>
      <c r="N1073" t="s">
        <v>1161</v>
      </c>
      <c r="O1073" t="s">
        <v>1164</v>
      </c>
      <c r="P1073" s="2">
        <v>45762</v>
      </c>
      <c r="Q1073">
        <v>3</v>
      </c>
    </row>
    <row r="1074" spans="1:18" x14ac:dyDescent="0.3">
      <c r="A1074" s="2">
        <v>45799</v>
      </c>
      <c r="B1074" t="s">
        <v>1081</v>
      </c>
      <c r="C1074" t="s">
        <v>1118</v>
      </c>
      <c r="D1074" t="s">
        <v>1134</v>
      </c>
      <c r="E1074" t="s">
        <v>1138</v>
      </c>
      <c r="F1074" t="s">
        <v>1149</v>
      </c>
      <c r="G1074" t="s">
        <v>1153</v>
      </c>
      <c r="H1074">
        <v>3</v>
      </c>
      <c r="I1074">
        <v>64020</v>
      </c>
      <c r="J1074">
        <v>0</v>
      </c>
      <c r="K1074">
        <v>64020</v>
      </c>
      <c r="L1074">
        <v>192060</v>
      </c>
      <c r="M1074">
        <v>1000</v>
      </c>
      <c r="N1074" t="s">
        <v>1160</v>
      </c>
      <c r="O1074" t="s">
        <v>1162</v>
      </c>
      <c r="Q1074">
        <v>2</v>
      </c>
      <c r="R1074" t="s">
        <v>1169</v>
      </c>
    </row>
    <row r="1075" spans="1:18" x14ac:dyDescent="0.3">
      <c r="A1075" s="2">
        <v>45754</v>
      </c>
      <c r="B1075" t="s">
        <v>1082</v>
      </c>
      <c r="C1075" t="s">
        <v>1122</v>
      </c>
      <c r="D1075" t="s">
        <v>1136</v>
      </c>
      <c r="E1075" t="s">
        <v>1139</v>
      </c>
      <c r="F1075" t="s">
        <v>1150</v>
      </c>
      <c r="G1075" t="s">
        <v>1154</v>
      </c>
      <c r="H1075">
        <v>4</v>
      </c>
      <c r="I1075">
        <v>29903</v>
      </c>
      <c r="J1075">
        <v>10</v>
      </c>
      <c r="K1075">
        <v>26912.7</v>
      </c>
      <c r="L1075">
        <v>107650.8</v>
      </c>
      <c r="M1075">
        <v>1500</v>
      </c>
      <c r="N1075" t="s">
        <v>1161</v>
      </c>
      <c r="O1075" t="s">
        <v>1162</v>
      </c>
      <c r="Q1075">
        <v>4</v>
      </c>
      <c r="R1075" t="s">
        <v>1167</v>
      </c>
    </row>
    <row r="1076" spans="1:18" x14ac:dyDescent="0.3">
      <c r="A1076" s="2">
        <v>45740</v>
      </c>
      <c r="B1076" t="s">
        <v>1083</v>
      </c>
      <c r="C1076" t="s">
        <v>1122</v>
      </c>
      <c r="D1076" t="s">
        <v>1136</v>
      </c>
      <c r="E1076" t="s">
        <v>1148</v>
      </c>
      <c r="F1076" t="s">
        <v>1149</v>
      </c>
      <c r="G1076" t="s">
        <v>1152</v>
      </c>
      <c r="H1076">
        <v>5</v>
      </c>
      <c r="I1076">
        <v>7408</v>
      </c>
      <c r="J1076">
        <v>5</v>
      </c>
      <c r="K1076">
        <v>7037.6</v>
      </c>
      <c r="L1076">
        <v>35188</v>
      </c>
      <c r="M1076">
        <v>1000</v>
      </c>
      <c r="N1076" t="s">
        <v>1160</v>
      </c>
      <c r="O1076" t="s">
        <v>1163</v>
      </c>
      <c r="Q1076">
        <v>4</v>
      </c>
      <c r="R1076" t="s">
        <v>1167</v>
      </c>
    </row>
    <row r="1077" spans="1:18" x14ac:dyDescent="0.3">
      <c r="A1077" s="2">
        <v>45660</v>
      </c>
      <c r="B1077" t="s">
        <v>1084</v>
      </c>
      <c r="C1077" t="s">
        <v>1130</v>
      </c>
      <c r="D1077" t="s">
        <v>1136</v>
      </c>
      <c r="E1077" t="s">
        <v>1138</v>
      </c>
      <c r="F1077" t="s">
        <v>1149</v>
      </c>
      <c r="G1077" t="s">
        <v>1153</v>
      </c>
      <c r="H1077">
        <v>1</v>
      </c>
      <c r="I1077">
        <v>15928</v>
      </c>
      <c r="J1077">
        <v>20</v>
      </c>
      <c r="K1077">
        <v>12742.4</v>
      </c>
      <c r="L1077">
        <v>12742.4</v>
      </c>
      <c r="M1077">
        <v>1000</v>
      </c>
      <c r="N1077" t="s">
        <v>1161</v>
      </c>
      <c r="O1077" t="s">
        <v>1162</v>
      </c>
      <c r="R1077" t="s">
        <v>1168</v>
      </c>
    </row>
    <row r="1078" spans="1:18" x14ac:dyDescent="0.3">
      <c r="A1078" s="2">
        <v>45826</v>
      </c>
      <c r="B1078" t="s">
        <v>1085</v>
      </c>
      <c r="C1078" t="s">
        <v>1123</v>
      </c>
      <c r="D1078" t="s">
        <v>1135</v>
      </c>
      <c r="E1078" t="s">
        <v>1145</v>
      </c>
      <c r="F1078" t="s">
        <v>1149</v>
      </c>
      <c r="G1078" t="s">
        <v>1153</v>
      </c>
      <c r="H1078">
        <v>3</v>
      </c>
      <c r="I1078">
        <v>41043</v>
      </c>
      <c r="J1078">
        <v>20</v>
      </c>
      <c r="K1078">
        <v>32834.400000000001</v>
      </c>
      <c r="L1078">
        <v>98503.200000000012</v>
      </c>
      <c r="M1078">
        <v>2000</v>
      </c>
      <c r="N1078" t="s">
        <v>1159</v>
      </c>
      <c r="O1078" t="s">
        <v>1163</v>
      </c>
      <c r="Q1078">
        <v>4</v>
      </c>
      <c r="R1078" t="s">
        <v>1167</v>
      </c>
    </row>
    <row r="1079" spans="1:18" x14ac:dyDescent="0.3">
      <c r="A1079" s="2">
        <v>45816</v>
      </c>
      <c r="B1079" t="s">
        <v>1086</v>
      </c>
      <c r="C1079" t="s">
        <v>1131</v>
      </c>
      <c r="D1079" t="s">
        <v>1136</v>
      </c>
      <c r="E1079" t="s">
        <v>1140</v>
      </c>
      <c r="F1079" t="s">
        <v>1150</v>
      </c>
      <c r="G1079" t="s">
        <v>1154</v>
      </c>
      <c r="H1079">
        <v>2</v>
      </c>
      <c r="I1079">
        <v>15433</v>
      </c>
      <c r="J1079">
        <v>5</v>
      </c>
      <c r="K1079">
        <v>14661.35</v>
      </c>
      <c r="L1079">
        <v>29322.7</v>
      </c>
      <c r="M1079">
        <v>1000</v>
      </c>
      <c r="N1079" t="s">
        <v>1161</v>
      </c>
      <c r="O1079" t="s">
        <v>1162</v>
      </c>
      <c r="R1079" t="s">
        <v>1170</v>
      </c>
    </row>
    <row r="1080" spans="1:18" x14ac:dyDescent="0.3">
      <c r="A1080" s="2">
        <v>45789</v>
      </c>
      <c r="B1080" t="s">
        <v>1087</v>
      </c>
      <c r="C1080" t="s">
        <v>1124</v>
      </c>
      <c r="D1080" t="s">
        <v>1135</v>
      </c>
      <c r="E1080" t="s">
        <v>1146</v>
      </c>
      <c r="F1080" t="s">
        <v>1151</v>
      </c>
      <c r="G1080" t="s">
        <v>1155</v>
      </c>
      <c r="H1080">
        <v>1</v>
      </c>
      <c r="I1080">
        <v>43136</v>
      </c>
      <c r="J1080">
        <v>5</v>
      </c>
      <c r="K1080">
        <v>40979.199999999997</v>
      </c>
      <c r="L1080">
        <v>40979.199999999997</v>
      </c>
      <c r="M1080">
        <v>2000</v>
      </c>
      <c r="N1080" t="s">
        <v>1159</v>
      </c>
      <c r="O1080" t="s">
        <v>1162</v>
      </c>
      <c r="Q1080">
        <v>5</v>
      </c>
      <c r="R1080" t="s">
        <v>1170</v>
      </c>
    </row>
    <row r="1081" spans="1:18" x14ac:dyDescent="0.3">
      <c r="A1081" s="2">
        <v>45825</v>
      </c>
      <c r="B1081" t="s">
        <v>1088</v>
      </c>
      <c r="C1081" t="s">
        <v>1126</v>
      </c>
      <c r="D1081" t="s">
        <v>1133</v>
      </c>
      <c r="E1081" t="s">
        <v>1141</v>
      </c>
      <c r="F1081" t="s">
        <v>1151</v>
      </c>
      <c r="G1081" t="s">
        <v>1155</v>
      </c>
      <c r="H1081">
        <v>3</v>
      </c>
      <c r="I1081">
        <v>15379</v>
      </c>
      <c r="J1081">
        <v>5</v>
      </c>
      <c r="K1081">
        <v>14610.05</v>
      </c>
      <c r="L1081">
        <v>43830.149999999987</v>
      </c>
      <c r="M1081">
        <v>1500</v>
      </c>
      <c r="N1081" t="s">
        <v>1159</v>
      </c>
      <c r="O1081" t="s">
        <v>1162</v>
      </c>
      <c r="R1081" t="s">
        <v>1166</v>
      </c>
    </row>
    <row r="1082" spans="1:18" x14ac:dyDescent="0.3">
      <c r="A1082" s="2">
        <v>45797</v>
      </c>
      <c r="B1082" t="s">
        <v>1089</v>
      </c>
      <c r="C1082" t="s">
        <v>1132</v>
      </c>
      <c r="D1082" t="s">
        <v>1134</v>
      </c>
      <c r="E1082" t="s">
        <v>1138</v>
      </c>
      <c r="F1082" t="s">
        <v>1149</v>
      </c>
      <c r="G1082" t="s">
        <v>1153</v>
      </c>
      <c r="H1082">
        <v>4</v>
      </c>
      <c r="I1082">
        <v>21600</v>
      </c>
      <c r="J1082">
        <v>20</v>
      </c>
      <c r="K1082">
        <v>17280</v>
      </c>
      <c r="L1082">
        <v>69120</v>
      </c>
      <c r="M1082">
        <v>1000</v>
      </c>
      <c r="N1082" t="s">
        <v>1159</v>
      </c>
      <c r="O1082" t="s">
        <v>1162</v>
      </c>
      <c r="R1082" t="s">
        <v>1167</v>
      </c>
    </row>
    <row r="1083" spans="1:18" x14ac:dyDescent="0.3">
      <c r="A1083" s="2">
        <v>45673</v>
      </c>
      <c r="B1083" t="s">
        <v>1090</v>
      </c>
      <c r="C1083" t="s">
        <v>1123</v>
      </c>
      <c r="D1083" t="s">
        <v>1135</v>
      </c>
      <c r="E1083" t="s">
        <v>1146</v>
      </c>
      <c r="F1083" t="s">
        <v>1151</v>
      </c>
      <c r="G1083" t="s">
        <v>1155</v>
      </c>
      <c r="H1083">
        <v>2</v>
      </c>
      <c r="I1083">
        <v>59531</v>
      </c>
      <c r="J1083">
        <v>5</v>
      </c>
      <c r="K1083">
        <v>56554.45</v>
      </c>
      <c r="L1083">
        <v>113108.9</v>
      </c>
      <c r="M1083">
        <v>1000</v>
      </c>
      <c r="N1083" t="s">
        <v>1159</v>
      </c>
      <c r="O1083" t="s">
        <v>1164</v>
      </c>
      <c r="P1083" s="2">
        <v>45678</v>
      </c>
      <c r="Q1083">
        <v>1</v>
      </c>
      <c r="R1083" t="s">
        <v>1166</v>
      </c>
    </row>
    <row r="1084" spans="1:18" x14ac:dyDescent="0.3">
      <c r="A1084" s="2">
        <v>45754</v>
      </c>
      <c r="B1084" t="s">
        <v>1091</v>
      </c>
      <c r="C1084" t="s">
        <v>1120</v>
      </c>
      <c r="D1084" t="s">
        <v>1135</v>
      </c>
      <c r="E1084" t="s">
        <v>1139</v>
      </c>
      <c r="F1084" t="s">
        <v>1150</v>
      </c>
      <c r="G1084" t="s">
        <v>1154</v>
      </c>
      <c r="H1084">
        <v>4</v>
      </c>
      <c r="I1084">
        <v>10302</v>
      </c>
      <c r="J1084">
        <v>10</v>
      </c>
      <c r="K1084">
        <v>9271.7999999999993</v>
      </c>
      <c r="L1084">
        <v>37087.199999999997</v>
      </c>
      <c r="M1084">
        <v>1000</v>
      </c>
      <c r="N1084" t="s">
        <v>1161</v>
      </c>
      <c r="O1084" t="s">
        <v>1162</v>
      </c>
      <c r="Q1084">
        <v>3</v>
      </c>
      <c r="R1084" t="s">
        <v>1170</v>
      </c>
    </row>
    <row r="1085" spans="1:18" x14ac:dyDescent="0.3">
      <c r="A1085" s="2">
        <v>45808</v>
      </c>
      <c r="B1085" t="s">
        <v>1092</v>
      </c>
      <c r="C1085" t="s">
        <v>1118</v>
      </c>
      <c r="D1085" t="s">
        <v>1134</v>
      </c>
      <c r="E1085" t="s">
        <v>1139</v>
      </c>
      <c r="F1085" t="s">
        <v>1150</v>
      </c>
      <c r="G1085" t="s">
        <v>1154</v>
      </c>
      <c r="H1085">
        <v>1</v>
      </c>
      <c r="I1085">
        <v>46478</v>
      </c>
      <c r="J1085">
        <v>15</v>
      </c>
      <c r="K1085">
        <v>39506.300000000003</v>
      </c>
      <c r="L1085">
        <v>39506.300000000003</v>
      </c>
      <c r="M1085">
        <v>1000</v>
      </c>
      <c r="N1085" t="s">
        <v>1159</v>
      </c>
      <c r="O1085" t="s">
        <v>1162</v>
      </c>
      <c r="Q1085">
        <v>5</v>
      </c>
      <c r="R1085" t="s">
        <v>1170</v>
      </c>
    </row>
    <row r="1086" spans="1:18" x14ac:dyDescent="0.3">
      <c r="A1086" s="2">
        <v>45672</v>
      </c>
      <c r="B1086" t="s">
        <v>1093</v>
      </c>
      <c r="C1086" t="s">
        <v>1131</v>
      </c>
      <c r="D1086" t="s">
        <v>1136</v>
      </c>
      <c r="E1086" t="s">
        <v>1143</v>
      </c>
      <c r="F1086" t="s">
        <v>1151</v>
      </c>
      <c r="G1086" t="s">
        <v>1157</v>
      </c>
      <c r="H1086">
        <v>2</v>
      </c>
      <c r="I1086">
        <v>58734</v>
      </c>
      <c r="J1086">
        <v>20</v>
      </c>
      <c r="K1086">
        <v>46987.199999999997</v>
      </c>
      <c r="L1086">
        <v>93974.399999999994</v>
      </c>
      <c r="M1086">
        <v>1000</v>
      </c>
      <c r="N1086" t="s">
        <v>1160</v>
      </c>
      <c r="O1086" t="s">
        <v>1164</v>
      </c>
      <c r="P1086" s="2">
        <v>45685</v>
      </c>
      <c r="Q1086">
        <v>4</v>
      </c>
      <c r="R1086" t="s">
        <v>1169</v>
      </c>
    </row>
    <row r="1087" spans="1:18" x14ac:dyDescent="0.3">
      <c r="A1087" s="2">
        <v>45740</v>
      </c>
      <c r="B1087" t="s">
        <v>1094</v>
      </c>
      <c r="C1087" t="s">
        <v>1131</v>
      </c>
      <c r="D1087" t="s">
        <v>1136</v>
      </c>
      <c r="E1087" t="s">
        <v>1148</v>
      </c>
      <c r="F1087" t="s">
        <v>1149</v>
      </c>
      <c r="G1087" t="s">
        <v>1152</v>
      </c>
      <c r="H1087">
        <v>5</v>
      </c>
      <c r="I1087">
        <v>37133</v>
      </c>
      <c r="J1087">
        <v>10</v>
      </c>
      <c r="K1087">
        <v>33419.699999999997</v>
      </c>
      <c r="L1087">
        <v>167098.5</v>
      </c>
      <c r="M1087">
        <v>2000</v>
      </c>
      <c r="N1087" t="s">
        <v>1161</v>
      </c>
      <c r="O1087" t="s">
        <v>1164</v>
      </c>
      <c r="P1087" s="2">
        <v>45751</v>
      </c>
      <c r="Q1087">
        <v>5</v>
      </c>
      <c r="R1087" t="s">
        <v>1167</v>
      </c>
    </row>
    <row r="1088" spans="1:18" x14ac:dyDescent="0.3">
      <c r="A1088" s="2">
        <v>45760</v>
      </c>
      <c r="B1088" t="s">
        <v>1095</v>
      </c>
      <c r="C1088" t="s">
        <v>1120</v>
      </c>
      <c r="D1088" t="s">
        <v>1135</v>
      </c>
      <c r="E1088" t="s">
        <v>1144</v>
      </c>
      <c r="F1088" t="s">
        <v>1151</v>
      </c>
      <c r="G1088" t="s">
        <v>1157</v>
      </c>
      <c r="H1088">
        <v>1</v>
      </c>
      <c r="I1088">
        <v>43632</v>
      </c>
      <c r="J1088">
        <v>10</v>
      </c>
      <c r="K1088">
        <v>39268.800000000003</v>
      </c>
      <c r="L1088">
        <v>39268.800000000003</v>
      </c>
      <c r="M1088">
        <v>1000</v>
      </c>
      <c r="N1088" t="s">
        <v>1159</v>
      </c>
      <c r="O1088" t="s">
        <v>1164</v>
      </c>
      <c r="P1088" s="2">
        <v>45772</v>
      </c>
      <c r="Q1088">
        <v>3</v>
      </c>
      <c r="R1088" t="s">
        <v>1170</v>
      </c>
    </row>
    <row r="1089" spans="1:18" x14ac:dyDescent="0.3">
      <c r="A1089" s="2">
        <v>45703</v>
      </c>
      <c r="B1089" t="s">
        <v>1096</v>
      </c>
      <c r="C1089" t="s">
        <v>1122</v>
      </c>
      <c r="D1089" t="s">
        <v>1136</v>
      </c>
      <c r="E1089" t="s">
        <v>1146</v>
      </c>
      <c r="F1089" t="s">
        <v>1151</v>
      </c>
      <c r="G1089" t="s">
        <v>1155</v>
      </c>
      <c r="H1089">
        <v>4</v>
      </c>
      <c r="I1089">
        <v>57084</v>
      </c>
      <c r="J1089">
        <v>0</v>
      </c>
      <c r="K1089">
        <v>57084</v>
      </c>
      <c r="L1089">
        <v>228336</v>
      </c>
      <c r="M1089">
        <v>2000</v>
      </c>
      <c r="N1089" t="s">
        <v>1159</v>
      </c>
      <c r="O1089" t="s">
        <v>1162</v>
      </c>
      <c r="Q1089">
        <v>3</v>
      </c>
      <c r="R1089" t="s">
        <v>1169</v>
      </c>
    </row>
    <row r="1090" spans="1:18" x14ac:dyDescent="0.3">
      <c r="A1090" s="2">
        <v>45751</v>
      </c>
      <c r="B1090" t="s">
        <v>1097</v>
      </c>
      <c r="C1090" t="s">
        <v>1125</v>
      </c>
      <c r="D1090" t="s">
        <v>1133</v>
      </c>
      <c r="E1090" t="s">
        <v>1148</v>
      </c>
      <c r="F1090" t="s">
        <v>1149</v>
      </c>
      <c r="G1090" t="s">
        <v>1152</v>
      </c>
      <c r="H1090">
        <v>2</v>
      </c>
      <c r="I1090">
        <v>79549</v>
      </c>
      <c r="J1090">
        <v>10</v>
      </c>
      <c r="K1090">
        <v>71594.100000000006</v>
      </c>
      <c r="L1090">
        <v>143188.20000000001</v>
      </c>
      <c r="M1090">
        <v>1500</v>
      </c>
      <c r="N1090" t="s">
        <v>1160</v>
      </c>
      <c r="O1090" t="s">
        <v>1164</v>
      </c>
      <c r="P1090" s="2">
        <v>45761</v>
      </c>
      <c r="Q1090">
        <v>4</v>
      </c>
    </row>
    <row r="1091" spans="1:18" x14ac:dyDescent="0.3">
      <c r="A1091" s="2">
        <v>45786</v>
      </c>
      <c r="B1091" t="s">
        <v>1098</v>
      </c>
      <c r="C1091" t="s">
        <v>1132</v>
      </c>
      <c r="D1091" t="s">
        <v>1134</v>
      </c>
      <c r="E1091" t="s">
        <v>1145</v>
      </c>
      <c r="F1091" t="s">
        <v>1149</v>
      </c>
      <c r="G1091" t="s">
        <v>1153</v>
      </c>
      <c r="H1091">
        <v>5</v>
      </c>
      <c r="I1091">
        <v>61500</v>
      </c>
      <c r="J1091">
        <v>20</v>
      </c>
      <c r="K1091">
        <v>49200</v>
      </c>
      <c r="L1091">
        <v>246000</v>
      </c>
      <c r="M1091">
        <v>2000</v>
      </c>
      <c r="N1091" t="s">
        <v>1160</v>
      </c>
      <c r="O1091" t="s">
        <v>1162</v>
      </c>
      <c r="Q1091">
        <v>2</v>
      </c>
    </row>
    <row r="1092" spans="1:18" x14ac:dyDescent="0.3">
      <c r="A1092" s="2">
        <v>45783</v>
      </c>
      <c r="B1092" t="s">
        <v>1099</v>
      </c>
      <c r="C1092" t="s">
        <v>1128</v>
      </c>
      <c r="D1092" t="s">
        <v>1135</v>
      </c>
      <c r="E1092" t="s">
        <v>1141</v>
      </c>
      <c r="F1092" t="s">
        <v>1151</v>
      </c>
      <c r="G1092" t="s">
        <v>1155</v>
      </c>
      <c r="H1092">
        <v>5</v>
      </c>
      <c r="I1092">
        <v>54637</v>
      </c>
      <c r="J1092">
        <v>20</v>
      </c>
      <c r="K1092">
        <v>43709.599999999999</v>
      </c>
      <c r="L1092">
        <v>218548</v>
      </c>
      <c r="M1092">
        <v>2000</v>
      </c>
      <c r="N1092" t="s">
        <v>1160</v>
      </c>
      <c r="O1092" t="s">
        <v>1164</v>
      </c>
      <c r="P1092" s="2">
        <v>45795</v>
      </c>
      <c r="Q1092" t="s">
        <v>1165</v>
      </c>
      <c r="R1092" t="s">
        <v>1169</v>
      </c>
    </row>
    <row r="1093" spans="1:18" x14ac:dyDescent="0.3">
      <c r="A1093" s="2">
        <v>45715</v>
      </c>
      <c r="B1093" t="s">
        <v>1100</v>
      </c>
      <c r="C1093" t="s">
        <v>1125</v>
      </c>
      <c r="D1093" t="s">
        <v>1133</v>
      </c>
      <c r="E1093" t="s">
        <v>1139</v>
      </c>
      <c r="F1093" t="s">
        <v>1150</v>
      </c>
      <c r="G1093" t="s">
        <v>1154</v>
      </c>
      <c r="H1093">
        <v>5</v>
      </c>
      <c r="I1093">
        <v>37144</v>
      </c>
      <c r="J1093">
        <v>15</v>
      </c>
      <c r="K1093">
        <v>31572.400000000001</v>
      </c>
      <c r="L1093">
        <v>157862</v>
      </c>
      <c r="M1093">
        <v>2000</v>
      </c>
      <c r="N1093" t="s">
        <v>1159</v>
      </c>
      <c r="O1093" t="s">
        <v>1163</v>
      </c>
      <c r="Q1093">
        <v>3</v>
      </c>
      <c r="R1093" t="s">
        <v>1169</v>
      </c>
    </row>
    <row r="1094" spans="1:18" x14ac:dyDescent="0.3">
      <c r="A1094" s="2">
        <v>45719</v>
      </c>
      <c r="B1094" t="s">
        <v>1101</v>
      </c>
      <c r="C1094" t="s">
        <v>1124</v>
      </c>
      <c r="D1094" t="s">
        <v>1135</v>
      </c>
      <c r="E1094" t="s">
        <v>1144</v>
      </c>
      <c r="F1094" t="s">
        <v>1151</v>
      </c>
      <c r="G1094" t="s">
        <v>1157</v>
      </c>
      <c r="H1094">
        <v>2</v>
      </c>
      <c r="I1094">
        <v>2067</v>
      </c>
      <c r="J1094">
        <v>20</v>
      </c>
      <c r="K1094">
        <v>1653.6</v>
      </c>
      <c r="L1094">
        <v>3307.2</v>
      </c>
      <c r="M1094">
        <v>1000</v>
      </c>
      <c r="N1094" t="s">
        <v>1160</v>
      </c>
      <c r="O1094" t="s">
        <v>1163</v>
      </c>
      <c r="Q1094">
        <v>2</v>
      </c>
      <c r="R1094" t="s">
        <v>1166</v>
      </c>
    </row>
    <row r="1095" spans="1:18" x14ac:dyDescent="0.3">
      <c r="A1095" s="2">
        <v>45731</v>
      </c>
      <c r="B1095" t="s">
        <v>1102</v>
      </c>
      <c r="C1095" t="s">
        <v>1128</v>
      </c>
      <c r="D1095" t="s">
        <v>1135</v>
      </c>
      <c r="E1095" t="s">
        <v>1146</v>
      </c>
      <c r="F1095" t="s">
        <v>1151</v>
      </c>
      <c r="G1095" t="s">
        <v>1155</v>
      </c>
      <c r="H1095">
        <v>3</v>
      </c>
      <c r="I1095">
        <v>18157</v>
      </c>
      <c r="J1095">
        <v>5</v>
      </c>
      <c r="K1095">
        <v>17249.150000000001</v>
      </c>
      <c r="L1095">
        <v>51747.45</v>
      </c>
      <c r="M1095">
        <v>2000</v>
      </c>
      <c r="N1095" t="s">
        <v>1160</v>
      </c>
      <c r="O1095" t="s">
        <v>1164</v>
      </c>
      <c r="P1095" s="2">
        <v>45743</v>
      </c>
      <c r="Q1095">
        <v>4</v>
      </c>
      <c r="R1095" t="s">
        <v>1170</v>
      </c>
    </row>
    <row r="1096" spans="1:18" x14ac:dyDescent="0.3">
      <c r="A1096" s="2">
        <v>45824</v>
      </c>
      <c r="B1096" t="s">
        <v>1103</v>
      </c>
      <c r="C1096" t="s">
        <v>1126</v>
      </c>
      <c r="D1096" t="s">
        <v>1133</v>
      </c>
      <c r="E1096" t="s">
        <v>1138</v>
      </c>
      <c r="F1096" t="s">
        <v>1149</v>
      </c>
      <c r="G1096" t="s">
        <v>1153</v>
      </c>
      <c r="H1096">
        <v>4</v>
      </c>
      <c r="I1096">
        <v>28795</v>
      </c>
      <c r="J1096">
        <v>0</v>
      </c>
      <c r="K1096">
        <v>28795</v>
      </c>
      <c r="L1096">
        <v>115180</v>
      </c>
      <c r="M1096">
        <v>2000</v>
      </c>
      <c r="N1096" t="s">
        <v>1161</v>
      </c>
      <c r="O1096" t="s">
        <v>1163</v>
      </c>
      <c r="Q1096">
        <v>3</v>
      </c>
    </row>
    <row r="1097" spans="1:18" x14ac:dyDescent="0.3">
      <c r="A1097" s="2">
        <v>45676</v>
      </c>
      <c r="B1097" t="s">
        <v>1104</v>
      </c>
      <c r="C1097" t="s">
        <v>1117</v>
      </c>
      <c r="D1097" t="s">
        <v>1133</v>
      </c>
      <c r="E1097" t="s">
        <v>1143</v>
      </c>
      <c r="F1097" t="s">
        <v>1151</v>
      </c>
      <c r="G1097" t="s">
        <v>1157</v>
      </c>
      <c r="H1097">
        <v>4</v>
      </c>
      <c r="I1097">
        <v>52529</v>
      </c>
      <c r="J1097">
        <v>15</v>
      </c>
      <c r="K1097">
        <v>44649.65</v>
      </c>
      <c r="L1097">
        <v>178598.6</v>
      </c>
      <c r="M1097">
        <v>1000</v>
      </c>
      <c r="N1097" t="s">
        <v>1161</v>
      </c>
      <c r="O1097" t="s">
        <v>1162</v>
      </c>
      <c r="Q1097">
        <v>5</v>
      </c>
      <c r="R1097" t="s">
        <v>1167</v>
      </c>
    </row>
    <row r="1098" spans="1:18" x14ac:dyDescent="0.3">
      <c r="A1098" s="2">
        <v>45670</v>
      </c>
      <c r="B1098" t="s">
        <v>1105</v>
      </c>
      <c r="C1098" t="s">
        <v>1125</v>
      </c>
      <c r="D1098" t="s">
        <v>1133</v>
      </c>
      <c r="E1098" t="s">
        <v>1141</v>
      </c>
      <c r="F1098" t="s">
        <v>1151</v>
      </c>
      <c r="G1098" t="s">
        <v>1155</v>
      </c>
      <c r="H1098">
        <v>4</v>
      </c>
      <c r="I1098">
        <v>60989</v>
      </c>
      <c r="J1098">
        <v>20</v>
      </c>
      <c r="K1098">
        <v>48791.199999999997</v>
      </c>
      <c r="L1098">
        <v>195164.79999999999</v>
      </c>
      <c r="M1098">
        <v>1000</v>
      </c>
      <c r="N1098" t="s">
        <v>1161</v>
      </c>
      <c r="O1098" t="s">
        <v>1164</v>
      </c>
      <c r="P1098" s="2">
        <v>45673</v>
      </c>
      <c r="Q1098">
        <v>4</v>
      </c>
      <c r="R1098" t="s">
        <v>1166</v>
      </c>
    </row>
    <row r="1099" spans="1:18" x14ac:dyDescent="0.3">
      <c r="A1099" s="2">
        <v>45663</v>
      </c>
      <c r="B1099" t="s">
        <v>1106</v>
      </c>
      <c r="C1099" t="s">
        <v>1122</v>
      </c>
      <c r="D1099" t="s">
        <v>1136</v>
      </c>
      <c r="E1099" t="s">
        <v>1137</v>
      </c>
      <c r="F1099" t="s">
        <v>1149</v>
      </c>
      <c r="G1099" t="s">
        <v>1152</v>
      </c>
      <c r="H1099">
        <v>1</v>
      </c>
      <c r="I1099">
        <v>44969</v>
      </c>
      <c r="J1099">
        <v>20</v>
      </c>
      <c r="K1099">
        <v>35975.199999999997</v>
      </c>
      <c r="L1099">
        <v>35975.199999999997</v>
      </c>
      <c r="M1099">
        <v>1500</v>
      </c>
      <c r="N1099" t="s">
        <v>1160</v>
      </c>
      <c r="O1099" t="s">
        <v>1162</v>
      </c>
      <c r="Q1099">
        <v>1</v>
      </c>
      <c r="R1099" t="s">
        <v>1170</v>
      </c>
    </row>
    <row r="1100" spans="1:18" x14ac:dyDescent="0.3">
      <c r="A1100" s="2">
        <v>45746</v>
      </c>
      <c r="B1100" t="s">
        <v>1107</v>
      </c>
      <c r="C1100" t="s">
        <v>1120</v>
      </c>
      <c r="D1100" t="s">
        <v>1135</v>
      </c>
      <c r="E1100" t="s">
        <v>1147</v>
      </c>
      <c r="F1100" t="s">
        <v>1150</v>
      </c>
      <c r="G1100" t="s">
        <v>1156</v>
      </c>
      <c r="H1100">
        <v>3</v>
      </c>
      <c r="I1100">
        <v>69653</v>
      </c>
      <c r="J1100">
        <v>0</v>
      </c>
      <c r="K1100">
        <v>69653</v>
      </c>
      <c r="L1100">
        <v>208959</v>
      </c>
      <c r="M1100">
        <v>2000</v>
      </c>
      <c r="N1100" t="s">
        <v>1161</v>
      </c>
      <c r="O1100" t="s">
        <v>1164</v>
      </c>
      <c r="P1100" s="2">
        <v>45760</v>
      </c>
      <c r="Q1100">
        <v>5</v>
      </c>
      <c r="R1100" t="s">
        <v>1169</v>
      </c>
    </row>
    <row r="1101" spans="1:18" x14ac:dyDescent="0.3">
      <c r="A1101" s="2">
        <v>45738</v>
      </c>
      <c r="B1101" t="s">
        <v>1108</v>
      </c>
      <c r="C1101" t="s">
        <v>1127</v>
      </c>
      <c r="D1101" t="s">
        <v>1134</v>
      </c>
      <c r="E1101" t="s">
        <v>1140</v>
      </c>
      <c r="F1101" t="s">
        <v>1150</v>
      </c>
      <c r="G1101" t="s">
        <v>1154</v>
      </c>
      <c r="H1101">
        <v>4</v>
      </c>
      <c r="I1101">
        <v>60312</v>
      </c>
      <c r="J1101">
        <v>0</v>
      </c>
      <c r="K1101">
        <v>60312</v>
      </c>
      <c r="L1101">
        <v>241248</v>
      </c>
      <c r="M1101">
        <v>2000</v>
      </c>
      <c r="N1101" t="s">
        <v>1161</v>
      </c>
      <c r="O1101" t="s">
        <v>1163</v>
      </c>
      <c r="Q1101">
        <v>5</v>
      </c>
    </row>
    <row r="1102" spans="1:18" x14ac:dyDescent="0.3">
      <c r="A1102" s="2">
        <v>45733</v>
      </c>
      <c r="B1102" t="s">
        <v>1109</v>
      </c>
      <c r="C1102" t="s">
        <v>1128</v>
      </c>
      <c r="D1102" t="s">
        <v>1135</v>
      </c>
      <c r="E1102" t="s">
        <v>1147</v>
      </c>
      <c r="F1102" t="s">
        <v>1150</v>
      </c>
      <c r="G1102" t="s">
        <v>1156</v>
      </c>
      <c r="H1102">
        <v>3</v>
      </c>
      <c r="I1102">
        <v>30219</v>
      </c>
      <c r="J1102">
        <v>20</v>
      </c>
      <c r="K1102">
        <v>24175.200000000001</v>
      </c>
      <c r="L1102">
        <v>72525.600000000006</v>
      </c>
      <c r="M1102">
        <v>1000</v>
      </c>
      <c r="N1102" t="s">
        <v>1160</v>
      </c>
      <c r="O1102" t="s">
        <v>1162</v>
      </c>
      <c r="Q1102">
        <v>4</v>
      </c>
      <c r="R1102" t="s">
        <v>1166</v>
      </c>
    </row>
    <row r="1103" spans="1:18" x14ac:dyDescent="0.3">
      <c r="A1103" s="2">
        <v>45766</v>
      </c>
      <c r="B1103" t="s">
        <v>1110</v>
      </c>
      <c r="C1103" t="s">
        <v>1126</v>
      </c>
      <c r="D1103" t="s">
        <v>1133</v>
      </c>
      <c r="E1103" t="s">
        <v>1144</v>
      </c>
      <c r="F1103" t="s">
        <v>1151</v>
      </c>
      <c r="G1103" t="s">
        <v>1157</v>
      </c>
      <c r="H1103">
        <v>3</v>
      </c>
      <c r="I1103">
        <v>2618</v>
      </c>
      <c r="J1103">
        <v>10</v>
      </c>
      <c r="K1103">
        <v>2356.1999999999998</v>
      </c>
      <c r="L1103">
        <v>7068.5999999999995</v>
      </c>
      <c r="M1103">
        <v>2000</v>
      </c>
      <c r="N1103" t="s">
        <v>1159</v>
      </c>
      <c r="O1103" t="s">
        <v>1163</v>
      </c>
      <c r="Q1103">
        <v>2</v>
      </c>
      <c r="R1103" t="s">
        <v>1169</v>
      </c>
    </row>
    <row r="1104" spans="1:18" x14ac:dyDescent="0.3">
      <c r="A1104" s="2">
        <v>45690</v>
      </c>
      <c r="B1104" t="s">
        <v>1111</v>
      </c>
      <c r="C1104" t="s">
        <v>1124</v>
      </c>
      <c r="D1104" t="s">
        <v>1135</v>
      </c>
      <c r="E1104" t="s">
        <v>1137</v>
      </c>
      <c r="F1104" t="s">
        <v>1149</v>
      </c>
      <c r="G1104" t="s">
        <v>1152</v>
      </c>
      <c r="H1104">
        <v>5</v>
      </c>
      <c r="I1104">
        <v>24282</v>
      </c>
      <c r="J1104">
        <v>20</v>
      </c>
      <c r="K1104">
        <v>19425.599999999999</v>
      </c>
      <c r="L1104">
        <v>97128</v>
      </c>
      <c r="M1104">
        <v>1000</v>
      </c>
      <c r="N1104" t="s">
        <v>1161</v>
      </c>
      <c r="O1104" t="s">
        <v>1164</v>
      </c>
      <c r="P1104" s="2">
        <v>45704</v>
      </c>
      <c r="Q1104">
        <v>2</v>
      </c>
      <c r="R1104" t="s">
        <v>1168</v>
      </c>
    </row>
    <row r="1105" spans="1:18" x14ac:dyDescent="0.3">
      <c r="A1105" s="2">
        <v>45760</v>
      </c>
      <c r="B1105" t="s">
        <v>1112</v>
      </c>
      <c r="C1105" t="s">
        <v>1120</v>
      </c>
      <c r="D1105" t="s">
        <v>1135</v>
      </c>
      <c r="E1105" t="s">
        <v>1141</v>
      </c>
      <c r="F1105" t="s">
        <v>1151</v>
      </c>
      <c r="G1105" t="s">
        <v>1155</v>
      </c>
      <c r="H1105">
        <v>5</v>
      </c>
      <c r="I1105">
        <v>49091</v>
      </c>
      <c r="J1105">
        <v>20</v>
      </c>
      <c r="K1105">
        <v>39272.800000000003</v>
      </c>
      <c r="L1105">
        <v>196364</v>
      </c>
      <c r="M1105">
        <v>1500</v>
      </c>
      <c r="N1105" t="s">
        <v>1161</v>
      </c>
      <c r="O1105" t="s">
        <v>1162</v>
      </c>
      <c r="Q1105">
        <v>5</v>
      </c>
      <c r="R1105" t="s">
        <v>1169</v>
      </c>
    </row>
    <row r="1106" spans="1:18" x14ac:dyDescent="0.3">
      <c r="A1106" s="2">
        <v>45782</v>
      </c>
      <c r="B1106" t="s">
        <v>1113</v>
      </c>
      <c r="C1106" t="s">
        <v>1132</v>
      </c>
      <c r="D1106" t="s">
        <v>1134</v>
      </c>
      <c r="E1106" t="s">
        <v>1144</v>
      </c>
      <c r="F1106" t="s">
        <v>1151</v>
      </c>
      <c r="G1106" t="s">
        <v>1157</v>
      </c>
      <c r="H1106">
        <v>1</v>
      </c>
      <c r="I1106">
        <v>55501</v>
      </c>
      <c r="J1106">
        <v>20</v>
      </c>
      <c r="K1106">
        <v>44400.800000000003</v>
      </c>
      <c r="L1106">
        <v>44400.800000000003</v>
      </c>
      <c r="M1106">
        <v>1500</v>
      </c>
      <c r="N1106" t="s">
        <v>1161</v>
      </c>
      <c r="O1106" t="s">
        <v>1162</v>
      </c>
      <c r="Q1106">
        <v>3</v>
      </c>
      <c r="R1106" t="s">
        <v>1169</v>
      </c>
    </row>
    <row r="1107" spans="1:18" x14ac:dyDescent="0.3">
      <c r="A1107" s="2">
        <v>45777</v>
      </c>
      <c r="B1107" t="s">
        <v>1114</v>
      </c>
      <c r="C1107" t="s">
        <v>1121</v>
      </c>
      <c r="D1107" t="s">
        <v>1136</v>
      </c>
      <c r="E1107" t="s">
        <v>1144</v>
      </c>
      <c r="F1107" t="s">
        <v>1151</v>
      </c>
      <c r="G1107" t="s">
        <v>1157</v>
      </c>
      <c r="H1107">
        <v>5</v>
      </c>
      <c r="I1107">
        <v>3474</v>
      </c>
      <c r="J1107">
        <v>5</v>
      </c>
      <c r="K1107">
        <v>3300.3</v>
      </c>
      <c r="L1107">
        <v>16501.5</v>
      </c>
      <c r="M1107">
        <v>1000</v>
      </c>
      <c r="N1107" t="s">
        <v>1159</v>
      </c>
      <c r="O1107" t="s">
        <v>1164</v>
      </c>
      <c r="P1107" s="2">
        <v>45787</v>
      </c>
      <c r="Q1107">
        <v>3</v>
      </c>
      <c r="R1107" t="s">
        <v>1167</v>
      </c>
    </row>
    <row r="1108" spans="1:18" x14ac:dyDescent="0.3">
      <c r="A1108" s="2">
        <v>45665</v>
      </c>
      <c r="B1108" t="s">
        <v>1115</v>
      </c>
      <c r="C1108" t="s">
        <v>1126</v>
      </c>
      <c r="D1108" t="s">
        <v>1133</v>
      </c>
      <c r="E1108" t="s">
        <v>1139</v>
      </c>
      <c r="F1108" t="s">
        <v>1150</v>
      </c>
      <c r="G1108" t="s">
        <v>1154</v>
      </c>
      <c r="H1108">
        <v>1</v>
      </c>
      <c r="I1108">
        <v>46933</v>
      </c>
      <c r="J1108">
        <v>15</v>
      </c>
      <c r="K1108">
        <v>39893.050000000003</v>
      </c>
      <c r="L1108">
        <v>39893.050000000003</v>
      </c>
      <c r="M1108">
        <v>2000</v>
      </c>
      <c r="N1108" t="s">
        <v>1161</v>
      </c>
      <c r="O1108" t="s">
        <v>1164</v>
      </c>
      <c r="P1108" s="2">
        <v>45677</v>
      </c>
      <c r="Q1108">
        <v>2</v>
      </c>
      <c r="R1108" t="s">
        <v>1167</v>
      </c>
    </row>
    <row r="1109" spans="1:18" x14ac:dyDescent="0.3">
      <c r="A1109" s="2">
        <v>45741</v>
      </c>
      <c r="B1109" t="s">
        <v>1116</v>
      </c>
      <c r="C1109" t="s">
        <v>1119</v>
      </c>
      <c r="D1109" t="s">
        <v>1134</v>
      </c>
      <c r="E1109" t="s">
        <v>1141</v>
      </c>
      <c r="F1109" t="s">
        <v>1151</v>
      </c>
      <c r="G1109" t="s">
        <v>1155</v>
      </c>
      <c r="H1109">
        <v>5</v>
      </c>
      <c r="I1109">
        <v>3468</v>
      </c>
      <c r="J1109">
        <v>10</v>
      </c>
      <c r="K1109">
        <v>3121.2</v>
      </c>
      <c r="L1109">
        <v>15606</v>
      </c>
      <c r="M1109">
        <v>1000</v>
      </c>
      <c r="N1109" t="s">
        <v>1160</v>
      </c>
      <c r="O1109" t="s">
        <v>1164</v>
      </c>
      <c r="P1109" s="2">
        <v>45755</v>
      </c>
      <c r="Q1109">
        <v>4</v>
      </c>
      <c r="R1109" t="s">
        <v>1167</v>
      </c>
    </row>
    <row r="1110" spans="1:18" x14ac:dyDescent="0.3">
      <c r="A1110" s="2">
        <v>45700</v>
      </c>
      <c r="B1110" t="s">
        <v>551</v>
      </c>
      <c r="C1110" t="s">
        <v>1118</v>
      </c>
      <c r="D1110" t="s">
        <v>1134</v>
      </c>
      <c r="E1110" t="s">
        <v>1145</v>
      </c>
      <c r="F1110" t="s">
        <v>1149</v>
      </c>
      <c r="G1110" t="s">
        <v>1153</v>
      </c>
      <c r="H1110">
        <v>5</v>
      </c>
      <c r="I1110">
        <v>44586</v>
      </c>
      <c r="J1110">
        <v>20</v>
      </c>
      <c r="K1110">
        <v>35668.800000000003</v>
      </c>
      <c r="L1110">
        <v>178344</v>
      </c>
      <c r="M1110">
        <v>1000</v>
      </c>
      <c r="N1110" t="s">
        <v>1161</v>
      </c>
      <c r="O1110" t="s">
        <v>1162</v>
      </c>
      <c r="Q1110">
        <v>5</v>
      </c>
      <c r="R1110" t="s">
        <v>1168</v>
      </c>
    </row>
    <row r="1111" spans="1:18" x14ac:dyDescent="0.3">
      <c r="A1111" s="2">
        <v>45700</v>
      </c>
      <c r="B1111" t="s">
        <v>72</v>
      </c>
      <c r="C1111" t="s">
        <v>1129</v>
      </c>
      <c r="D1111" t="s">
        <v>1133</v>
      </c>
      <c r="E1111" t="s">
        <v>1140</v>
      </c>
      <c r="F1111" t="s">
        <v>1150</v>
      </c>
      <c r="G1111" t="s">
        <v>1154</v>
      </c>
      <c r="H1111">
        <v>2</v>
      </c>
      <c r="I1111">
        <v>63636</v>
      </c>
      <c r="J1111">
        <v>0</v>
      </c>
      <c r="K1111">
        <v>63636</v>
      </c>
      <c r="L1111">
        <v>127272</v>
      </c>
      <c r="M1111">
        <v>2000</v>
      </c>
      <c r="N1111" t="s">
        <v>1161</v>
      </c>
      <c r="O1111" t="s">
        <v>1162</v>
      </c>
      <c r="Q1111">
        <v>4</v>
      </c>
      <c r="R1111" t="s">
        <v>1167</v>
      </c>
    </row>
    <row r="1112" spans="1:18" x14ac:dyDescent="0.3">
      <c r="A1112" s="2">
        <v>45831</v>
      </c>
      <c r="B1112" t="s">
        <v>970</v>
      </c>
      <c r="C1112" t="s">
        <v>1122</v>
      </c>
      <c r="D1112" t="s">
        <v>1136</v>
      </c>
      <c r="E1112" t="s">
        <v>1139</v>
      </c>
      <c r="F1112" t="s">
        <v>1150</v>
      </c>
      <c r="G1112" t="s">
        <v>1154</v>
      </c>
      <c r="H1112">
        <v>1</v>
      </c>
      <c r="I1112">
        <v>24054</v>
      </c>
      <c r="J1112">
        <v>20</v>
      </c>
      <c r="K1112">
        <v>19243.2</v>
      </c>
      <c r="L1112">
        <v>19243.2</v>
      </c>
      <c r="M1112">
        <v>1500</v>
      </c>
      <c r="N1112" t="s">
        <v>1161</v>
      </c>
      <c r="O1112" t="s">
        <v>1164</v>
      </c>
      <c r="P1112" s="2">
        <v>45841</v>
      </c>
      <c r="Q1112">
        <v>3</v>
      </c>
      <c r="R1112" t="s">
        <v>1168</v>
      </c>
    </row>
    <row r="1113" spans="1:18" x14ac:dyDescent="0.3">
      <c r="A1113" s="2">
        <v>45778</v>
      </c>
      <c r="B1113" t="s">
        <v>684</v>
      </c>
      <c r="C1113" t="s">
        <v>1125</v>
      </c>
      <c r="D1113" t="s">
        <v>1133</v>
      </c>
      <c r="E1113" t="s">
        <v>1145</v>
      </c>
      <c r="F1113" t="s">
        <v>1149</v>
      </c>
      <c r="G1113" t="s">
        <v>1153</v>
      </c>
      <c r="H1113">
        <v>2</v>
      </c>
      <c r="I1113">
        <v>48821</v>
      </c>
      <c r="J1113">
        <v>20</v>
      </c>
      <c r="K1113">
        <v>39056.800000000003</v>
      </c>
      <c r="L1113">
        <v>78113.600000000006</v>
      </c>
      <c r="M1113">
        <v>2000</v>
      </c>
      <c r="N1113" t="s">
        <v>1159</v>
      </c>
      <c r="O1113" t="s">
        <v>1163</v>
      </c>
      <c r="R1113" t="s">
        <v>1167</v>
      </c>
    </row>
    <row r="1114" spans="1:18" x14ac:dyDescent="0.3">
      <c r="A1114" s="2">
        <v>45686</v>
      </c>
      <c r="B1114" t="s">
        <v>274</v>
      </c>
      <c r="C1114" t="s">
        <v>1124</v>
      </c>
      <c r="D1114" t="s">
        <v>1135</v>
      </c>
      <c r="E1114" t="s">
        <v>1137</v>
      </c>
      <c r="F1114" t="s">
        <v>1149</v>
      </c>
      <c r="G1114" t="s">
        <v>1152</v>
      </c>
      <c r="H1114">
        <v>5</v>
      </c>
      <c r="I1114">
        <v>73986</v>
      </c>
      <c r="J1114">
        <v>10</v>
      </c>
      <c r="K1114">
        <v>66587.399999999994</v>
      </c>
      <c r="L1114">
        <v>332937</v>
      </c>
      <c r="M1114">
        <v>2000</v>
      </c>
      <c r="N1114" t="s">
        <v>1160</v>
      </c>
      <c r="O1114" t="s">
        <v>1164</v>
      </c>
      <c r="P1114" s="2">
        <v>45690</v>
      </c>
      <c r="Q1114">
        <v>3</v>
      </c>
    </row>
    <row r="1115" spans="1:18" x14ac:dyDescent="0.3">
      <c r="A1115" s="2">
        <v>45828</v>
      </c>
      <c r="B1115" t="s">
        <v>968</v>
      </c>
      <c r="C1115" t="s">
        <v>1132</v>
      </c>
      <c r="D1115" t="s">
        <v>1134</v>
      </c>
      <c r="E1115" t="s">
        <v>1139</v>
      </c>
      <c r="F1115" t="s">
        <v>1150</v>
      </c>
      <c r="G1115" t="s">
        <v>1154</v>
      </c>
      <c r="H1115">
        <v>3</v>
      </c>
      <c r="I1115">
        <v>9940</v>
      </c>
      <c r="J1115">
        <v>0</v>
      </c>
      <c r="K1115">
        <v>9940</v>
      </c>
      <c r="L1115">
        <v>29820</v>
      </c>
      <c r="M1115">
        <v>1000</v>
      </c>
      <c r="N1115" t="s">
        <v>1160</v>
      </c>
      <c r="O1115" t="s">
        <v>1162</v>
      </c>
      <c r="Q1115">
        <v>2</v>
      </c>
      <c r="R1115" t="s">
        <v>1167</v>
      </c>
    </row>
    <row r="1116" spans="1:18" x14ac:dyDescent="0.3">
      <c r="A1116" s="2">
        <v>45670</v>
      </c>
      <c r="B1116" t="s">
        <v>510</v>
      </c>
      <c r="C1116" t="s">
        <v>1125</v>
      </c>
      <c r="D1116" t="s">
        <v>1133</v>
      </c>
      <c r="E1116" t="s">
        <v>1140</v>
      </c>
      <c r="F1116" t="s">
        <v>1150</v>
      </c>
      <c r="G1116" t="s">
        <v>1154</v>
      </c>
      <c r="H1116">
        <v>5</v>
      </c>
      <c r="I1116">
        <v>43196</v>
      </c>
      <c r="J1116">
        <v>0</v>
      </c>
      <c r="K1116">
        <v>43196</v>
      </c>
      <c r="L1116">
        <v>215980</v>
      </c>
      <c r="M1116">
        <v>2000</v>
      </c>
      <c r="N1116" t="s">
        <v>1160</v>
      </c>
      <c r="O1116" t="s">
        <v>1163</v>
      </c>
      <c r="Q1116">
        <v>2</v>
      </c>
      <c r="R1116" t="s">
        <v>1168</v>
      </c>
    </row>
    <row r="1117" spans="1:18" x14ac:dyDescent="0.3">
      <c r="A1117" s="2">
        <v>45693</v>
      </c>
      <c r="B1117" t="s">
        <v>181</v>
      </c>
      <c r="C1117" t="s">
        <v>1122</v>
      </c>
      <c r="D1117" t="s">
        <v>1136</v>
      </c>
      <c r="E1117" t="s">
        <v>1147</v>
      </c>
      <c r="F1117" t="s">
        <v>1150</v>
      </c>
      <c r="G1117" t="s">
        <v>1156</v>
      </c>
      <c r="H1117">
        <v>5</v>
      </c>
      <c r="I1117">
        <v>12156</v>
      </c>
      <c r="J1117">
        <v>15</v>
      </c>
      <c r="K1117">
        <v>10332.6</v>
      </c>
      <c r="L1117">
        <v>51663</v>
      </c>
      <c r="M1117">
        <v>2000</v>
      </c>
      <c r="N1117" t="s">
        <v>1160</v>
      </c>
      <c r="O1117" t="s">
        <v>1164</v>
      </c>
      <c r="P1117" s="2">
        <v>45706</v>
      </c>
      <c r="Q1117">
        <v>5</v>
      </c>
      <c r="R1117" t="s">
        <v>1170</v>
      </c>
    </row>
    <row r="1118" spans="1:18" x14ac:dyDescent="0.3">
      <c r="A1118" s="2">
        <v>45799</v>
      </c>
      <c r="B1118" t="s">
        <v>626</v>
      </c>
      <c r="C1118" t="s">
        <v>1122</v>
      </c>
      <c r="D1118" t="s">
        <v>1136</v>
      </c>
      <c r="E1118" t="s">
        <v>1143</v>
      </c>
      <c r="F1118" t="s">
        <v>1151</v>
      </c>
      <c r="G1118" t="s">
        <v>1157</v>
      </c>
      <c r="H1118">
        <v>3</v>
      </c>
      <c r="I1118">
        <v>31722</v>
      </c>
      <c r="J1118">
        <v>20</v>
      </c>
      <c r="K1118">
        <v>25377.599999999999</v>
      </c>
      <c r="L1118">
        <v>76132.799999999988</v>
      </c>
      <c r="M1118">
        <v>1500</v>
      </c>
      <c r="N1118" t="s">
        <v>1161</v>
      </c>
      <c r="O1118" t="s">
        <v>1163</v>
      </c>
      <c r="Q1118">
        <v>5</v>
      </c>
      <c r="R1118" t="s">
        <v>1169</v>
      </c>
    </row>
    <row r="1119" spans="1:18" x14ac:dyDescent="0.3">
      <c r="A1119" s="2">
        <v>45768</v>
      </c>
      <c r="B1119" t="s">
        <v>159</v>
      </c>
      <c r="C1119" t="s">
        <v>1118</v>
      </c>
      <c r="D1119" t="s">
        <v>1134</v>
      </c>
      <c r="E1119" t="s">
        <v>1140</v>
      </c>
      <c r="F1119" t="s">
        <v>1150</v>
      </c>
      <c r="G1119" t="s">
        <v>1154</v>
      </c>
      <c r="H1119">
        <v>4</v>
      </c>
      <c r="I1119">
        <v>48326</v>
      </c>
      <c r="J1119">
        <v>15</v>
      </c>
      <c r="K1119">
        <v>41077.1</v>
      </c>
      <c r="L1119">
        <v>164308.4</v>
      </c>
      <c r="M1119">
        <v>1000</v>
      </c>
      <c r="N1119" t="s">
        <v>1159</v>
      </c>
      <c r="O1119" t="s">
        <v>1162</v>
      </c>
      <c r="Q1119">
        <v>3</v>
      </c>
    </row>
    <row r="1120" spans="1:18" x14ac:dyDescent="0.3">
      <c r="A1120" s="2">
        <v>45765</v>
      </c>
      <c r="B1120" t="s">
        <v>388</v>
      </c>
      <c r="C1120" t="s">
        <v>1130</v>
      </c>
      <c r="D1120" t="s">
        <v>1136</v>
      </c>
      <c r="E1120" t="s">
        <v>1138</v>
      </c>
      <c r="F1120" t="s">
        <v>1149</v>
      </c>
      <c r="G1120" t="s">
        <v>1153</v>
      </c>
      <c r="H1120">
        <v>1</v>
      </c>
      <c r="I1120">
        <v>17894</v>
      </c>
      <c r="J1120">
        <v>20</v>
      </c>
      <c r="K1120">
        <v>14315.2</v>
      </c>
      <c r="L1120">
        <v>14315.2</v>
      </c>
      <c r="M1120">
        <v>1000</v>
      </c>
      <c r="N1120" t="s">
        <v>1160</v>
      </c>
      <c r="O1120" t="s">
        <v>1162</v>
      </c>
      <c r="Q1120">
        <v>1</v>
      </c>
      <c r="R1120" t="s">
        <v>1170</v>
      </c>
    </row>
    <row r="1121" spans="1:18" x14ac:dyDescent="0.3">
      <c r="A1121" s="2">
        <v>45789</v>
      </c>
      <c r="B1121" t="s">
        <v>511</v>
      </c>
      <c r="C1121" t="s">
        <v>1126</v>
      </c>
      <c r="D1121" t="s">
        <v>1133</v>
      </c>
      <c r="E1121" t="s">
        <v>1140</v>
      </c>
      <c r="F1121" t="s">
        <v>1150</v>
      </c>
      <c r="G1121" t="s">
        <v>1154</v>
      </c>
      <c r="H1121">
        <v>4</v>
      </c>
      <c r="I1121">
        <v>23289</v>
      </c>
      <c r="J1121">
        <v>0</v>
      </c>
      <c r="K1121">
        <v>23289</v>
      </c>
      <c r="L1121">
        <v>93156</v>
      </c>
      <c r="M1121">
        <v>2000</v>
      </c>
      <c r="N1121" t="s">
        <v>1160</v>
      </c>
      <c r="O1121" t="s">
        <v>1163</v>
      </c>
      <c r="Q1121">
        <v>5</v>
      </c>
      <c r="R1121" t="s">
        <v>1167</v>
      </c>
    </row>
    <row r="1122" spans="1:18" x14ac:dyDescent="0.3">
      <c r="A1122" s="2">
        <v>45690</v>
      </c>
      <c r="B1122" t="s">
        <v>712</v>
      </c>
      <c r="C1122" t="s">
        <v>1117</v>
      </c>
      <c r="D1122" t="s">
        <v>1133</v>
      </c>
      <c r="E1122" t="s">
        <v>1141</v>
      </c>
      <c r="F1122" t="s">
        <v>1151</v>
      </c>
      <c r="G1122" t="s">
        <v>1155</v>
      </c>
      <c r="H1122">
        <v>5</v>
      </c>
      <c r="I1122">
        <v>19801</v>
      </c>
      <c r="J1122">
        <v>15</v>
      </c>
      <c r="K1122">
        <v>16830.849999999999</v>
      </c>
      <c r="L1122">
        <v>84154.25</v>
      </c>
      <c r="M1122">
        <v>1000</v>
      </c>
      <c r="N1122" t="s">
        <v>1159</v>
      </c>
      <c r="O1122" t="s">
        <v>1163</v>
      </c>
      <c r="Q1122">
        <v>4</v>
      </c>
      <c r="R1122" t="s">
        <v>1170</v>
      </c>
    </row>
    <row r="1123" spans="1:18" x14ac:dyDescent="0.3">
      <c r="A1123" s="2">
        <v>45825</v>
      </c>
      <c r="B1123" t="s">
        <v>186</v>
      </c>
      <c r="C1123" t="s">
        <v>1117</v>
      </c>
      <c r="D1123" t="s">
        <v>1133</v>
      </c>
      <c r="E1123" t="s">
        <v>1139</v>
      </c>
      <c r="F1123" t="s">
        <v>1150</v>
      </c>
      <c r="G1123" t="s">
        <v>1154</v>
      </c>
      <c r="H1123">
        <v>4</v>
      </c>
      <c r="I1123">
        <v>16156</v>
      </c>
      <c r="J1123">
        <v>15</v>
      </c>
      <c r="K1123">
        <v>13732.6</v>
      </c>
      <c r="L1123">
        <v>54930.400000000001</v>
      </c>
      <c r="M1123">
        <v>1500</v>
      </c>
      <c r="N1123" t="s">
        <v>1160</v>
      </c>
      <c r="O1123" t="s">
        <v>1163</v>
      </c>
      <c r="Q1123">
        <v>4</v>
      </c>
      <c r="R1123" t="s">
        <v>1167</v>
      </c>
    </row>
    <row r="1124" spans="1:18" x14ac:dyDescent="0.3">
      <c r="A1124" s="2">
        <v>45731</v>
      </c>
      <c r="B1124" t="s">
        <v>502</v>
      </c>
      <c r="C1124" t="s">
        <v>1128</v>
      </c>
      <c r="D1124" t="s">
        <v>1135</v>
      </c>
      <c r="E1124" t="s">
        <v>1143</v>
      </c>
      <c r="F1124" t="s">
        <v>1151</v>
      </c>
      <c r="G1124" t="s">
        <v>1157</v>
      </c>
      <c r="H1124">
        <v>1</v>
      </c>
      <c r="I1124">
        <v>57149</v>
      </c>
      <c r="J1124">
        <v>0</v>
      </c>
      <c r="K1124">
        <v>57149</v>
      </c>
      <c r="L1124">
        <v>57149</v>
      </c>
      <c r="M1124">
        <v>1500</v>
      </c>
      <c r="N1124" t="s">
        <v>1160</v>
      </c>
      <c r="O1124" t="s">
        <v>1162</v>
      </c>
      <c r="Q1124">
        <v>5</v>
      </c>
      <c r="R1124" t="s">
        <v>1169</v>
      </c>
    </row>
    <row r="1125" spans="1:18" x14ac:dyDescent="0.3">
      <c r="A1125" s="2">
        <v>45690</v>
      </c>
      <c r="B1125" t="s">
        <v>29</v>
      </c>
      <c r="C1125" t="s">
        <v>1125</v>
      </c>
      <c r="D1125" t="s">
        <v>1133</v>
      </c>
      <c r="E1125" t="s">
        <v>1146</v>
      </c>
      <c r="F1125" t="s">
        <v>1151</v>
      </c>
      <c r="G1125" t="s">
        <v>1155</v>
      </c>
      <c r="H1125">
        <v>1</v>
      </c>
      <c r="I1125">
        <v>18244</v>
      </c>
      <c r="J1125">
        <v>5</v>
      </c>
      <c r="K1125">
        <v>17331.8</v>
      </c>
      <c r="L1125">
        <v>17331.8</v>
      </c>
      <c r="M1125">
        <v>1000</v>
      </c>
      <c r="N1125" t="s">
        <v>1159</v>
      </c>
      <c r="O1125" t="s">
        <v>1162</v>
      </c>
      <c r="Q1125">
        <v>4</v>
      </c>
      <c r="R1125" t="s">
        <v>1168</v>
      </c>
    </row>
    <row r="1126" spans="1:18" x14ac:dyDescent="0.3">
      <c r="A1126" s="2">
        <v>45779</v>
      </c>
      <c r="B1126" t="s">
        <v>47</v>
      </c>
      <c r="C1126" t="s">
        <v>1121</v>
      </c>
      <c r="D1126" t="s">
        <v>1136</v>
      </c>
      <c r="E1126" t="s">
        <v>1139</v>
      </c>
      <c r="F1126" t="s">
        <v>1150</v>
      </c>
      <c r="G1126" t="s">
        <v>1154</v>
      </c>
      <c r="H1126">
        <v>1</v>
      </c>
      <c r="I1126">
        <v>76929</v>
      </c>
      <c r="J1126">
        <v>5</v>
      </c>
      <c r="K1126">
        <v>73082.55</v>
      </c>
      <c r="L1126">
        <v>73082.55</v>
      </c>
      <c r="M1126">
        <v>2000</v>
      </c>
      <c r="N1126" t="s">
        <v>1161</v>
      </c>
      <c r="O1126" t="s">
        <v>1163</v>
      </c>
      <c r="Q1126">
        <v>4</v>
      </c>
      <c r="R1126" t="s">
        <v>1170</v>
      </c>
    </row>
  </sheetData>
  <autoFilter ref="A1:R112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BCFE-7E4A-425B-B4CB-1B239D4F6D3D}">
  <dimension ref="A2:AI1120"/>
  <sheetViews>
    <sheetView topLeftCell="Y1" zoomScale="59" zoomScaleNormal="66" workbookViewId="0">
      <selection activeCell="T4" sqref="T4"/>
    </sheetView>
  </sheetViews>
  <sheetFormatPr defaultRowHeight="14.4" x14ac:dyDescent="0.3"/>
  <cols>
    <col min="1" max="1" width="18.5546875" bestFit="1" customWidth="1"/>
    <col min="2" max="2" width="36.88671875" bestFit="1" customWidth="1"/>
    <col min="3" max="3" width="26.33203125" bestFit="1" customWidth="1"/>
    <col min="4" max="4" width="18.5546875" bestFit="1" customWidth="1"/>
    <col min="5" max="5" width="20.77734375" bestFit="1" customWidth="1"/>
    <col min="7" max="7" width="19.33203125" bestFit="1" customWidth="1"/>
    <col min="8" max="8" width="28.33203125" bestFit="1" customWidth="1"/>
    <col min="10" max="10" width="19.33203125" bestFit="1" customWidth="1"/>
    <col min="11" max="11" width="28.33203125" bestFit="1" customWidth="1"/>
    <col min="12" max="12" width="20.77734375" bestFit="1" customWidth="1"/>
    <col min="14" max="14" width="28.5546875" bestFit="1" customWidth="1"/>
    <col min="15" max="15" width="22.88671875" bestFit="1" customWidth="1"/>
    <col min="16" max="16" width="5.5546875" bestFit="1" customWidth="1"/>
    <col min="17" max="17" width="6.88671875" bestFit="1" customWidth="1"/>
    <col min="18" max="18" width="15.5546875" bestFit="1" customWidth="1"/>
    <col min="20" max="20" width="18.5546875" bestFit="1" customWidth="1"/>
    <col min="21" max="21" width="35.33203125" bestFit="1" customWidth="1"/>
    <col min="22" max="22" width="19.21875" bestFit="1" customWidth="1"/>
    <col min="23" max="23" width="18.5546875" bestFit="1" customWidth="1"/>
    <col min="24" max="24" width="27.77734375" bestFit="1" customWidth="1"/>
    <col min="25" max="25" width="27.33203125" customWidth="1"/>
    <col min="26" max="26" width="19.77734375" bestFit="1" customWidth="1"/>
    <col min="27" max="27" width="28.88671875" bestFit="1" customWidth="1"/>
    <col min="28" max="28" width="22.88671875" bestFit="1" customWidth="1"/>
    <col min="29" max="29" width="12.88671875" bestFit="1" customWidth="1"/>
    <col min="30" max="30" width="15.5546875" bestFit="1" customWidth="1"/>
    <col min="31" max="31" width="18.5546875" bestFit="1" customWidth="1"/>
    <col min="32" max="32" width="25.109375" bestFit="1" customWidth="1"/>
    <col min="33" max="33" width="27.77734375" bestFit="1" customWidth="1"/>
    <col min="34" max="34" width="30.6640625" bestFit="1" customWidth="1"/>
    <col min="35" max="35" width="33.44140625" bestFit="1" customWidth="1"/>
    <col min="36" max="37" width="7.21875" bestFit="1" customWidth="1"/>
    <col min="38" max="45" width="6.109375" bestFit="1" customWidth="1"/>
    <col min="46" max="46" width="10.77734375" bestFit="1" customWidth="1"/>
  </cols>
  <sheetData>
    <row r="2" spans="1:32" ht="18.600000000000001" x14ac:dyDescent="0.45">
      <c r="A2" s="19" t="s">
        <v>1203</v>
      </c>
    </row>
    <row r="3" spans="1:32" x14ac:dyDescent="0.3">
      <c r="A3" s="12" t="s">
        <v>1173</v>
      </c>
      <c r="B3" t="s">
        <v>1175</v>
      </c>
      <c r="D3" s="12" t="s">
        <v>1173</v>
      </c>
      <c r="E3" t="s">
        <v>1176</v>
      </c>
      <c r="G3" s="12" t="s">
        <v>1173</v>
      </c>
      <c r="H3" t="s">
        <v>1177</v>
      </c>
      <c r="J3" s="12" t="s">
        <v>1173</v>
      </c>
      <c r="K3" t="s">
        <v>1177</v>
      </c>
      <c r="L3" t="s">
        <v>1176</v>
      </c>
      <c r="N3" s="12" t="s">
        <v>1179</v>
      </c>
      <c r="O3" s="12" t="s">
        <v>1178</v>
      </c>
      <c r="T3" s="12" t="s">
        <v>1173</v>
      </c>
      <c r="U3" t="s">
        <v>1175</v>
      </c>
      <c r="W3" s="12" t="s">
        <v>1173</v>
      </c>
      <c r="X3" t="s">
        <v>1176</v>
      </c>
      <c r="AA3" s="12" t="s">
        <v>1173</v>
      </c>
      <c r="AB3" t="s">
        <v>1181</v>
      </c>
      <c r="AE3" s="12" t="s">
        <v>1173</v>
      </c>
      <c r="AF3" t="s">
        <v>1196</v>
      </c>
    </row>
    <row r="4" spans="1:32" x14ac:dyDescent="0.3">
      <c r="A4" s="13" t="s">
        <v>1152</v>
      </c>
      <c r="B4" s="20">
        <v>20463723</v>
      </c>
      <c r="D4" s="13" t="s">
        <v>1144</v>
      </c>
      <c r="E4" s="21">
        <v>293</v>
      </c>
      <c r="G4" s="13" t="s">
        <v>1140</v>
      </c>
      <c r="H4" s="6">
        <v>8.1325301204819276</v>
      </c>
      <c r="J4" s="13" t="s">
        <v>1146</v>
      </c>
      <c r="K4" s="6">
        <v>9.8684210526315788</v>
      </c>
      <c r="L4" s="6">
        <v>234</v>
      </c>
      <c r="N4" s="12" t="s">
        <v>1173</v>
      </c>
      <c r="O4">
        <v>1</v>
      </c>
      <c r="P4">
        <v>2</v>
      </c>
      <c r="Q4">
        <v>3</v>
      </c>
      <c r="R4" t="s">
        <v>1174</v>
      </c>
      <c r="T4" s="13" t="s">
        <v>1133</v>
      </c>
      <c r="U4" s="16">
        <v>30916161.20000001</v>
      </c>
      <c r="W4" s="13" t="s">
        <v>1160</v>
      </c>
      <c r="X4" s="4">
        <v>0.33726914925825008</v>
      </c>
      <c r="Y4" s="4">
        <f>GETPIVOTDATA("Quantity",$W$3,"Payment Method","Card")</f>
        <v>0.33726914925825008</v>
      </c>
      <c r="AA4" s="13">
        <v>1</v>
      </c>
      <c r="AB4" s="15">
        <v>101554.5436440678</v>
      </c>
      <c r="AE4" s="13" t="s">
        <v>1188</v>
      </c>
      <c r="AF4" s="16">
        <v>2.642105263157895</v>
      </c>
    </row>
    <row r="5" spans="1:32" x14ac:dyDescent="0.3">
      <c r="A5" s="13" t="s">
        <v>1154</v>
      </c>
      <c r="B5" s="20">
        <v>20442987.250000007</v>
      </c>
      <c r="D5" s="13" t="s">
        <v>1139</v>
      </c>
      <c r="E5" s="21">
        <v>303</v>
      </c>
      <c r="G5" s="13" t="s">
        <v>1144</v>
      </c>
      <c r="H5" s="6">
        <v>9.6</v>
      </c>
      <c r="J5" s="13" t="s">
        <v>1140</v>
      </c>
      <c r="K5" s="6">
        <v>8.1325301204819276</v>
      </c>
      <c r="L5" s="21">
        <v>240</v>
      </c>
      <c r="N5" s="13" t="s">
        <v>1146</v>
      </c>
      <c r="O5" s="6">
        <v>27</v>
      </c>
      <c r="P5" s="6">
        <v>42</v>
      </c>
      <c r="Q5" s="6">
        <v>84</v>
      </c>
      <c r="R5" s="6">
        <v>153</v>
      </c>
      <c r="T5" s="13" t="s">
        <v>1135</v>
      </c>
      <c r="U5" s="16">
        <v>30873253.89999998</v>
      </c>
      <c r="W5" s="13" t="s">
        <v>1159</v>
      </c>
      <c r="X5" s="4">
        <v>0.32879200726612173</v>
      </c>
      <c r="Y5" s="4">
        <f>GETPIVOTDATA("Quantity",$W$3,"Payment Method","Pay on Delivery")</f>
        <v>0.32879200726612173</v>
      </c>
      <c r="AA5" s="13">
        <v>2</v>
      </c>
      <c r="AB5" s="15">
        <v>106124.23656716422</v>
      </c>
      <c r="AE5" s="13" t="s">
        <v>1189</v>
      </c>
      <c r="AF5" s="16">
        <v>2.7953216374269005</v>
      </c>
    </row>
    <row r="6" spans="1:32" x14ac:dyDescent="0.3">
      <c r="A6" s="13" t="s">
        <v>1153</v>
      </c>
      <c r="B6" s="20">
        <v>20308562.349999994</v>
      </c>
      <c r="D6" s="13" t="s">
        <v>1148</v>
      </c>
      <c r="E6" s="21">
        <v>310</v>
      </c>
      <c r="G6" s="13" t="s">
        <v>1142</v>
      </c>
      <c r="H6" s="6">
        <v>9.8214285714285712</v>
      </c>
      <c r="J6" s="13" t="s">
        <v>1141</v>
      </c>
      <c r="K6" s="6">
        <v>10.445544554455445</v>
      </c>
      <c r="L6" s="21">
        <v>280</v>
      </c>
      <c r="N6" s="13" t="s">
        <v>1140</v>
      </c>
      <c r="O6" s="21">
        <v>26</v>
      </c>
      <c r="P6" s="21">
        <v>64</v>
      </c>
      <c r="Q6" s="21">
        <v>75</v>
      </c>
      <c r="R6" s="21">
        <v>165</v>
      </c>
      <c r="T6" s="13" t="s">
        <v>1134</v>
      </c>
      <c r="U6" s="16">
        <v>28777030.349999998</v>
      </c>
      <c r="W6" s="13" t="s">
        <v>1161</v>
      </c>
      <c r="X6" s="4">
        <v>0.33393884347562824</v>
      </c>
      <c r="Y6" s="4">
        <f>GETPIVOTDATA("Quantity",$W$3,"Payment Method","Transfer")</f>
        <v>0.33393884347562824</v>
      </c>
      <c r="AA6" s="13">
        <v>3</v>
      </c>
      <c r="AB6" s="15">
        <v>111866.54267605631</v>
      </c>
      <c r="AE6" s="13" t="s">
        <v>1190</v>
      </c>
      <c r="AF6" s="16">
        <v>2.5075376884422109</v>
      </c>
    </row>
    <row r="7" spans="1:32" x14ac:dyDescent="0.3">
      <c r="A7" s="13" t="s">
        <v>1157</v>
      </c>
      <c r="B7" s="20">
        <v>19399426.75</v>
      </c>
      <c r="D7" s="13" t="s">
        <v>1147</v>
      </c>
      <c r="E7" s="21">
        <v>313</v>
      </c>
      <c r="G7" s="13" t="s">
        <v>1139</v>
      </c>
      <c r="H7" s="6">
        <v>9.8584905660377355</v>
      </c>
      <c r="J7" s="13" t="s">
        <v>1139</v>
      </c>
      <c r="K7" s="6">
        <v>9.8584905660377355</v>
      </c>
      <c r="L7" s="21">
        <v>303</v>
      </c>
      <c r="N7" s="13" t="s">
        <v>1141</v>
      </c>
      <c r="O7" s="21">
        <v>31</v>
      </c>
      <c r="P7" s="21">
        <v>72</v>
      </c>
      <c r="Q7" s="21">
        <v>102</v>
      </c>
      <c r="R7" s="21">
        <v>205</v>
      </c>
      <c r="T7" s="13" t="s">
        <v>1136</v>
      </c>
      <c r="U7" s="16">
        <v>27758428.75</v>
      </c>
      <c r="W7" s="13" t="s">
        <v>1174</v>
      </c>
      <c r="X7" s="4">
        <v>1</v>
      </c>
      <c r="Y7" s="4"/>
      <c r="AA7" s="13" t="s">
        <v>1174</v>
      </c>
      <c r="AB7" s="15">
        <v>106503.03708370836</v>
      </c>
      <c r="AE7" s="13" t="s">
        <v>1191</v>
      </c>
      <c r="AF7" s="16">
        <v>2.7865168539325844</v>
      </c>
    </row>
    <row r="8" spans="1:32" x14ac:dyDescent="0.3">
      <c r="A8" s="13" t="s">
        <v>1156</v>
      </c>
      <c r="B8" s="20">
        <v>18887529.050000001</v>
      </c>
      <c r="D8" s="13" t="s">
        <v>1145</v>
      </c>
      <c r="E8" s="21">
        <v>320</v>
      </c>
      <c r="G8" s="13" t="s">
        <v>1146</v>
      </c>
      <c r="H8" s="6">
        <v>9.8684210526315788</v>
      </c>
      <c r="J8" s="13" t="s">
        <v>1147</v>
      </c>
      <c r="K8" s="6">
        <v>9.9489795918367339</v>
      </c>
      <c r="L8" s="21">
        <v>313</v>
      </c>
      <c r="N8" s="13" t="s">
        <v>1139</v>
      </c>
      <c r="O8" s="21">
        <v>36</v>
      </c>
      <c r="P8" s="21">
        <v>80</v>
      </c>
      <c r="Q8" s="21">
        <v>90</v>
      </c>
      <c r="R8" s="21">
        <v>206</v>
      </c>
      <c r="T8" s="13" t="s">
        <v>1174</v>
      </c>
      <c r="U8" s="16">
        <v>118324874.19999999</v>
      </c>
      <c r="AE8" s="13" t="s">
        <v>1192</v>
      </c>
      <c r="AF8" s="16">
        <v>2.1933701657458564</v>
      </c>
    </row>
    <row r="9" spans="1:32" x14ac:dyDescent="0.3">
      <c r="A9" s="13" t="s">
        <v>1155</v>
      </c>
      <c r="B9" s="20">
        <v>18822645.800000001</v>
      </c>
      <c r="D9" s="13" t="s">
        <v>1174</v>
      </c>
      <c r="E9" s="21">
        <v>1539</v>
      </c>
      <c r="G9" s="13" t="s">
        <v>1137</v>
      </c>
      <c r="H9" s="6">
        <v>9.9468085106382986</v>
      </c>
      <c r="J9" s="13" t="s">
        <v>1145</v>
      </c>
      <c r="K9" s="6">
        <v>10.961538461538462</v>
      </c>
      <c r="L9" s="21">
        <v>320</v>
      </c>
      <c r="N9" s="13" t="s">
        <v>1147</v>
      </c>
      <c r="O9" s="21">
        <v>19</v>
      </c>
      <c r="P9" s="21">
        <v>86</v>
      </c>
      <c r="Q9" s="21">
        <v>108</v>
      </c>
      <c r="R9" s="21">
        <v>213</v>
      </c>
      <c r="AB9" s="14" t="s">
        <v>1182</v>
      </c>
      <c r="AE9" s="13" t="s">
        <v>1193</v>
      </c>
      <c r="AF9" s="16">
        <v>2.4175824175824174</v>
      </c>
    </row>
    <row r="10" spans="1:32" x14ac:dyDescent="0.3">
      <c r="A10" s="13" t="s">
        <v>1174</v>
      </c>
      <c r="B10" s="20">
        <v>118324874.19999999</v>
      </c>
      <c r="G10" s="13" t="s">
        <v>1148</v>
      </c>
      <c r="H10" s="6">
        <v>9.9479166666666661</v>
      </c>
      <c r="J10" s="13" t="s">
        <v>1143</v>
      </c>
      <c r="K10" s="6">
        <v>10.460526315789474</v>
      </c>
      <c r="L10" s="21">
        <v>221</v>
      </c>
      <c r="N10" s="13" t="s">
        <v>1145</v>
      </c>
      <c r="O10" s="21">
        <v>27</v>
      </c>
      <c r="P10" s="21">
        <v>100</v>
      </c>
      <c r="Q10" s="21">
        <v>81</v>
      </c>
      <c r="R10" s="21">
        <v>208</v>
      </c>
      <c r="T10" s="12" t="s">
        <v>1173</v>
      </c>
      <c r="U10" t="s">
        <v>1180</v>
      </c>
      <c r="W10" s="12" t="s">
        <v>1173</v>
      </c>
      <c r="X10" t="s">
        <v>1181</v>
      </c>
      <c r="AB10">
        <f>CORREL(AA4:AA6,AB4:AB6)</f>
        <v>0.99785181640059462</v>
      </c>
      <c r="AE10" s="13" t="s">
        <v>1187</v>
      </c>
      <c r="AF10" s="16">
        <v>0.5</v>
      </c>
    </row>
    <row r="11" spans="1:32" x14ac:dyDescent="0.3">
      <c r="G11" s="13" t="s">
        <v>1147</v>
      </c>
      <c r="H11" s="6">
        <v>9.9489795918367339</v>
      </c>
      <c r="J11" s="13" t="s">
        <v>1144</v>
      </c>
      <c r="K11" s="6">
        <v>9.6</v>
      </c>
      <c r="L11" s="21">
        <v>293</v>
      </c>
      <c r="N11" s="13" t="s">
        <v>1143</v>
      </c>
      <c r="O11" s="21">
        <v>33</v>
      </c>
      <c r="P11" s="21">
        <v>42</v>
      </c>
      <c r="Q11" s="21">
        <v>66</v>
      </c>
      <c r="R11" s="21">
        <v>141</v>
      </c>
      <c r="T11" s="13" t="s">
        <v>1134</v>
      </c>
      <c r="U11" s="15">
        <v>1522.2222222222222</v>
      </c>
      <c r="W11" s="13" t="s">
        <v>1157</v>
      </c>
      <c r="X11" s="15">
        <v>110224.015625</v>
      </c>
      <c r="Y11" s="15"/>
      <c r="AE11" s="13" t="s">
        <v>1174</v>
      </c>
      <c r="AF11" s="16">
        <v>2.5355535553555355</v>
      </c>
    </row>
    <row r="12" spans="1:32" x14ac:dyDescent="0.3">
      <c r="G12" s="13" t="s">
        <v>1141</v>
      </c>
      <c r="H12" s="6">
        <v>10.445544554455445</v>
      </c>
      <c r="J12" s="13" t="s">
        <v>1148</v>
      </c>
      <c r="K12" s="6">
        <v>9.9479166666666661</v>
      </c>
      <c r="L12" s="21">
        <v>310</v>
      </c>
      <c r="N12" s="13" t="s">
        <v>1144</v>
      </c>
      <c r="O12" s="21">
        <v>35</v>
      </c>
      <c r="P12" s="21">
        <v>68</v>
      </c>
      <c r="Q12" s="21">
        <v>93</v>
      </c>
      <c r="R12" s="21">
        <v>196</v>
      </c>
      <c r="T12" s="13" t="s">
        <v>1136</v>
      </c>
      <c r="U12" s="15">
        <v>1512.5899280575541</v>
      </c>
      <c r="W12" s="13" t="s">
        <v>1154</v>
      </c>
      <c r="X12" s="15">
        <v>108163.95370370374</v>
      </c>
      <c r="Y12" s="15"/>
    </row>
    <row r="13" spans="1:32" x14ac:dyDescent="0.3">
      <c r="G13" s="13" t="s">
        <v>1143</v>
      </c>
      <c r="H13" s="6">
        <v>10.460526315789474</v>
      </c>
      <c r="J13" s="13" t="s">
        <v>1138</v>
      </c>
      <c r="K13" s="6">
        <v>10.698924731182796</v>
      </c>
      <c r="L13" s="21">
        <v>291</v>
      </c>
      <c r="N13" s="13" t="s">
        <v>1148</v>
      </c>
      <c r="O13" s="21">
        <v>33</v>
      </c>
      <c r="P13" s="21">
        <v>50</v>
      </c>
      <c r="Q13" s="21">
        <v>114</v>
      </c>
      <c r="R13" s="21">
        <v>197</v>
      </c>
      <c r="T13" s="13" t="s">
        <v>1133</v>
      </c>
      <c r="U13" s="15">
        <v>1490.8424908424909</v>
      </c>
      <c r="W13" s="13" t="s">
        <v>1152</v>
      </c>
      <c r="X13" s="15">
        <v>107703.80526315789</v>
      </c>
      <c r="Y13" s="15"/>
    </row>
    <row r="14" spans="1:32" x14ac:dyDescent="0.3">
      <c r="G14" s="13" t="s">
        <v>1138</v>
      </c>
      <c r="H14" s="6">
        <v>10.698924731182796</v>
      </c>
      <c r="J14" s="13" t="s">
        <v>1142</v>
      </c>
      <c r="K14" s="6">
        <v>9.8214285714285712</v>
      </c>
      <c r="L14" s="21">
        <v>217</v>
      </c>
      <c r="N14" s="13" t="s">
        <v>1138</v>
      </c>
      <c r="O14" s="21">
        <v>32</v>
      </c>
      <c r="P14" s="21">
        <v>86</v>
      </c>
      <c r="Q14" s="21">
        <v>54</v>
      </c>
      <c r="R14" s="21">
        <v>172</v>
      </c>
      <c r="T14" s="13" t="s">
        <v>1135</v>
      </c>
      <c r="U14" s="15">
        <v>1501.7241379310344</v>
      </c>
      <c r="W14" s="13" t="s">
        <v>1155</v>
      </c>
      <c r="X14" s="15">
        <v>106342.63163841808</v>
      </c>
      <c r="Y14" s="15"/>
    </row>
    <row r="15" spans="1:32" x14ac:dyDescent="0.3">
      <c r="G15" s="13" t="s">
        <v>1145</v>
      </c>
      <c r="H15" s="6">
        <v>10.961538461538462</v>
      </c>
      <c r="J15" s="13" t="s">
        <v>1137</v>
      </c>
      <c r="K15" s="6">
        <v>9.9468085106382986</v>
      </c>
      <c r="L15" s="21">
        <v>281</v>
      </c>
      <c r="N15" s="13" t="s">
        <v>1142</v>
      </c>
      <c r="O15" s="21">
        <v>19</v>
      </c>
      <c r="P15" s="21">
        <v>46</v>
      </c>
      <c r="Q15" s="21">
        <v>126</v>
      </c>
      <c r="R15" s="21">
        <v>191</v>
      </c>
      <c r="T15" s="13" t="s">
        <v>1174</v>
      </c>
      <c r="U15" s="15">
        <v>1506.7506750675068</v>
      </c>
      <c r="W15" s="13" t="s">
        <v>1156</v>
      </c>
      <c r="X15" s="15">
        <v>103777.63214285715</v>
      </c>
      <c r="Y15" s="15"/>
    </row>
    <row r="16" spans="1:32" x14ac:dyDescent="0.3">
      <c r="G16" s="13" t="s">
        <v>1174</v>
      </c>
      <c r="H16" s="6">
        <v>9.9954995499549959</v>
      </c>
      <c r="J16" s="13" t="s">
        <v>1174</v>
      </c>
      <c r="K16" s="6">
        <v>9.9954995499549959</v>
      </c>
      <c r="L16" s="21">
        <v>3303</v>
      </c>
      <c r="N16" s="13" t="s">
        <v>1137</v>
      </c>
      <c r="O16" s="21">
        <v>36</v>
      </c>
      <c r="P16" s="21">
        <v>68</v>
      </c>
      <c r="Q16" s="21">
        <v>72</v>
      </c>
      <c r="R16" s="21">
        <v>176</v>
      </c>
      <c r="W16" s="13" t="s">
        <v>1153</v>
      </c>
      <c r="X16" s="15">
        <v>103089.14898477154</v>
      </c>
      <c r="Y16" s="15"/>
    </row>
    <row r="17" spans="3:35" x14ac:dyDescent="0.3">
      <c r="N17" s="13" t="s">
        <v>1174</v>
      </c>
      <c r="O17" s="21">
        <v>354</v>
      </c>
      <c r="P17" s="21">
        <v>804</v>
      </c>
      <c r="Q17" s="21">
        <v>1065</v>
      </c>
      <c r="R17" s="21">
        <v>2223</v>
      </c>
      <c r="W17" s="13" t="s">
        <v>1174</v>
      </c>
      <c r="X17" s="15">
        <v>106503.03708370846</v>
      </c>
      <c r="Y17" s="15"/>
      <c r="AF17" t="s">
        <v>1197</v>
      </c>
      <c r="AG17" t="s">
        <v>1175</v>
      </c>
      <c r="AH17" t="s">
        <v>1196</v>
      </c>
      <c r="AI17" t="s">
        <v>1198</v>
      </c>
    </row>
    <row r="18" spans="3:35" x14ac:dyDescent="0.3">
      <c r="C18" t="s">
        <v>1184</v>
      </c>
      <c r="AF18" s="16">
        <v>1111</v>
      </c>
      <c r="AG18" s="16">
        <v>118324874.20000005</v>
      </c>
      <c r="AH18" s="16">
        <v>2.5355535553555355</v>
      </c>
      <c r="AI18" s="16">
        <v>106503.03708370842</v>
      </c>
    </row>
    <row r="19" spans="3:35" x14ac:dyDescent="0.3">
      <c r="T19" t="s">
        <v>1194</v>
      </c>
      <c r="W19" s="13" t="s">
        <v>1195</v>
      </c>
    </row>
    <row r="20" spans="3:35" x14ac:dyDescent="0.3">
      <c r="C20" s="12" t="s">
        <v>1173</v>
      </c>
      <c r="D20" t="s">
        <v>1183</v>
      </c>
      <c r="T20" s="12" t="s">
        <v>1173</v>
      </c>
      <c r="U20" t="s">
        <v>1175</v>
      </c>
      <c r="W20" s="12" t="s">
        <v>1173</v>
      </c>
      <c r="X20" t="s">
        <v>1175</v>
      </c>
      <c r="AA20" s="12" t="s">
        <v>1183</v>
      </c>
      <c r="AB20" s="12" t="s">
        <v>1178</v>
      </c>
    </row>
    <row r="21" spans="3:35" x14ac:dyDescent="0.3">
      <c r="C21" s="13" t="s">
        <v>1022</v>
      </c>
      <c r="D21" s="21">
        <v>1</v>
      </c>
      <c r="T21" s="13" t="s">
        <v>1185</v>
      </c>
      <c r="U21" s="15">
        <v>1094051.3500000001</v>
      </c>
      <c r="W21" s="13" t="s">
        <v>1188</v>
      </c>
      <c r="X21" s="16">
        <v>20502066.099999998</v>
      </c>
      <c r="Y21" s="16"/>
      <c r="AA21" s="12" t="s">
        <v>1173</v>
      </c>
      <c r="AB21" t="s">
        <v>1163</v>
      </c>
      <c r="AC21" t="s">
        <v>1162</v>
      </c>
      <c r="AD21" t="s">
        <v>1174</v>
      </c>
      <c r="AF21" t="s">
        <v>1202</v>
      </c>
      <c r="AG21" t="s">
        <v>1199</v>
      </c>
      <c r="AH21" t="s">
        <v>1200</v>
      </c>
      <c r="AI21" t="s">
        <v>1201</v>
      </c>
    </row>
    <row r="22" spans="3:35" x14ac:dyDescent="0.3">
      <c r="C22" s="13" t="s">
        <v>418</v>
      </c>
      <c r="D22" s="21">
        <v>1</v>
      </c>
      <c r="T22" s="13" t="s">
        <v>1186</v>
      </c>
      <c r="U22" s="15">
        <v>117230822.85000004</v>
      </c>
      <c r="W22" s="13" t="s">
        <v>1189</v>
      </c>
      <c r="X22" s="16">
        <v>17845776.450000007</v>
      </c>
      <c r="Y22" s="16"/>
      <c r="AA22" s="13" t="s">
        <v>1188</v>
      </c>
      <c r="AB22" s="16">
        <v>58</v>
      </c>
      <c r="AC22" s="16">
        <v>69</v>
      </c>
      <c r="AD22" s="16">
        <v>127</v>
      </c>
      <c r="AF22">
        <f>GETPIVOTDATA("Count of Order Date",$AF$17)</f>
        <v>1111</v>
      </c>
      <c r="AG22" s="17">
        <f>GETPIVOTDATA("Sum of Total Price (₦)",$AF$17)</f>
        <v>118324874.20000005</v>
      </c>
      <c r="AH22" s="6">
        <f>GETPIVOTDATA("Average of Delivery time",$AF$17)</f>
        <v>2.5355535553555355</v>
      </c>
      <c r="AI22" s="18">
        <f>GETPIVOTDATA("Average of Total Price (₦)2",$AF$17)</f>
        <v>106503.03708370842</v>
      </c>
    </row>
    <row r="23" spans="3:35" x14ac:dyDescent="0.3">
      <c r="C23" s="13" t="s">
        <v>28</v>
      </c>
      <c r="D23" s="21">
        <v>1</v>
      </c>
      <c r="T23" s="13" t="s">
        <v>1174</v>
      </c>
      <c r="U23" s="15">
        <v>118324874.20000003</v>
      </c>
      <c r="W23" s="13" t="s">
        <v>1190</v>
      </c>
      <c r="X23" s="16">
        <v>22879031.949999999</v>
      </c>
      <c r="Y23" s="16"/>
      <c r="AA23" s="13" t="s">
        <v>1189</v>
      </c>
      <c r="AB23" s="16">
        <v>56</v>
      </c>
      <c r="AC23" s="16">
        <v>53</v>
      </c>
      <c r="AD23" s="16">
        <v>109</v>
      </c>
    </row>
    <row r="24" spans="3:35" x14ac:dyDescent="0.3">
      <c r="C24" s="13" t="s">
        <v>135</v>
      </c>
      <c r="D24" s="21">
        <v>1</v>
      </c>
      <c r="W24" s="13" t="s">
        <v>1191</v>
      </c>
      <c r="X24" s="16">
        <v>16962813.899999995</v>
      </c>
      <c r="Y24" s="16"/>
      <c r="AA24" s="13" t="s">
        <v>1190</v>
      </c>
      <c r="AB24" s="16">
        <v>64</v>
      </c>
      <c r="AC24" s="16">
        <v>70</v>
      </c>
      <c r="AD24" s="16">
        <v>134</v>
      </c>
    </row>
    <row r="25" spans="3:35" x14ac:dyDescent="0.3">
      <c r="C25" s="13" t="s">
        <v>70</v>
      </c>
      <c r="D25" s="21">
        <v>1</v>
      </c>
      <c r="W25" s="13" t="s">
        <v>1192</v>
      </c>
      <c r="X25" s="16">
        <v>19098626.65000001</v>
      </c>
      <c r="Y25" s="16"/>
      <c r="AA25" s="13" t="s">
        <v>1191</v>
      </c>
      <c r="AB25" s="16">
        <v>50</v>
      </c>
      <c r="AC25" s="16">
        <v>68</v>
      </c>
      <c r="AD25" s="16">
        <v>118</v>
      </c>
    </row>
    <row r="26" spans="3:35" x14ac:dyDescent="0.3">
      <c r="C26" s="13" t="s">
        <v>35</v>
      </c>
      <c r="D26" s="21">
        <v>1</v>
      </c>
      <c r="W26" s="13" t="s">
        <v>1193</v>
      </c>
      <c r="X26" s="16">
        <v>19942507.799999997</v>
      </c>
      <c r="Y26" s="16"/>
      <c r="AA26" s="13" t="s">
        <v>1192</v>
      </c>
      <c r="AB26" s="16">
        <v>66</v>
      </c>
      <c r="AC26" s="16">
        <v>67</v>
      </c>
      <c r="AD26" s="16">
        <v>133</v>
      </c>
    </row>
    <row r="27" spans="3:35" x14ac:dyDescent="0.3">
      <c r="C27" s="13" t="s">
        <v>836</v>
      </c>
      <c r="D27" s="21">
        <v>1</v>
      </c>
      <c r="W27" s="13" t="s">
        <v>1187</v>
      </c>
      <c r="X27" s="16">
        <v>1094051.3500000001</v>
      </c>
      <c r="Y27" s="16"/>
      <c r="AA27" s="13" t="s">
        <v>1193</v>
      </c>
      <c r="AB27" s="16">
        <v>57</v>
      </c>
      <c r="AC27" s="16">
        <v>70</v>
      </c>
      <c r="AD27" s="16">
        <v>127</v>
      </c>
    </row>
    <row r="28" spans="3:35" x14ac:dyDescent="0.3">
      <c r="C28" s="13" t="s">
        <v>131</v>
      </c>
      <c r="D28" s="21">
        <v>1</v>
      </c>
      <c r="W28" s="13" t="s">
        <v>1174</v>
      </c>
      <c r="X28" s="16">
        <v>118324874.19999999</v>
      </c>
      <c r="Y28" s="16"/>
      <c r="AA28" s="13" t="s">
        <v>1187</v>
      </c>
      <c r="AB28" s="16">
        <v>3</v>
      </c>
      <c r="AC28" s="16">
        <v>5</v>
      </c>
      <c r="AD28" s="16">
        <v>8</v>
      </c>
    </row>
    <row r="29" spans="3:35" x14ac:dyDescent="0.3">
      <c r="C29" s="13" t="s">
        <v>1099</v>
      </c>
      <c r="D29" s="21">
        <v>1</v>
      </c>
      <c r="AA29" s="13" t="s">
        <v>1174</v>
      </c>
      <c r="AB29" s="16">
        <v>354</v>
      </c>
      <c r="AC29" s="16">
        <v>402</v>
      </c>
      <c r="AD29" s="16">
        <v>756</v>
      </c>
    </row>
    <row r="30" spans="3:35" x14ac:dyDescent="0.3">
      <c r="C30" s="13" t="s">
        <v>926</v>
      </c>
      <c r="D30" s="21">
        <v>1</v>
      </c>
    </row>
    <row r="31" spans="3:35" x14ac:dyDescent="0.3">
      <c r="C31" s="13" t="s">
        <v>676</v>
      </c>
      <c r="D31" s="21">
        <v>1</v>
      </c>
    </row>
    <row r="32" spans="3:35" x14ac:dyDescent="0.3">
      <c r="C32" s="13" t="s">
        <v>319</v>
      </c>
      <c r="D32" s="21">
        <v>1</v>
      </c>
    </row>
    <row r="33" spans="3:4" x14ac:dyDescent="0.3">
      <c r="C33" s="13" t="s">
        <v>688</v>
      </c>
      <c r="D33" s="21">
        <v>1</v>
      </c>
    </row>
    <row r="34" spans="3:4" x14ac:dyDescent="0.3">
      <c r="C34" s="13" t="s">
        <v>891</v>
      </c>
      <c r="D34" s="21">
        <v>1</v>
      </c>
    </row>
    <row r="35" spans="3:4" x14ac:dyDescent="0.3">
      <c r="C35" s="13" t="s">
        <v>48</v>
      </c>
      <c r="D35" s="21">
        <v>1</v>
      </c>
    </row>
    <row r="36" spans="3:4" x14ac:dyDescent="0.3">
      <c r="C36" s="13" t="s">
        <v>757</v>
      </c>
      <c r="D36" s="21">
        <v>1</v>
      </c>
    </row>
    <row r="37" spans="3:4" x14ac:dyDescent="0.3">
      <c r="C37" s="13" t="s">
        <v>198</v>
      </c>
      <c r="D37" s="21">
        <v>1</v>
      </c>
    </row>
    <row r="38" spans="3:4" x14ac:dyDescent="0.3">
      <c r="C38" s="13" t="s">
        <v>681</v>
      </c>
      <c r="D38" s="21">
        <v>1</v>
      </c>
    </row>
    <row r="39" spans="3:4" x14ac:dyDescent="0.3">
      <c r="C39" s="13" t="s">
        <v>377</v>
      </c>
      <c r="D39" s="21">
        <v>1</v>
      </c>
    </row>
    <row r="40" spans="3:4" x14ac:dyDescent="0.3">
      <c r="C40" s="13" t="s">
        <v>591</v>
      </c>
      <c r="D40" s="21">
        <v>1</v>
      </c>
    </row>
    <row r="41" spans="3:4" x14ac:dyDescent="0.3">
      <c r="C41" s="13" t="s">
        <v>324</v>
      </c>
      <c r="D41" s="21">
        <v>1</v>
      </c>
    </row>
    <row r="42" spans="3:4" x14ac:dyDescent="0.3">
      <c r="C42" s="13" t="s">
        <v>659</v>
      </c>
      <c r="D42" s="21">
        <v>1</v>
      </c>
    </row>
    <row r="43" spans="3:4" x14ac:dyDescent="0.3">
      <c r="C43" s="13" t="s">
        <v>84</v>
      </c>
      <c r="D43" s="21">
        <v>1</v>
      </c>
    </row>
    <row r="44" spans="3:4" x14ac:dyDescent="0.3">
      <c r="C44" s="13" t="s">
        <v>465</v>
      </c>
      <c r="D44" s="21">
        <v>1</v>
      </c>
    </row>
    <row r="45" spans="3:4" x14ac:dyDescent="0.3">
      <c r="C45" s="13" t="s">
        <v>385</v>
      </c>
      <c r="D45" s="21">
        <v>1</v>
      </c>
    </row>
    <row r="46" spans="3:4" x14ac:dyDescent="0.3">
      <c r="C46" s="13" t="s">
        <v>786</v>
      </c>
      <c r="D46" s="21">
        <v>1</v>
      </c>
    </row>
    <row r="47" spans="3:4" x14ac:dyDescent="0.3">
      <c r="C47" s="13" t="s">
        <v>412</v>
      </c>
      <c r="D47" s="21">
        <v>1</v>
      </c>
    </row>
    <row r="48" spans="3:4" x14ac:dyDescent="0.3">
      <c r="C48" s="13" t="s">
        <v>435</v>
      </c>
      <c r="D48" s="21">
        <v>1</v>
      </c>
    </row>
    <row r="49" spans="3:4" x14ac:dyDescent="0.3">
      <c r="C49" s="13" t="s">
        <v>621</v>
      </c>
      <c r="D49" s="21">
        <v>1</v>
      </c>
    </row>
    <row r="50" spans="3:4" x14ac:dyDescent="0.3">
      <c r="C50" s="13" t="s">
        <v>349</v>
      </c>
      <c r="D50" s="21">
        <v>1</v>
      </c>
    </row>
    <row r="51" spans="3:4" x14ac:dyDescent="0.3">
      <c r="C51" s="13" t="s">
        <v>355</v>
      </c>
      <c r="D51" s="21">
        <v>1</v>
      </c>
    </row>
    <row r="52" spans="3:4" x14ac:dyDescent="0.3">
      <c r="C52" s="13" t="s">
        <v>117</v>
      </c>
      <c r="D52" s="21">
        <v>1</v>
      </c>
    </row>
    <row r="53" spans="3:4" x14ac:dyDescent="0.3">
      <c r="C53" s="13" t="s">
        <v>640</v>
      </c>
      <c r="D53" s="21">
        <v>1</v>
      </c>
    </row>
    <row r="54" spans="3:4" x14ac:dyDescent="0.3">
      <c r="C54" s="13" t="s">
        <v>401</v>
      </c>
      <c r="D54" s="21">
        <v>1</v>
      </c>
    </row>
    <row r="55" spans="3:4" x14ac:dyDescent="0.3">
      <c r="C55" s="13" t="s">
        <v>376</v>
      </c>
      <c r="D55" s="21">
        <v>1</v>
      </c>
    </row>
    <row r="56" spans="3:4" x14ac:dyDescent="0.3">
      <c r="C56" s="13" t="s">
        <v>1087</v>
      </c>
      <c r="D56" s="21">
        <v>1</v>
      </c>
    </row>
    <row r="57" spans="3:4" x14ac:dyDescent="0.3">
      <c r="C57" s="13" t="s">
        <v>40</v>
      </c>
      <c r="D57" s="21">
        <v>1</v>
      </c>
    </row>
    <row r="58" spans="3:4" x14ac:dyDescent="0.3">
      <c r="C58" s="13" t="s">
        <v>918</v>
      </c>
      <c r="D58" s="21">
        <v>1</v>
      </c>
    </row>
    <row r="59" spans="3:4" x14ac:dyDescent="0.3">
      <c r="C59" s="13" t="s">
        <v>721</v>
      </c>
      <c r="D59" s="21">
        <v>1</v>
      </c>
    </row>
    <row r="60" spans="3:4" x14ac:dyDescent="0.3">
      <c r="C60" s="13" t="s">
        <v>717</v>
      </c>
      <c r="D60" s="21">
        <v>1</v>
      </c>
    </row>
    <row r="61" spans="3:4" x14ac:dyDescent="0.3">
      <c r="C61" s="13" t="s">
        <v>973</v>
      </c>
      <c r="D61" s="21">
        <v>1</v>
      </c>
    </row>
    <row r="62" spans="3:4" x14ac:dyDescent="0.3">
      <c r="C62" s="13" t="s">
        <v>213</v>
      </c>
      <c r="D62" s="21">
        <v>1</v>
      </c>
    </row>
    <row r="63" spans="3:4" x14ac:dyDescent="0.3">
      <c r="C63" s="13" t="s">
        <v>1060</v>
      </c>
      <c r="D63" s="21">
        <v>1</v>
      </c>
    </row>
    <row r="64" spans="3:4" x14ac:dyDescent="0.3">
      <c r="C64" s="13" t="s">
        <v>1013</v>
      </c>
      <c r="D64" s="21">
        <v>1</v>
      </c>
    </row>
    <row r="65" spans="3:4" x14ac:dyDescent="0.3">
      <c r="C65" s="13" t="s">
        <v>581</v>
      </c>
      <c r="D65" s="21">
        <v>1</v>
      </c>
    </row>
    <row r="66" spans="3:4" x14ac:dyDescent="0.3">
      <c r="C66" s="13" t="s">
        <v>353</v>
      </c>
      <c r="D66" s="21">
        <v>1</v>
      </c>
    </row>
    <row r="67" spans="3:4" x14ac:dyDescent="0.3">
      <c r="C67" s="13" t="s">
        <v>1055</v>
      </c>
      <c r="D67" s="21">
        <v>1</v>
      </c>
    </row>
    <row r="68" spans="3:4" x14ac:dyDescent="0.3">
      <c r="C68" s="13" t="s">
        <v>535</v>
      </c>
      <c r="D68" s="21">
        <v>1</v>
      </c>
    </row>
    <row r="69" spans="3:4" x14ac:dyDescent="0.3">
      <c r="C69" s="13" t="s">
        <v>818</v>
      </c>
      <c r="D69" s="21">
        <v>1</v>
      </c>
    </row>
    <row r="70" spans="3:4" x14ac:dyDescent="0.3">
      <c r="C70" s="13" t="s">
        <v>123</v>
      </c>
      <c r="D70" s="21">
        <v>1</v>
      </c>
    </row>
    <row r="71" spans="3:4" x14ac:dyDescent="0.3">
      <c r="C71" s="13" t="s">
        <v>671</v>
      </c>
      <c r="D71" s="21">
        <v>1</v>
      </c>
    </row>
    <row r="72" spans="3:4" x14ac:dyDescent="0.3">
      <c r="C72" s="13" t="s">
        <v>169</v>
      </c>
      <c r="D72" s="21">
        <v>1</v>
      </c>
    </row>
    <row r="73" spans="3:4" x14ac:dyDescent="0.3">
      <c r="C73" s="13" t="s">
        <v>284</v>
      </c>
      <c r="D73" s="21">
        <v>1</v>
      </c>
    </row>
    <row r="74" spans="3:4" x14ac:dyDescent="0.3">
      <c r="C74" s="13" t="s">
        <v>405</v>
      </c>
      <c r="D74" s="21">
        <v>1</v>
      </c>
    </row>
    <row r="75" spans="3:4" x14ac:dyDescent="0.3">
      <c r="C75" s="13" t="s">
        <v>186</v>
      </c>
      <c r="D75" s="21">
        <v>1</v>
      </c>
    </row>
    <row r="76" spans="3:4" x14ac:dyDescent="0.3">
      <c r="C76" s="13" t="s">
        <v>1005</v>
      </c>
      <c r="D76" s="21">
        <v>1</v>
      </c>
    </row>
    <row r="77" spans="3:4" x14ac:dyDescent="0.3">
      <c r="C77" s="13" t="s">
        <v>953</v>
      </c>
      <c r="D77" s="21">
        <v>1</v>
      </c>
    </row>
    <row r="78" spans="3:4" x14ac:dyDescent="0.3">
      <c r="C78" s="13" t="s">
        <v>246</v>
      </c>
      <c r="D78" s="21">
        <v>1</v>
      </c>
    </row>
    <row r="79" spans="3:4" x14ac:dyDescent="0.3">
      <c r="C79" s="13" t="s">
        <v>590</v>
      </c>
      <c r="D79" s="21">
        <v>1</v>
      </c>
    </row>
    <row r="80" spans="3:4" x14ac:dyDescent="0.3">
      <c r="C80" s="13" t="s">
        <v>667</v>
      </c>
      <c r="D80" s="21">
        <v>1</v>
      </c>
    </row>
    <row r="81" spans="3:4" x14ac:dyDescent="0.3">
      <c r="C81" s="13" t="s">
        <v>1083</v>
      </c>
      <c r="D81" s="21">
        <v>1</v>
      </c>
    </row>
    <row r="82" spans="3:4" x14ac:dyDescent="0.3">
      <c r="C82" s="13" t="s">
        <v>389</v>
      </c>
      <c r="D82" s="21">
        <v>1</v>
      </c>
    </row>
    <row r="83" spans="3:4" x14ac:dyDescent="0.3">
      <c r="C83" s="13" t="s">
        <v>908</v>
      </c>
      <c r="D83" s="21">
        <v>1</v>
      </c>
    </row>
    <row r="84" spans="3:4" x14ac:dyDescent="0.3">
      <c r="C84" s="13" t="s">
        <v>1017</v>
      </c>
      <c r="D84" s="21">
        <v>1</v>
      </c>
    </row>
    <row r="85" spans="3:4" x14ac:dyDescent="0.3">
      <c r="C85" s="13" t="s">
        <v>80</v>
      </c>
      <c r="D85" s="21">
        <v>1</v>
      </c>
    </row>
    <row r="86" spans="3:4" x14ac:dyDescent="0.3">
      <c r="C86" s="13" t="s">
        <v>457</v>
      </c>
      <c r="D86" s="21">
        <v>1</v>
      </c>
    </row>
    <row r="87" spans="3:4" x14ac:dyDescent="0.3">
      <c r="C87" s="13" t="s">
        <v>478</v>
      </c>
      <c r="D87" s="21">
        <v>1</v>
      </c>
    </row>
    <row r="88" spans="3:4" x14ac:dyDescent="0.3">
      <c r="C88" s="13" t="s">
        <v>395</v>
      </c>
      <c r="D88" s="21">
        <v>1</v>
      </c>
    </row>
    <row r="89" spans="3:4" x14ac:dyDescent="0.3">
      <c r="C89" s="13" t="s">
        <v>152</v>
      </c>
      <c r="D89" s="21">
        <v>1</v>
      </c>
    </row>
    <row r="90" spans="3:4" x14ac:dyDescent="0.3">
      <c r="C90" s="13" t="s">
        <v>977</v>
      </c>
      <c r="D90" s="21">
        <v>1</v>
      </c>
    </row>
    <row r="91" spans="3:4" x14ac:dyDescent="0.3">
      <c r="C91" s="13" t="s">
        <v>108</v>
      </c>
      <c r="D91" s="21">
        <v>1</v>
      </c>
    </row>
    <row r="92" spans="3:4" x14ac:dyDescent="0.3">
      <c r="C92" s="13" t="s">
        <v>479</v>
      </c>
      <c r="D92" s="21">
        <v>1</v>
      </c>
    </row>
    <row r="93" spans="3:4" x14ac:dyDescent="0.3">
      <c r="C93" s="13" t="s">
        <v>896</v>
      </c>
      <c r="D93" s="21">
        <v>1</v>
      </c>
    </row>
    <row r="94" spans="3:4" x14ac:dyDescent="0.3">
      <c r="C94" s="13" t="s">
        <v>209</v>
      </c>
      <c r="D94" s="21">
        <v>1</v>
      </c>
    </row>
    <row r="95" spans="3:4" x14ac:dyDescent="0.3">
      <c r="C95" s="13" t="s">
        <v>759</v>
      </c>
      <c r="D95" s="21">
        <v>1</v>
      </c>
    </row>
    <row r="96" spans="3:4" x14ac:dyDescent="0.3">
      <c r="C96" s="13" t="s">
        <v>57</v>
      </c>
      <c r="D96" s="21">
        <v>1</v>
      </c>
    </row>
    <row r="97" spans="3:4" x14ac:dyDescent="0.3">
      <c r="C97" s="13" t="s">
        <v>1086</v>
      </c>
      <c r="D97" s="21">
        <v>1</v>
      </c>
    </row>
    <row r="98" spans="3:4" x14ac:dyDescent="0.3">
      <c r="C98" s="13" t="s">
        <v>498</v>
      </c>
      <c r="D98" s="21">
        <v>1</v>
      </c>
    </row>
    <row r="99" spans="3:4" x14ac:dyDescent="0.3">
      <c r="C99" s="13" t="s">
        <v>568</v>
      </c>
      <c r="D99" s="21">
        <v>1</v>
      </c>
    </row>
    <row r="100" spans="3:4" x14ac:dyDescent="0.3">
      <c r="C100" s="13" t="s">
        <v>842</v>
      </c>
      <c r="D100" s="21">
        <v>1</v>
      </c>
    </row>
    <row r="101" spans="3:4" x14ac:dyDescent="0.3">
      <c r="C101" s="13" t="s">
        <v>578</v>
      </c>
      <c r="D101" s="21">
        <v>1</v>
      </c>
    </row>
    <row r="102" spans="3:4" x14ac:dyDescent="0.3">
      <c r="C102" s="13" t="s">
        <v>927</v>
      </c>
      <c r="D102" s="21">
        <v>1</v>
      </c>
    </row>
    <row r="103" spans="3:4" x14ac:dyDescent="0.3">
      <c r="C103" s="13" t="s">
        <v>514</v>
      </c>
      <c r="D103" s="21">
        <v>1</v>
      </c>
    </row>
    <row r="104" spans="3:4" x14ac:dyDescent="0.3">
      <c r="C104" s="13" t="s">
        <v>199</v>
      </c>
      <c r="D104" s="21">
        <v>1</v>
      </c>
    </row>
    <row r="105" spans="3:4" x14ac:dyDescent="0.3">
      <c r="C105" s="13" t="s">
        <v>579</v>
      </c>
      <c r="D105" s="21">
        <v>1</v>
      </c>
    </row>
    <row r="106" spans="3:4" x14ac:dyDescent="0.3">
      <c r="C106" s="13" t="s">
        <v>881</v>
      </c>
      <c r="D106" s="21">
        <v>1</v>
      </c>
    </row>
    <row r="107" spans="3:4" x14ac:dyDescent="0.3">
      <c r="C107" s="13" t="s">
        <v>196</v>
      </c>
      <c r="D107" s="21">
        <v>1</v>
      </c>
    </row>
    <row r="108" spans="3:4" x14ac:dyDescent="0.3">
      <c r="C108" s="13" t="s">
        <v>318</v>
      </c>
      <c r="D108" s="21">
        <v>1</v>
      </c>
    </row>
    <row r="109" spans="3:4" x14ac:dyDescent="0.3">
      <c r="C109" s="13" t="s">
        <v>153</v>
      </c>
      <c r="D109" s="21">
        <v>1</v>
      </c>
    </row>
    <row r="110" spans="3:4" x14ac:dyDescent="0.3">
      <c r="C110" s="13" t="s">
        <v>460</v>
      </c>
      <c r="D110" s="21">
        <v>1</v>
      </c>
    </row>
    <row r="111" spans="3:4" x14ac:dyDescent="0.3">
      <c r="C111" s="13" t="s">
        <v>892</v>
      </c>
      <c r="D111" s="21">
        <v>1</v>
      </c>
    </row>
    <row r="112" spans="3:4" x14ac:dyDescent="0.3">
      <c r="C112" s="13" t="s">
        <v>614</v>
      </c>
      <c r="D112" s="21">
        <v>1</v>
      </c>
    </row>
    <row r="113" spans="3:4" x14ac:dyDescent="0.3">
      <c r="C113" s="13" t="s">
        <v>1108</v>
      </c>
      <c r="D113" s="21">
        <v>1</v>
      </c>
    </row>
    <row r="114" spans="3:4" x14ac:dyDescent="0.3">
      <c r="C114" s="13" t="s">
        <v>224</v>
      </c>
      <c r="D114" s="21">
        <v>1</v>
      </c>
    </row>
    <row r="115" spans="3:4" x14ac:dyDescent="0.3">
      <c r="C115" s="13" t="s">
        <v>65</v>
      </c>
      <c r="D115" s="21">
        <v>1</v>
      </c>
    </row>
    <row r="116" spans="3:4" x14ac:dyDescent="0.3">
      <c r="C116" s="13" t="s">
        <v>390</v>
      </c>
      <c r="D116" s="21">
        <v>1</v>
      </c>
    </row>
    <row r="117" spans="3:4" x14ac:dyDescent="0.3">
      <c r="C117" s="13" t="s">
        <v>1024</v>
      </c>
      <c r="D117" s="21">
        <v>1</v>
      </c>
    </row>
    <row r="118" spans="3:4" x14ac:dyDescent="0.3">
      <c r="C118" s="13" t="s">
        <v>188</v>
      </c>
      <c r="D118" s="21">
        <v>1</v>
      </c>
    </row>
    <row r="119" spans="3:4" x14ac:dyDescent="0.3">
      <c r="C119" s="13" t="s">
        <v>749</v>
      </c>
      <c r="D119" s="21">
        <v>1</v>
      </c>
    </row>
    <row r="120" spans="3:4" x14ac:dyDescent="0.3">
      <c r="C120" s="13" t="s">
        <v>523</v>
      </c>
      <c r="D120" s="21">
        <v>1</v>
      </c>
    </row>
    <row r="121" spans="3:4" x14ac:dyDescent="0.3">
      <c r="C121" s="13" t="s">
        <v>58</v>
      </c>
      <c r="D121" s="21">
        <v>1</v>
      </c>
    </row>
    <row r="122" spans="3:4" x14ac:dyDescent="0.3">
      <c r="C122" s="13" t="s">
        <v>1112</v>
      </c>
      <c r="D122" s="21">
        <v>1</v>
      </c>
    </row>
    <row r="123" spans="3:4" x14ac:dyDescent="0.3">
      <c r="C123" s="13" t="s">
        <v>951</v>
      </c>
      <c r="D123" s="21">
        <v>1</v>
      </c>
    </row>
    <row r="124" spans="3:4" x14ac:dyDescent="0.3">
      <c r="C124" s="13" t="s">
        <v>1050</v>
      </c>
      <c r="D124" s="21">
        <v>1</v>
      </c>
    </row>
    <row r="125" spans="3:4" x14ac:dyDescent="0.3">
      <c r="C125" s="13" t="s">
        <v>993</v>
      </c>
      <c r="D125" s="21">
        <v>1</v>
      </c>
    </row>
    <row r="126" spans="3:4" x14ac:dyDescent="0.3">
      <c r="C126" s="13" t="s">
        <v>508</v>
      </c>
      <c r="D126" s="21">
        <v>1</v>
      </c>
    </row>
    <row r="127" spans="3:4" x14ac:dyDescent="0.3">
      <c r="C127" s="13" t="s">
        <v>967</v>
      </c>
      <c r="D127" s="21">
        <v>1</v>
      </c>
    </row>
    <row r="128" spans="3:4" x14ac:dyDescent="0.3">
      <c r="C128" s="13" t="s">
        <v>189</v>
      </c>
      <c r="D128" s="21">
        <v>1</v>
      </c>
    </row>
    <row r="129" spans="3:4" x14ac:dyDescent="0.3">
      <c r="C129" s="13" t="s">
        <v>611</v>
      </c>
      <c r="D129" s="21">
        <v>1</v>
      </c>
    </row>
    <row r="130" spans="3:4" x14ac:dyDescent="0.3">
      <c r="C130" s="13" t="s">
        <v>883</v>
      </c>
      <c r="D130" s="21">
        <v>1</v>
      </c>
    </row>
    <row r="131" spans="3:4" x14ac:dyDescent="0.3">
      <c r="C131" s="13" t="s">
        <v>155</v>
      </c>
      <c r="D131" s="21">
        <v>1</v>
      </c>
    </row>
    <row r="132" spans="3:4" x14ac:dyDescent="0.3">
      <c r="C132" s="13" t="s">
        <v>724</v>
      </c>
      <c r="D132" s="21">
        <v>1</v>
      </c>
    </row>
    <row r="133" spans="3:4" x14ac:dyDescent="0.3">
      <c r="C133" s="13" t="s">
        <v>206</v>
      </c>
      <c r="D133" s="21">
        <v>1</v>
      </c>
    </row>
    <row r="134" spans="3:4" x14ac:dyDescent="0.3">
      <c r="C134" s="13" t="s">
        <v>929</v>
      </c>
      <c r="D134" s="21">
        <v>1</v>
      </c>
    </row>
    <row r="135" spans="3:4" x14ac:dyDescent="0.3">
      <c r="C135" s="13" t="s">
        <v>360</v>
      </c>
      <c r="D135" s="21">
        <v>1</v>
      </c>
    </row>
    <row r="136" spans="3:4" x14ac:dyDescent="0.3">
      <c r="C136" s="13" t="s">
        <v>710</v>
      </c>
      <c r="D136" s="21">
        <v>1</v>
      </c>
    </row>
    <row r="137" spans="3:4" x14ac:dyDescent="0.3">
      <c r="C137" s="13" t="s">
        <v>210</v>
      </c>
      <c r="D137" s="21">
        <v>1</v>
      </c>
    </row>
    <row r="138" spans="3:4" x14ac:dyDescent="0.3">
      <c r="C138" s="13" t="s">
        <v>733</v>
      </c>
      <c r="D138" s="21">
        <v>1</v>
      </c>
    </row>
    <row r="139" spans="3:4" x14ac:dyDescent="0.3">
      <c r="C139" s="13" t="s">
        <v>1051</v>
      </c>
      <c r="D139" s="21">
        <v>1</v>
      </c>
    </row>
    <row r="140" spans="3:4" x14ac:dyDescent="0.3">
      <c r="C140" s="13" t="s">
        <v>1093</v>
      </c>
      <c r="D140" s="21">
        <v>1</v>
      </c>
    </row>
    <row r="141" spans="3:4" x14ac:dyDescent="0.3">
      <c r="C141" s="13" t="s">
        <v>559</v>
      </c>
      <c r="D141" s="21">
        <v>1</v>
      </c>
    </row>
    <row r="142" spans="3:4" x14ac:dyDescent="0.3">
      <c r="C142" s="13" t="s">
        <v>770</v>
      </c>
      <c r="D142" s="21">
        <v>1</v>
      </c>
    </row>
    <row r="143" spans="3:4" x14ac:dyDescent="0.3">
      <c r="C143" s="13" t="s">
        <v>115</v>
      </c>
      <c r="D143" s="21">
        <v>1</v>
      </c>
    </row>
    <row r="144" spans="3:4" x14ac:dyDescent="0.3">
      <c r="C144" s="13" t="s">
        <v>266</v>
      </c>
      <c r="D144" s="21">
        <v>1</v>
      </c>
    </row>
    <row r="145" spans="3:4" x14ac:dyDescent="0.3">
      <c r="C145" s="13" t="s">
        <v>1036</v>
      </c>
      <c r="D145" s="21">
        <v>1</v>
      </c>
    </row>
    <row r="146" spans="3:4" x14ac:dyDescent="0.3">
      <c r="C146" s="13" t="s">
        <v>311</v>
      </c>
      <c r="D146" s="21">
        <v>1</v>
      </c>
    </row>
    <row r="147" spans="3:4" x14ac:dyDescent="0.3">
      <c r="C147" s="13" t="s">
        <v>633</v>
      </c>
      <c r="D147" s="21">
        <v>1</v>
      </c>
    </row>
    <row r="148" spans="3:4" x14ac:dyDescent="0.3">
      <c r="C148" s="13" t="s">
        <v>1073</v>
      </c>
      <c r="D148" s="21">
        <v>1</v>
      </c>
    </row>
    <row r="149" spans="3:4" x14ac:dyDescent="0.3">
      <c r="C149" s="13" t="s">
        <v>20</v>
      </c>
      <c r="D149" s="21">
        <v>1</v>
      </c>
    </row>
    <row r="150" spans="3:4" x14ac:dyDescent="0.3">
      <c r="C150" s="13" t="s">
        <v>81</v>
      </c>
      <c r="D150" s="21">
        <v>1</v>
      </c>
    </row>
    <row r="151" spans="3:4" x14ac:dyDescent="0.3">
      <c r="C151" s="13" t="s">
        <v>925</v>
      </c>
      <c r="D151" s="21">
        <v>1</v>
      </c>
    </row>
    <row r="152" spans="3:4" x14ac:dyDescent="0.3">
      <c r="C152" s="13" t="s">
        <v>484</v>
      </c>
      <c r="D152" s="21">
        <v>1</v>
      </c>
    </row>
    <row r="153" spans="3:4" x14ac:dyDescent="0.3">
      <c r="C153" s="13" t="s">
        <v>650</v>
      </c>
      <c r="D153" s="21">
        <v>1</v>
      </c>
    </row>
    <row r="154" spans="3:4" x14ac:dyDescent="0.3">
      <c r="C154" s="13" t="s">
        <v>253</v>
      </c>
      <c r="D154" s="21">
        <v>1</v>
      </c>
    </row>
    <row r="155" spans="3:4" x14ac:dyDescent="0.3">
      <c r="C155" s="13" t="s">
        <v>944</v>
      </c>
      <c r="D155" s="21">
        <v>1</v>
      </c>
    </row>
    <row r="156" spans="3:4" x14ac:dyDescent="0.3">
      <c r="C156" s="13" t="s">
        <v>589</v>
      </c>
      <c r="D156" s="21">
        <v>1</v>
      </c>
    </row>
    <row r="157" spans="3:4" x14ac:dyDescent="0.3">
      <c r="C157" s="13" t="s">
        <v>219</v>
      </c>
      <c r="D157" s="21">
        <v>1</v>
      </c>
    </row>
    <row r="158" spans="3:4" x14ac:dyDescent="0.3">
      <c r="C158" s="13" t="s">
        <v>588</v>
      </c>
      <c r="D158" s="21">
        <v>1</v>
      </c>
    </row>
    <row r="159" spans="3:4" x14ac:dyDescent="0.3">
      <c r="C159" s="13" t="s">
        <v>834</v>
      </c>
      <c r="D159" s="21">
        <v>1</v>
      </c>
    </row>
    <row r="160" spans="3:4" x14ac:dyDescent="0.3">
      <c r="C160" s="13" t="s">
        <v>780</v>
      </c>
      <c r="D160" s="21">
        <v>1</v>
      </c>
    </row>
    <row r="161" spans="3:4" x14ac:dyDescent="0.3">
      <c r="C161" s="13" t="s">
        <v>709</v>
      </c>
      <c r="D161" s="21">
        <v>1</v>
      </c>
    </row>
    <row r="162" spans="3:4" x14ac:dyDescent="0.3">
      <c r="C162" s="13" t="s">
        <v>467</v>
      </c>
      <c r="D162" s="21">
        <v>1</v>
      </c>
    </row>
    <row r="163" spans="3:4" x14ac:dyDescent="0.3">
      <c r="C163" s="13" t="s">
        <v>406</v>
      </c>
      <c r="D163" s="21">
        <v>1</v>
      </c>
    </row>
    <row r="164" spans="3:4" x14ac:dyDescent="0.3">
      <c r="C164" s="13" t="s">
        <v>151</v>
      </c>
      <c r="D164" s="21">
        <v>1</v>
      </c>
    </row>
    <row r="165" spans="3:4" x14ac:dyDescent="0.3">
      <c r="C165" s="13" t="s">
        <v>156</v>
      </c>
      <c r="D165" s="21">
        <v>1</v>
      </c>
    </row>
    <row r="166" spans="3:4" x14ac:dyDescent="0.3">
      <c r="C166" s="13" t="s">
        <v>806</v>
      </c>
      <c r="D166" s="21">
        <v>1</v>
      </c>
    </row>
    <row r="167" spans="3:4" x14ac:dyDescent="0.3">
      <c r="C167" s="13" t="s">
        <v>654</v>
      </c>
      <c r="D167" s="21">
        <v>1</v>
      </c>
    </row>
    <row r="168" spans="3:4" x14ac:dyDescent="0.3">
      <c r="C168" s="13" t="s">
        <v>713</v>
      </c>
      <c r="D168" s="21">
        <v>1</v>
      </c>
    </row>
    <row r="169" spans="3:4" x14ac:dyDescent="0.3">
      <c r="C169" s="13" t="s">
        <v>310</v>
      </c>
      <c r="D169" s="21">
        <v>1</v>
      </c>
    </row>
    <row r="170" spans="3:4" x14ac:dyDescent="0.3">
      <c r="C170" s="13" t="s">
        <v>741</v>
      </c>
      <c r="D170" s="21">
        <v>1</v>
      </c>
    </row>
    <row r="171" spans="3:4" x14ac:dyDescent="0.3">
      <c r="C171" s="13" t="s">
        <v>686</v>
      </c>
      <c r="D171" s="21">
        <v>1</v>
      </c>
    </row>
    <row r="172" spans="3:4" x14ac:dyDescent="0.3">
      <c r="C172" s="13" t="s">
        <v>102</v>
      </c>
      <c r="D172" s="21">
        <v>1</v>
      </c>
    </row>
    <row r="173" spans="3:4" x14ac:dyDescent="0.3">
      <c r="C173" s="13" t="s">
        <v>507</v>
      </c>
      <c r="D173" s="21">
        <v>1</v>
      </c>
    </row>
    <row r="174" spans="3:4" x14ac:dyDescent="0.3">
      <c r="C174" s="13" t="s">
        <v>525</v>
      </c>
      <c r="D174" s="21">
        <v>1</v>
      </c>
    </row>
    <row r="175" spans="3:4" x14ac:dyDescent="0.3">
      <c r="C175" s="13" t="s">
        <v>551</v>
      </c>
      <c r="D175" s="21">
        <v>1</v>
      </c>
    </row>
    <row r="176" spans="3:4" x14ac:dyDescent="0.3">
      <c r="C176" s="13" t="s">
        <v>233</v>
      </c>
      <c r="D176" s="21">
        <v>1</v>
      </c>
    </row>
    <row r="177" spans="3:4" x14ac:dyDescent="0.3">
      <c r="C177" s="13" t="s">
        <v>970</v>
      </c>
      <c r="D177" s="21">
        <v>2</v>
      </c>
    </row>
    <row r="178" spans="3:4" x14ac:dyDescent="0.3">
      <c r="C178" s="13" t="s">
        <v>1047</v>
      </c>
      <c r="D178" s="21">
        <v>1</v>
      </c>
    </row>
    <row r="179" spans="3:4" x14ac:dyDescent="0.3">
      <c r="C179" s="13" t="s">
        <v>1082</v>
      </c>
      <c r="D179" s="21">
        <v>1</v>
      </c>
    </row>
    <row r="180" spans="3:4" x14ac:dyDescent="0.3">
      <c r="C180" s="13" t="s">
        <v>231</v>
      </c>
      <c r="D180" s="21">
        <v>1</v>
      </c>
    </row>
    <row r="181" spans="3:4" x14ac:dyDescent="0.3">
      <c r="C181" s="13" t="s">
        <v>294</v>
      </c>
      <c r="D181" s="21">
        <v>1</v>
      </c>
    </row>
    <row r="182" spans="3:4" x14ac:dyDescent="0.3">
      <c r="C182" s="13" t="s">
        <v>263</v>
      </c>
      <c r="D182" s="21">
        <v>1</v>
      </c>
    </row>
    <row r="183" spans="3:4" x14ac:dyDescent="0.3">
      <c r="C183" s="13" t="s">
        <v>1095</v>
      </c>
      <c r="D183" s="21">
        <v>1</v>
      </c>
    </row>
    <row r="184" spans="3:4" x14ac:dyDescent="0.3">
      <c r="C184" s="13" t="s">
        <v>103</v>
      </c>
      <c r="D184" s="21">
        <v>1</v>
      </c>
    </row>
    <row r="185" spans="3:4" x14ac:dyDescent="0.3">
      <c r="C185" s="13" t="s">
        <v>178</v>
      </c>
      <c r="D185" s="21">
        <v>1</v>
      </c>
    </row>
    <row r="186" spans="3:4" x14ac:dyDescent="0.3">
      <c r="C186" s="13" t="s">
        <v>782</v>
      </c>
      <c r="D186" s="21">
        <v>1</v>
      </c>
    </row>
    <row r="187" spans="3:4" x14ac:dyDescent="0.3">
      <c r="C187" s="13" t="s">
        <v>736</v>
      </c>
      <c r="D187" s="21">
        <v>1</v>
      </c>
    </row>
    <row r="188" spans="3:4" x14ac:dyDescent="0.3">
      <c r="C188" s="13" t="s">
        <v>905</v>
      </c>
      <c r="D188" s="21">
        <v>1</v>
      </c>
    </row>
    <row r="189" spans="3:4" x14ac:dyDescent="0.3">
      <c r="C189" s="13" t="s">
        <v>872</v>
      </c>
      <c r="D189" s="21">
        <v>1</v>
      </c>
    </row>
    <row r="190" spans="3:4" x14ac:dyDescent="0.3">
      <c r="C190" s="13" t="s">
        <v>296</v>
      </c>
      <c r="D190" s="21">
        <v>1</v>
      </c>
    </row>
    <row r="191" spans="3:4" x14ac:dyDescent="0.3">
      <c r="C191" s="13" t="s">
        <v>557</v>
      </c>
      <c r="D191" s="21">
        <v>1</v>
      </c>
    </row>
    <row r="192" spans="3:4" x14ac:dyDescent="0.3">
      <c r="C192" s="13" t="s">
        <v>916</v>
      </c>
      <c r="D192" s="21">
        <v>1</v>
      </c>
    </row>
    <row r="193" spans="3:4" x14ac:dyDescent="0.3">
      <c r="C193" s="13" t="s">
        <v>783</v>
      </c>
      <c r="D193" s="21">
        <v>1</v>
      </c>
    </row>
    <row r="194" spans="3:4" x14ac:dyDescent="0.3">
      <c r="C194" s="13" t="s">
        <v>118</v>
      </c>
      <c r="D194" s="21">
        <v>1</v>
      </c>
    </row>
    <row r="195" spans="3:4" x14ac:dyDescent="0.3">
      <c r="C195" s="13" t="s">
        <v>1106</v>
      </c>
      <c r="D195" s="21">
        <v>1</v>
      </c>
    </row>
    <row r="196" spans="3:4" x14ac:dyDescent="0.3">
      <c r="C196" s="13" t="s">
        <v>413</v>
      </c>
      <c r="D196" s="21">
        <v>1</v>
      </c>
    </row>
    <row r="197" spans="3:4" x14ac:dyDescent="0.3">
      <c r="C197" s="13" t="s">
        <v>804</v>
      </c>
      <c r="D197" s="21">
        <v>1</v>
      </c>
    </row>
    <row r="198" spans="3:4" x14ac:dyDescent="0.3">
      <c r="C198" s="13" t="s">
        <v>531</v>
      </c>
      <c r="D198" s="21">
        <v>1</v>
      </c>
    </row>
    <row r="199" spans="3:4" x14ac:dyDescent="0.3">
      <c r="C199" s="13" t="s">
        <v>593</v>
      </c>
      <c r="D199" s="21">
        <v>1</v>
      </c>
    </row>
    <row r="200" spans="3:4" x14ac:dyDescent="0.3">
      <c r="C200" s="13" t="s">
        <v>965</v>
      </c>
      <c r="D200" s="21">
        <v>1</v>
      </c>
    </row>
    <row r="201" spans="3:4" x14ac:dyDescent="0.3">
      <c r="C201" s="13" t="s">
        <v>67</v>
      </c>
      <c r="D201" s="21">
        <v>1</v>
      </c>
    </row>
    <row r="202" spans="3:4" x14ac:dyDescent="0.3">
      <c r="C202" s="13" t="s">
        <v>854</v>
      </c>
      <c r="D202" s="21">
        <v>1</v>
      </c>
    </row>
    <row r="203" spans="3:4" x14ac:dyDescent="0.3">
      <c r="C203" s="13" t="s">
        <v>549</v>
      </c>
      <c r="D203" s="21">
        <v>1</v>
      </c>
    </row>
    <row r="204" spans="3:4" x14ac:dyDescent="0.3">
      <c r="C204" s="13" t="s">
        <v>981</v>
      </c>
      <c r="D204" s="21">
        <v>1</v>
      </c>
    </row>
    <row r="205" spans="3:4" x14ac:dyDescent="0.3">
      <c r="C205" s="13" t="s">
        <v>617</v>
      </c>
      <c r="D205" s="21">
        <v>1</v>
      </c>
    </row>
    <row r="206" spans="3:4" x14ac:dyDescent="0.3">
      <c r="C206" s="13" t="s">
        <v>1043</v>
      </c>
      <c r="D206" s="21">
        <v>1</v>
      </c>
    </row>
    <row r="207" spans="3:4" x14ac:dyDescent="0.3">
      <c r="C207" s="13" t="s">
        <v>473</v>
      </c>
      <c r="D207" s="21">
        <v>1</v>
      </c>
    </row>
    <row r="208" spans="3:4" x14ac:dyDescent="0.3">
      <c r="C208" s="13" t="s">
        <v>810</v>
      </c>
      <c r="D208" s="21">
        <v>1</v>
      </c>
    </row>
    <row r="209" spans="3:4" x14ac:dyDescent="0.3">
      <c r="C209" s="13" t="s">
        <v>800</v>
      </c>
      <c r="D209" s="21">
        <v>1</v>
      </c>
    </row>
    <row r="210" spans="3:4" x14ac:dyDescent="0.3">
      <c r="C210" s="13" t="s">
        <v>682</v>
      </c>
      <c r="D210" s="21">
        <v>1</v>
      </c>
    </row>
    <row r="211" spans="3:4" x14ac:dyDescent="0.3">
      <c r="C211" s="13" t="s">
        <v>555</v>
      </c>
      <c r="D211" s="21">
        <v>1</v>
      </c>
    </row>
    <row r="212" spans="3:4" x14ac:dyDescent="0.3">
      <c r="C212" s="13" t="s">
        <v>869</v>
      </c>
      <c r="D212" s="21">
        <v>1</v>
      </c>
    </row>
    <row r="213" spans="3:4" x14ac:dyDescent="0.3">
      <c r="C213" s="13" t="s">
        <v>303</v>
      </c>
      <c r="D213" s="21">
        <v>1</v>
      </c>
    </row>
    <row r="214" spans="3:4" x14ac:dyDescent="0.3">
      <c r="C214" s="13" t="s">
        <v>485</v>
      </c>
      <c r="D214" s="21">
        <v>1</v>
      </c>
    </row>
    <row r="215" spans="3:4" x14ac:dyDescent="0.3">
      <c r="C215" s="13" t="s">
        <v>723</v>
      </c>
      <c r="D215" s="21">
        <v>1</v>
      </c>
    </row>
    <row r="216" spans="3:4" x14ac:dyDescent="0.3">
      <c r="C216" s="13" t="s">
        <v>162</v>
      </c>
      <c r="D216" s="21">
        <v>1</v>
      </c>
    </row>
    <row r="217" spans="3:4" x14ac:dyDescent="0.3">
      <c r="C217" s="13" t="s">
        <v>583</v>
      </c>
      <c r="D217" s="21">
        <v>1</v>
      </c>
    </row>
    <row r="218" spans="3:4" x14ac:dyDescent="0.3">
      <c r="C218" s="13" t="s">
        <v>317</v>
      </c>
      <c r="D218" s="21">
        <v>1</v>
      </c>
    </row>
    <row r="219" spans="3:4" x14ac:dyDescent="0.3">
      <c r="C219" s="13" t="s">
        <v>212</v>
      </c>
      <c r="D219" s="21">
        <v>1</v>
      </c>
    </row>
    <row r="220" spans="3:4" x14ac:dyDescent="0.3">
      <c r="C220" s="13" t="s">
        <v>982</v>
      </c>
      <c r="D220" s="21">
        <v>1</v>
      </c>
    </row>
    <row r="221" spans="3:4" x14ac:dyDescent="0.3">
      <c r="C221" s="13" t="s">
        <v>130</v>
      </c>
      <c r="D221" s="21">
        <v>1</v>
      </c>
    </row>
    <row r="222" spans="3:4" x14ac:dyDescent="0.3">
      <c r="C222" s="13" t="s">
        <v>257</v>
      </c>
      <c r="D222" s="21">
        <v>1</v>
      </c>
    </row>
    <row r="223" spans="3:4" x14ac:dyDescent="0.3">
      <c r="C223" s="13" t="s">
        <v>1041</v>
      </c>
      <c r="D223" s="21">
        <v>1</v>
      </c>
    </row>
    <row r="224" spans="3:4" x14ac:dyDescent="0.3">
      <c r="C224" s="13" t="s">
        <v>1102</v>
      </c>
      <c r="D224" s="21">
        <v>1</v>
      </c>
    </row>
    <row r="225" spans="3:4" x14ac:dyDescent="0.3">
      <c r="C225" s="13" t="s">
        <v>802</v>
      </c>
      <c r="D225" s="21">
        <v>1</v>
      </c>
    </row>
    <row r="226" spans="3:4" x14ac:dyDescent="0.3">
      <c r="C226" s="13" t="s">
        <v>342</v>
      </c>
      <c r="D226" s="21">
        <v>1</v>
      </c>
    </row>
    <row r="227" spans="3:4" x14ac:dyDescent="0.3">
      <c r="C227" s="13" t="s">
        <v>1059</v>
      </c>
      <c r="D227" s="21">
        <v>1</v>
      </c>
    </row>
    <row r="228" spans="3:4" x14ac:dyDescent="0.3">
      <c r="C228" s="13" t="s">
        <v>701</v>
      </c>
      <c r="D228" s="21">
        <v>1</v>
      </c>
    </row>
    <row r="229" spans="3:4" x14ac:dyDescent="0.3">
      <c r="C229" s="13" t="s">
        <v>499</v>
      </c>
      <c r="D229" s="21">
        <v>1</v>
      </c>
    </row>
    <row r="230" spans="3:4" x14ac:dyDescent="0.3">
      <c r="C230" s="13" t="s">
        <v>237</v>
      </c>
      <c r="D230" s="21">
        <v>1</v>
      </c>
    </row>
    <row r="231" spans="3:4" x14ac:dyDescent="0.3">
      <c r="C231" s="13" t="s">
        <v>683</v>
      </c>
      <c r="D231" s="21">
        <v>1</v>
      </c>
    </row>
    <row r="232" spans="3:4" x14ac:dyDescent="0.3">
      <c r="C232" s="13" t="s">
        <v>204</v>
      </c>
      <c r="D232" s="21">
        <v>1</v>
      </c>
    </row>
    <row r="233" spans="3:4" x14ac:dyDescent="0.3">
      <c r="C233" s="13" t="s">
        <v>870</v>
      </c>
      <c r="D233" s="21">
        <v>1</v>
      </c>
    </row>
    <row r="234" spans="3:4" x14ac:dyDescent="0.3">
      <c r="C234" s="13" t="s">
        <v>132</v>
      </c>
      <c r="D234" s="21">
        <v>1</v>
      </c>
    </row>
    <row r="235" spans="3:4" x14ac:dyDescent="0.3">
      <c r="C235" s="13" t="s">
        <v>840</v>
      </c>
      <c r="D235" s="21">
        <v>1</v>
      </c>
    </row>
    <row r="236" spans="3:4" x14ac:dyDescent="0.3">
      <c r="C236" s="13" t="s">
        <v>157</v>
      </c>
      <c r="D236" s="21">
        <v>1</v>
      </c>
    </row>
    <row r="237" spans="3:4" x14ac:dyDescent="0.3">
      <c r="C237" s="13" t="s">
        <v>660</v>
      </c>
      <c r="D237" s="21">
        <v>1</v>
      </c>
    </row>
    <row r="238" spans="3:4" x14ac:dyDescent="0.3">
      <c r="C238" s="13" t="s">
        <v>715</v>
      </c>
      <c r="D238" s="21">
        <v>1</v>
      </c>
    </row>
    <row r="239" spans="3:4" x14ac:dyDescent="0.3">
      <c r="C239" s="13" t="s">
        <v>821</v>
      </c>
      <c r="D239" s="21">
        <v>1</v>
      </c>
    </row>
    <row r="240" spans="3:4" x14ac:dyDescent="0.3">
      <c r="C240" s="13" t="s">
        <v>411</v>
      </c>
      <c r="D240" s="21">
        <v>1</v>
      </c>
    </row>
    <row r="241" spans="3:4" x14ac:dyDescent="0.3">
      <c r="C241" s="13" t="s">
        <v>396</v>
      </c>
      <c r="D241" s="21">
        <v>1</v>
      </c>
    </row>
    <row r="242" spans="3:4" x14ac:dyDescent="0.3">
      <c r="C242" s="13" t="s">
        <v>596</v>
      </c>
      <c r="D242" s="21">
        <v>1</v>
      </c>
    </row>
    <row r="243" spans="3:4" x14ac:dyDescent="0.3">
      <c r="C243" s="13" t="s">
        <v>133</v>
      </c>
      <c r="D243" s="21">
        <v>1</v>
      </c>
    </row>
    <row r="244" spans="3:4" x14ac:dyDescent="0.3">
      <c r="C244" s="13" t="s">
        <v>426</v>
      </c>
      <c r="D244" s="21">
        <v>1</v>
      </c>
    </row>
    <row r="245" spans="3:4" x14ac:dyDescent="0.3">
      <c r="C245" s="13" t="s">
        <v>374</v>
      </c>
      <c r="D245" s="21">
        <v>1</v>
      </c>
    </row>
    <row r="246" spans="3:4" x14ac:dyDescent="0.3">
      <c r="C246" s="13" t="s">
        <v>76</v>
      </c>
      <c r="D246" s="21">
        <v>1</v>
      </c>
    </row>
    <row r="247" spans="3:4" x14ac:dyDescent="0.3">
      <c r="C247" s="13" t="s">
        <v>960</v>
      </c>
      <c r="D247" s="21">
        <v>1</v>
      </c>
    </row>
    <row r="248" spans="3:4" x14ac:dyDescent="0.3">
      <c r="C248" s="13" t="s">
        <v>975</v>
      </c>
      <c r="D248" s="21">
        <v>1</v>
      </c>
    </row>
    <row r="249" spans="3:4" x14ac:dyDescent="0.3">
      <c r="C249" s="13" t="s">
        <v>407</v>
      </c>
      <c r="D249" s="21">
        <v>1</v>
      </c>
    </row>
    <row r="250" spans="3:4" x14ac:dyDescent="0.3">
      <c r="C250" s="13" t="s">
        <v>585</v>
      </c>
      <c r="D250" s="21">
        <v>1</v>
      </c>
    </row>
    <row r="251" spans="3:4" x14ac:dyDescent="0.3">
      <c r="C251" s="13" t="s">
        <v>833</v>
      </c>
      <c r="D251" s="21">
        <v>1</v>
      </c>
    </row>
    <row r="252" spans="3:4" x14ac:dyDescent="0.3">
      <c r="C252" s="13" t="s">
        <v>228</v>
      </c>
      <c r="D252" s="21">
        <v>1</v>
      </c>
    </row>
    <row r="253" spans="3:4" x14ac:dyDescent="0.3">
      <c r="C253" s="13" t="s">
        <v>942</v>
      </c>
      <c r="D253" s="21">
        <v>1</v>
      </c>
    </row>
    <row r="254" spans="3:4" x14ac:dyDescent="0.3">
      <c r="C254" s="13" t="s">
        <v>52</v>
      </c>
      <c r="D254" s="21">
        <v>1</v>
      </c>
    </row>
    <row r="255" spans="3:4" x14ac:dyDescent="0.3">
      <c r="C255" s="13" t="s">
        <v>775</v>
      </c>
      <c r="D255" s="21">
        <v>1</v>
      </c>
    </row>
    <row r="256" spans="3:4" x14ac:dyDescent="0.3">
      <c r="C256" s="13" t="s">
        <v>223</v>
      </c>
      <c r="D256" s="21">
        <v>1</v>
      </c>
    </row>
    <row r="257" spans="3:4" x14ac:dyDescent="0.3">
      <c r="C257" s="13" t="s">
        <v>391</v>
      </c>
      <c r="D257" s="21">
        <v>1</v>
      </c>
    </row>
    <row r="258" spans="3:4" x14ac:dyDescent="0.3">
      <c r="C258" s="13" t="s">
        <v>675</v>
      </c>
      <c r="D258" s="21">
        <v>1</v>
      </c>
    </row>
    <row r="259" spans="3:4" x14ac:dyDescent="0.3">
      <c r="C259" s="13" t="s">
        <v>1077</v>
      </c>
      <c r="D259" s="21">
        <v>1</v>
      </c>
    </row>
    <row r="260" spans="3:4" x14ac:dyDescent="0.3">
      <c r="C260" s="13" t="s">
        <v>787</v>
      </c>
      <c r="D260" s="21">
        <v>1</v>
      </c>
    </row>
    <row r="261" spans="3:4" x14ac:dyDescent="0.3">
      <c r="C261" s="13" t="s">
        <v>1071</v>
      </c>
      <c r="D261" s="21">
        <v>1</v>
      </c>
    </row>
    <row r="262" spans="3:4" x14ac:dyDescent="0.3">
      <c r="C262" s="13" t="s">
        <v>343</v>
      </c>
      <c r="D262" s="21">
        <v>1</v>
      </c>
    </row>
    <row r="263" spans="3:4" x14ac:dyDescent="0.3">
      <c r="C263" s="13" t="s">
        <v>513</v>
      </c>
      <c r="D263" s="21">
        <v>1</v>
      </c>
    </row>
    <row r="264" spans="3:4" x14ac:dyDescent="0.3">
      <c r="C264" s="13" t="s">
        <v>54</v>
      </c>
      <c r="D264" s="21">
        <v>1</v>
      </c>
    </row>
    <row r="265" spans="3:4" x14ac:dyDescent="0.3">
      <c r="C265" s="13" t="s">
        <v>287</v>
      </c>
      <c r="D265" s="21">
        <v>1</v>
      </c>
    </row>
    <row r="266" spans="3:4" x14ac:dyDescent="0.3">
      <c r="C266" s="13" t="s">
        <v>516</v>
      </c>
      <c r="D266" s="21">
        <v>1</v>
      </c>
    </row>
    <row r="267" spans="3:4" x14ac:dyDescent="0.3">
      <c r="C267" s="13" t="s">
        <v>616</v>
      </c>
      <c r="D267" s="21">
        <v>1</v>
      </c>
    </row>
    <row r="268" spans="3:4" x14ac:dyDescent="0.3">
      <c r="C268" s="13" t="s">
        <v>330</v>
      </c>
      <c r="D268" s="21">
        <v>1</v>
      </c>
    </row>
    <row r="269" spans="3:4" x14ac:dyDescent="0.3">
      <c r="C269" s="13" t="s">
        <v>858</v>
      </c>
      <c r="D269" s="21">
        <v>1</v>
      </c>
    </row>
    <row r="270" spans="3:4" x14ac:dyDescent="0.3">
      <c r="C270" s="13" t="s">
        <v>36</v>
      </c>
      <c r="D270" s="21">
        <v>1</v>
      </c>
    </row>
    <row r="271" spans="3:4" x14ac:dyDescent="0.3">
      <c r="C271" s="13" t="s">
        <v>712</v>
      </c>
      <c r="D271" s="21">
        <v>1</v>
      </c>
    </row>
    <row r="272" spans="3:4" x14ac:dyDescent="0.3">
      <c r="C272" s="13" t="s">
        <v>1097</v>
      </c>
      <c r="D272" s="21">
        <v>1</v>
      </c>
    </row>
    <row r="273" spans="3:4" x14ac:dyDescent="0.3">
      <c r="C273" s="13" t="s">
        <v>755</v>
      </c>
      <c r="D273" s="21">
        <v>1</v>
      </c>
    </row>
    <row r="274" spans="3:4" x14ac:dyDescent="0.3">
      <c r="C274" s="13" t="s">
        <v>201</v>
      </c>
      <c r="D274" s="21">
        <v>1</v>
      </c>
    </row>
    <row r="275" spans="3:4" x14ac:dyDescent="0.3">
      <c r="C275" s="13" t="s">
        <v>838</v>
      </c>
      <c r="D275" s="21">
        <v>1</v>
      </c>
    </row>
    <row r="276" spans="3:4" x14ac:dyDescent="0.3">
      <c r="C276" s="13" t="s">
        <v>702</v>
      </c>
      <c r="D276" s="21">
        <v>1</v>
      </c>
    </row>
    <row r="277" spans="3:4" x14ac:dyDescent="0.3">
      <c r="C277" s="13" t="s">
        <v>358</v>
      </c>
      <c r="D277" s="21">
        <v>1</v>
      </c>
    </row>
    <row r="278" spans="3:4" x14ac:dyDescent="0.3">
      <c r="C278" s="13" t="s">
        <v>1061</v>
      </c>
      <c r="D278" s="21">
        <v>1</v>
      </c>
    </row>
    <row r="279" spans="3:4" x14ac:dyDescent="0.3">
      <c r="C279" s="13" t="s">
        <v>59</v>
      </c>
      <c r="D279" s="21">
        <v>1</v>
      </c>
    </row>
    <row r="280" spans="3:4" x14ac:dyDescent="0.3">
      <c r="C280" s="13" t="s">
        <v>839</v>
      </c>
      <c r="D280" s="21">
        <v>1</v>
      </c>
    </row>
    <row r="281" spans="3:4" x14ac:dyDescent="0.3">
      <c r="C281" s="13" t="s">
        <v>875</v>
      </c>
      <c r="D281" s="21">
        <v>1</v>
      </c>
    </row>
    <row r="282" spans="3:4" x14ac:dyDescent="0.3">
      <c r="C282" s="13" t="s">
        <v>75</v>
      </c>
      <c r="D282" s="21">
        <v>1</v>
      </c>
    </row>
    <row r="283" spans="3:4" x14ac:dyDescent="0.3">
      <c r="C283" s="13" t="s">
        <v>365</v>
      </c>
      <c r="D283" s="21">
        <v>1</v>
      </c>
    </row>
    <row r="284" spans="3:4" x14ac:dyDescent="0.3">
      <c r="C284" s="13" t="s">
        <v>747</v>
      </c>
      <c r="D284" s="21">
        <v>1</v>
      </c>
    </row>
    <row r="285" spans="3:4" x14ac:dyDescent="0.3">
      <c r="C285" s="13" t="s">
        <v>90</v>
      </c>
      <c r="D285" s="21">
        <v>2</v>
      </c>
    </row>
    <row r="286" spans="3:4" x14ac:dyDescent="0.3">
      <c r="C286" s="13" t="s">
        <v>211</v>
      </c>
      <c r="D286" s="21">
        <v>1</v>
      </c>
    </row>
    <row r="287" spans="3:4" x14ac:dyDescent="0.3">
      <c r="C287" s="13" t="s">
        <v>1069</v>
      </c>
      <c r="D287" s="21">
        <v>1</v>
      </c>
    </row>
    <row r="288" spans="3:4" x14ac:dyDescent="0.3">
      <c r="C288" s="13" t="s">
        <v>240</v>
      </c>
      <c r="D288" s="21">
        <v>1</v>
      </c>
    </row>
    <row r="289" spans="3:4" x14ac:dyDescent="0.3">
      <c r="C289" s="13" t="s">
        <v>398</v>
      </c>
      <c r="D289" s="21">
        <v>1</v>
      </c>
    </row>
    <row r="290" spans="3:4" x14ac:dyDescent="0.3">
      <c r="C290" s="13" t="s">
        <v>919</v>
      </c>
      <c r="D290" s="21">
        <v>1</v>
      </c>
    </row>
    <row r="291" spans="3:4" x14ac:dyDescent="0.3">
      <c r="C291" s="13" t="s">
        <v>563</v>
      </c>
      <c r="D291" s="21">
        <v>1</v>
      </c>
    </row>
    <row r="292" spans="3:4" x14ac:dyDescent="0.3">
      <c r="C292" s="13" t="s">
        <v>338</v>
      </c>
      <c r="D292" s="21">
        <v>1</v>
      </c>
    </row>
    <row r="293" spans="3:4" x14ac:dyDescent="0.3">
      <c r="C293" s="13" t="s">
        <v>902</v>
      </c>
      <c r="D293" s="21">
        <v>1</v>
      </c>
    </row>
    <row r="294" spans="3:4" x14ac:dyDescent="0.3">
      <c r="C294" s="13" t="s">
        <v>533</v>
      </c>
      <c r="D294" s="21">
        <v>1</v>
      </c>
    </row>
    <row r="295" spans="3:4" x14ac:dyDescent="0.3">
      <c r="C295" s="13" t="s">
        <v>503</v>
      </c>
      <c r="D295" s="21">
        <v>1</v>
      </c>
    </row>
    <row r="296" spans="3:4" x14ac:dyDescent="0.3">
      <c r="C296" s="13" t="s">
        <v>987</v>
      </c>
      <c r="D296" s="21">
        <v>1</v>
      </c>
    </row>
    <row r="297" spans="3:4" x14ac:dyDescent="0.3">
      <c r="C297" s="13" t="s">
        <v>1064</v>
      </c>
      <c r="D297" s="21">
        <v>1</v>
      </c>
    </row>
    <row r="298" spans="3:4" x14ac:dyDescent="0.3">
      <c r="C298" s="13" t="s">
        <v>885</v>
      </c>
      <c r="D298" s="21">
        <v>1</v>
      </c>
    </row>
    <row r="299" spans="3:4" x14ac:dyDescent="0.3">
      <c r="C299" s="13" t="s">
        <v>793</v>
      </c>
      <c r="D299" s="21">
        <v>1</v>
      </c>
    </row>
    <row r="300" spans="3:4" x14ac:dyDescent="0.3">
      <c r="C300" s="13" t="s">
        <v>402</v>
      </c>
      <c r="D300" s="21">
        <v>1</v>
      </c>
    </row>
    <row r="301" spans="3:4" x14ac:dyDescent="0.3">
      <c r="C301" s="13" t="s">
        <v>229</v>
      </c>
      <c r="D301" s="21">
        <v>1</v>
      </c>
    </row>
    <row r="302" spans="3:4" x14ac:dyDescent="0.3">
      <c r="C302" s="13" t="s">
        <v>77</v>
      </c>
      <c r="D302" s="21">
        <v>1</v>
      </c>
    </row>
    <row r="303" spans="3:4" x14ac:dyDescent="0.3">
      <c r="C303" s="13" t="s">
        <v>685</v>
      </c>
      <c r="D303" s="21">
        <v>1</v>
      </c>
    </row>
    <row r="304" spans="3:4" x14ac:dyDescent="0.3">
      <c r="C304" s="13" t="s">
        <v>295</v>
      </c>
      <c r="D304" s="21">
        <v>1</v>
      </c>
    </row>
    <row r="305" spans="3:4" x14ac:dyDescent="0.3">
      <c r="C305" s="13" t="s">
        <v>1020</v>
      </c>
      <c r="D305" s="21">
        <v>1</v>
      </c>
    </row>
    <row r="306" spans="3:4" x14ac:dyDescent="0.3">
      <c r="C306" s="13" t="s">
        <v>78</v>
      </c>
      <c r="D306" s="21">
        <v>1</v>
      </c>
    </row>
    <row r="307" spans="3:4" x14ac:dyDescent="0.3">
      <c r="C307" s="13" t="s">
        <v>1092</v>
      </c>
      <c r="D307" s="21">
        <v>1</v>
      </c>
    </row>
    <row r="308" spans="3:4" x14ac:dyDescent="0.3">
      <c r="C308" s="13" t="s">
        <v>421</v>
      </c>
      <c r="D308" s="21">
        <v>1</v>
      </c>
    </row>
    <row r="309" spans="3:4" x14ac:dyDescent="0.3">
      <c r="C309" s="13" t="s">
        <v>245</v>
      </c>
      <c r="D309" s="21">
        <v>1</v>
      </c>
    </row>
    <row r="310" spans="3:4" x14ac:dyDescent="0.3">
      <c r="C310" s="13" t="s">
        <v>1004</v>
      </c>
      <c r="D310" s="21">
        <v>1</v>
      </c>
    </row>
    <row r="311" spans="3:4" x14ac:dyDescent="0.3">
      <c r="C311" s="13" t="s">
        <v>520</v>
      </c>
      <c r="D311" s="21">
        <v>1</v>
      </c>
    </row>
    <row r="312" spans="3:4" x14ac:dyDescent="0.3">
      <c r="C312" s="13" t="s">
        <v>456</v>
      </c>
      <c r="D312" s="21">
        <v>1</v>
      </c>
    </row>
    <row r="313" spans="3:4" x14ac:dyDescent="0.3">
      <c r="C313" s="13" t="s">
        <v>545</v>
      </c>
      <c r="D313" s="21">
        <v>1</v>
      </c>
    </row>
    <row r="314" spans="3:4" x14ac:dyDescent="0.3">
      <c r="C314" s="13" t="s">
        <v>907</v>
      </c>
      <c r="D314" s="21">
        <v>1</v>
      </c>
    </row>
    <row r="315" spans="3:4" x14ac:dyDescent="0.3">
      <c r="C315" s="13" t="s">
        <v>1085</v>
      </c>
      <c r="D315" s="21">
        <v>1</v>
      </c>
    </row>
    <row r="316" spans="3:4" x14ac:dyDescent="0.3">
      <c r="C316" s="13" t="s">
        <v>635</v>
      </c>
      <c r="D316" s="21">
        <v>1</v>
      </c>
    </row>
    <row r="317" spans="3:4" x14ac:dyDescent="0.3">
      <c r="C317" s="13" t="s">
        <v>539</v>
      </c>
      <c r="D317" s="21">
        <v>1</v>
      </c>
    </row>
    <row r="318" spans="3:4" x14ac:dyDescent="0.3">
      <c r="C318" s="13" t="s">
        <v>848</v>
      </c>
      <c r="D318" s="21">
        <v>1</v>
      </c>
    </row>
    <row r="319" spans="3:4" x14ac:dyDescent="0.3">
      <c r="C319" s="13" t="s">
        <v>309</v>
      </c>
      <c r="D319" s="21">
        <v>1</v>
      </c>
    </row>
    <row r="320" spans="3:4" x14ac:dyDescent="0.3">
      <c r="C320" s="13" t="s">
        <v>913</v>
      </c>
      <c r="D320" s="21">
        <v>1</v>
      </c>
    </row>
    <row r="321" spans="3:4" x14ac:dyDescent="0.3">
      <c r="C321" s="13" t="s">
        <v>378</v>
      </c>
      <c r="D321" s="21">
        <v>1</v>
      </c>
    </row>
    <row r="322" spans="3:4" x14ac:dyDescent="0.3">
      <c r="C322" s="13" t="s">
        <v>276</v>
      </c>
      <c r="D322" s="21">
        <v>1</v>
      </c>
    </row>
    <row r="323" spans="3:4" x14ac:dyDescent="0.3">
      <c r="C323" s="13" t="s">
        <v>778</v>
      </c>
      <c r="D323" s="21">
        <v>1</v>
      </c>
    </row>
    <row r="324" spans="3:4" x14ac:dyDescent="0.3">
      <c r="C324" s="13" t="s">
        <v>556</v>
      </c>
      <c r="D324" s="21">
        <v>1</v>
      </c>
    </row>
    <row r="325" spans="3:4" x14ac:dyDescent="0.3">
      <c r="C325" s="13" t="s">
        <v>729</v>
      </c>
      <c r="D325" s="21">
        <v>1</v>
      </c>
    </row>
    <row r="326" spans="3:4" x14ac:dyDescent="0.3">
      <c r="C326" s="13" t="s">
        <v>969</v>
      </c>
      <c r="D326" s="21">
        <v>1</v>
      </c>
    </row>
    <row r="327" spans="3:4" x14ac:dyDescent="0.3">
      <c r="C327" s="13" t="s">
        <v>602</v>
      </c>
      <c r="D327" s="21">
        <v>1</v>
      </c>
    </row>
    <row r="328" spans="3:4" x14ac:dyDescent="0.3">
      <c r="C328" s="13" t="s">
        <v>158</v>
      </c>
      <c r="D328" s="21">
        <v>1</v>
      </c>
    </row>
    <row r="329" spans="3:4" x14ac:dyDescent="0.3">
      <c r="C329" s="13" t="s">
        <v>779</v>
      </c>
      <c r="D329" s="21">
        <v>1</v>
      </c>
    </row>
    <row r="330" spans="3:4" x14ac:dyDescent="0.3">
      <c r="C330" s="13" t="s">
        <v>439</v>
      </c>
      <c r="D330" s="21">
        <v>1</v>
      </c>
    </row>
    <row r="331" spans="3:4" x14ac:dyDescent="0.3">
      <c r="C331" s="13" t="s">
        <v>1078</v>
      </c>
      <c r="D331" s="21">
        <v>1</v>
      </c>
    </row>
    <row r="332" spans="3:4" x14ac:dyDescent="0.3">
      <c r="C332" s="13" t="s">
        <v>567</v>
      </c>
      <c r="D332" s="21">
        <v>1</v>
      </c>
    </row>
    <row r="333" spans="3:4" x14ac:dyDescent="0.3">
      <c r="C333" s="13" t="s">
        <v>509</v>
      </c>
      <c r="D333" s="21">
        <v>1</v>
      </c>
    </row>
    <row r="334" spans="3:4" x14ac:dyDescent="0.3">
      <c r="C334" s="13" t="s">
        <v>699</v>
      </c>
      <c r="D334" s="21">
        <v>1</v>
      </c>
    </row>
    <row r="335" spans="3:4" x14ac:dyDescent="0.3">
      <c r="C335" s="13" t="s">
        <v>707</v>
      </c>
      <c r="D335" s="21">
        <v>1</v>
      </c>
    </row>
    <row r="336" spans="3:4" x14ac:dyDescent="0.3">
      <c r="C336" s="13" t="s">
        <v>315</v>
      </c>
      <c r="D336" s="21">
        <v>1</v>
      </c>
    </row>
    <row r="337" spans="3:4" x14ac:dyDescent="0.3">
      <c r="C337" s="13" t="s">
        <v>173</v>
      </c>
      <c r="D337" s="21">
        <v>1</v>
      </c>
    </row>
    <row r="338" spans="3:4" x14ac:dyDescent="0.3">
      <c r="C338" s="13" t="s">
        <v>116</v>
      </c>
      <c r="D338" s="21">
        <v>1</v>
      </c>
    </row>
    <row r="339" spans="3:4" x14ac:dyDescent="0.3">
      <c r="C339" s="13" t="s">
        <v>1045</v>
      </c>
      <c r="D339" s="21">
        <v>1</v>
      </c>
    </row>
    <row r="340" spans="3:4" x14ac:dyDescent="0.3">
      <c r="C340" s="13" t="s">
        <v>483</v>
      </c>
      <c r="D340" s="21">
        <v>1</v>
      </c>
    </row>
    <row r="341" spans="3:4" x14ac:dyDescent="0.3">
      <c r="C341" s="13" t="s">
        <v>32</v>
      </c>
      <c r="D341" s="21">
        <v>1</v>
      </c>
    </row>
    <row r="342" spans="3:4" x14ac:dyDescent="0.3">
      <c r="C342" s="13" t="s">
        <v>693</v>
      </c>
      <c r="D342" s="21">
        <v>1</v>
      </c>
    </row>
    <row r="343" spans="3:4" x14ac:dyDescent="0.3">
      <c r="C343" s="13" t="s">
        <v>282</v>
      </c>
      <c r="D343" s="21">
        <v>1</v>
      </c>
    </row>
    <row r="344" spans="3:4" x14ac:dyDescent="0.3">
      <c r="C344" s="13" t="s">
        <v>888</v>
      </c>
      <c r="D344" s="21">
        <v>1</v>
      </c>
    </row>
    <row r="345" spans="3:4" x14ac:dyDescent="0.3">
      <c r="C345" s="13" t="s">
        <v>183</v>
      </c>
      <c r="D345" s="21">
        <v>1</v>
      </c>
    </row>
    <row r="346" spans="3:4" x14ac:dyDescent="0.3">
      <c r="C346" s="13" t="s">
        <v>382</v>
      </c>
      <c r="D346" s="21">
        <v>1</v>
      </c>
    </row>
    <row r="347" spans="3:4" x14ac:dyDescent="0.3">
      <c r="C347" s="13" t="s">
        <v>429</v>
      </c>
      <c r="D347" s="21">
        <v>1</v>
      </c>
    </row>
    <row r="348" spans="3:4" x14ac:dyDescent="0.3">
      <c r="C348" s="13" t="s">
        <v>1012</v>
      </c>
      <c r="D348" s="21">
        <v>1</v>
      </c>
    </row>
    <row r="349" spans="3:4" x14ac:dyDescent="0.3">
      <c r="C349" s="13" t="s">
        <v>696</v>
      </c>
      <c r="D349" s="21">
        <v>1</v>
      </c>
    </row>
    <row r="350" spans="3:4" x14ac:dyDescent="0.3">
      <c r="C350" s="13" t="s">
        <v>1098</v>
      </c>
      <c r="D350" s="21">
        <v>1</v>
      </c>
    </row>
    <row r="351" spans="3:4" x14ac:dyDescent="0.3">
      <c r="C351" s="13" t="s">
        <v>408</v>
      </c>
      <c r="D351" s="21">
        <v>1</v>
      </c>
    </row>
    <row r="352" spans="3:4" x14ac:dyDescent="0.3">
      <c r="C352" s="13" t="s">
        <v>261</v>
      </c>
      <c r="D352" s="21">
        <v>1</v>
      </c>
    </row>
    <row r="353" spans="3:4" x14ac:dyDescent="0.3">
      <c r="C353" s="13" t="s">
        <v>694</v>
      </c>
      <c r="D353" s="21">
        <v>1</v>
      </c>
    </row>
    <row r="354" spans="3:4" x14ac:dyDescent="0.3">
      <c r="C354" s="13" t="s">
        <v>884</v>
      </c>
      <c r="D354" s="21">
        <v>1</v>
      </c>
    </row>
    <row r="355" spans="3:4" x14ac:dyDescent="0.3">
      <c r="C355" s="13" t="s">
        <v>497</v>
      </c>
      <c r="D355" s="21">
        <v>1</v>
      </c>
    </row>
    <row r="356" spans="3:4" x14ac:dyDescent="0.3">
      <c r="C356" s="13" t="s">
        <v>187</v>
      </c>
      <c r="D356" s="21">
        <v>1</v>
      </c>
    </row>
    <row r="357" spans="3:4" x14ac:dyDescent="0.3">
      <c r="C357" s="13" t="s">
        <v>1046</v>
      </c>
      <c r="D357" s="21">
        <v>1</v>
      </c>
    </row>
    <row r="358" spans="3:4" x14ac:dyDescent="0.3">
      <c r="C358" s="13" t="s">
        <v>101</v>
      </c>
      <c r="D358" s="21">
        <v>1</v>
      </c>
    </row>
    <row r="359" spans="3:4" x14ac:dyDescent="0.3">
      <c r="C359" s="13" t="s">
        <v>603</v>
      </c>
      <c r="D359" s="21">
        <v>1</v>
      </c>
    </row>
    <row r="360" spans="3:4" x14ac:dyDescent="0.3">
      <c r="C360" s="13" t="s">
        <v>662</v>
      </c>
      <c r="D360" s="21">
        <v>1</v>
      </c>
    </row>
    <row r="361" spans="3:4" x14ac:dyDescent="0.3">
      <c r="C361" s="13" t="s">
        <v>742</v>
      </c>
      <c r="D361" s="21">
        <v>1</v>
      </c>
    </row>
    <row r="362" spans="3:4" x14ac:dyDescent="0.3">
      <c r="C362" s="13" t="s">
        <v>844</v>
      </c>
      <c r="D362" s="21">
        <v>1</v>
      </c>
    </row>
    <row r="363" spans="3:4" x14ac:dyDescent="0.3">
      <c r="C363" s="13" t="s">
        <v>1104</v>
      </c>
      <c r="D363" s="21">
        <v>1</v>
      </c>
    </row>
    <row r="364" spans="3:4" x14ac:dyDescent="0.3">
      <c r="C364" s="13" t="s">
        <v>658</v>
      </c>
      <c r="D364" s="21">
        <v>1</v>
      </c>
    </row>
    <row r="365" spans="3:4" x14ac:dyDescent="0.3">
      <c r="C365" s="13" t="s">
        <v>763</v>
      </c>
      <c r="D365" s="21">
        <v>1</v>
      </c>
    </row>
    <row r="366" spans="3:4" x14ac:dyDescent="0.3">
      <c r="C366" s="13" t="s">
        <v>335</v>
      </c>
      <c r="D366" s="21">
        <v>1</v>
      </c>
    </row>
    <row r="367" spans="3:4" x14ac:dyDescent="0.3">
      <c r="C367" s="13" t="s">
        <v>637</v>
      </c>
      <c r="D367" s="21">
        <v>1</v>
      </c>
    </row>
    <row r="368" spans="3:4" x14ac:dyDescent="0.3">
      <c r="C368" s="13" t="s">
        <v>558</v>
      </c>
      <c r="D368" s="21">
        <v>1</v>
      </c>
    </row>
    <row r="369" spans="3:4" x14ac:dyDescent="0.3">
      <c r="C369" s="13" t="s">
        <v>615</v>
      </c>
      <c r="D369" s="21">
        <v>1</v>
      </c>
    </row>
    <row r="370" spans="3:4" x14ac:dyDescent="0.3">
      <c r="C370" s="13" t="s">
        <v>265</v>
      </c>
      <c r="D370" s="21">
        <v>2</v>
      </c>
    </row>
    <row r="371" spans="3:4" x14ac:dyDescent="0.3">
      <c r="C371" s="13" t="s">
        <v>898</v>
      </c>
      <c r="D371" s="21">
        <v>1</v>
      </c>
    </row>
    <row r="372" spans="3:4" x14ac:dyDescent="0.3">
      <c r="C372" s="13" t="s">
        <v>267</v>
      </c>
      <c r="D372" s="21">
        <v>1</v>
      </c>
    </row>
    <row r="373" spans="3:4" x14ac:dyDescent="0.3">
      <c r="C373" s="13" t="s">
        <v>400</v>
      </c>
      <c r="D373" s="21">
        <v>1</v>
      </c>
    </row>
    <row r="374" spans="3:4" x14ac:dyDescent="0.3">
      <c r="C374" s="13" t="s">
        <v>145</v>
      </c>
      <c r="D374" s="21">
        <v>1</v>
      </c>
    </row>
    <row r="375" spans="3:4" x14ac:dyDescent="0.3">
      <c r="C375" s="13" t="s">
        <v>356</v>
      </c>
      <c r="D375" s="21">
        <v>1</v>
      </c>
    </row>
    <row r="376" spans="3:4" x14ac:dyDescent="0.3">
      <c r="C376" s="13" t="s">
        <v>597</v>
      </c>
      <c r="D376" s="21">
        <v>1</v>
      </c>
    </row>
    <row r="377" spans="3:4" x14ac:dyDescent="0.3">
      <c r="C377" s="13" t="s">
        <v>963</v>
      </c>
      <c r="D377" s="21">
        <v>1</v>
      </c>
    </row>
    <row r="378" spans="3:4" x14ac:dyDescent="0.3">
      <c r="C378" s="13" t="s">
        <v>492</v>
      </c>
      <c r="D378" s="21">
        <v>1</v>
      </c>
    </row>
    <row r="379" spans="3:4" x14ac:dyDescent="0.3">
      <c r="C379" s="13" t="s">
        <v>856</v>
      </c>
      <c r="D379" s="21">
        <v>1</v>
      </c>
    </row>
    <row r="380" spans="3:4" x14ac:dyDescent="0.3">
      <c r="C380" s="13" t="s">
        <v>277</v>
      </c>
      <c r="D380" s="21">
        <v>1</v>
      </c>
    </row>
    <row r="381" spans="3:4" x14ac:dyDescent="0.3">
      <c r="C381" s="13" t="s">
        <v>493</v>
      </c>
      <c r="D381" s="21">
        <v>1</v>
      </c>
    </row>
    <row r="382" spans="3:4" x14ac:dyDescent="0.3">
      <c r="C382" s="13" t="s">
        <v>517</v>
      </c>
      <c r="D382" s="21">
        <v>1</v>
      </c>
    </row>
    <row r="383" spans="3:4" x14ac:dyDescent="0.3">
      <c r="C383" s="13" t="s">
        <v>440</v>
      </c>
      <c r="D383" s="21">
        <v>1</v>
      </c>
    </row>
    <row r="384" spans="3:4" x14ac:dyDescent="0.3">
      <c r="C384" s="13" t="s">
        <v>49</v>
      </c>
      <c r="D384" s="21">
        <v>1</v>
      </c>
    </row>
    <row r="385" spans="3:4" x14ac:dyDescent="0.3">
      <c r="C385" s="13" t="s">
        <v>521</v>
      </c>
      <c r="D385" s="21">
        <v>1</v>
      </c>
    </row>
    <row r="386" spans="3:4" x14ac:dyDescent="0.3">
      <c r="C386" s="13" t="s">
        <v>823</v>
      </c>
      <c r="D386" s="21">
        <v>1</v>
      </c>
    </row>
    <row r="387" spans="3:4" x14ac:dyDescent="0.3">
      <c r="C387" s="13" t="s">
        <v>1010</v>
      </c>
      <c r="D387" s="21">
        <v>1</v>
      </c>
    </row>
    <row r="388" spans="3:4" x14ac:dyDescent="0.3">
      <c r="C388" s="13" t="s">
        <v>307</v>
      </c>
      <c r="D388" s="21">
        <v>1</v>
      </c>
    </row>
    <row r="389" spans="3:4" x14ac:dyDescent="0.3">
      <c r="C389" s="13" t="s">
        <v>528</v>
      </c>
      <c r="D389" s="21">
        <v>1</v>
      </c>
    </row>
    <row r="390" spans="3:4" x14ac:dyDescent="0.3">
      <c r="C390" s="13" t="s">
        <v>238</v>
      </c>
      <c r="D390" s="21">
        <v>1</v>
      </c>
    </row>
    <row r="391" spans="3:4" x14ac:dyDescent="0.3">
      <c r="C391" s="13" t="s">
        <v>895</v>
      </c>
      <c r="D391" s="21">
        <v>1</v>
      </c>
    </row>
    <row r="392" spans="3:4" x14ac:dyDescent="0.3">
      <c r="C392" s="13" t="s">
        <v>328</v>
      </c>
      <c r="D392" s="21">
        <v>1</v>
      </c>
    </row>
    <row r="393" spans="3:4" x14ac:dyDescent="0.3">
      <c r="C393" s="13" t="s">
        <v>849</v>
      </c>
      <c r="D393" s="21">
        <v>1</v>
      </c>
    </row>
    <row r="394" spans="3:4" x14ac:dyDescent="0.3">
      <c r="C394" s="13" t="s">
        <v>691</v>
      </c>
      <c r="D394" s="21">
        <v>1</v>
      </c>
    </row>
    <row r="395" spans="3:4" x14ac:dyDescent="0.3">
      <c r="C395" s="13" t="s">
        <v>727</v>
      </c>
      <c r="D395" s="21">
        <v>1</v>
      </c>
    </row>
    <row r="396" spans="3:4" x14ac:dyDescent="0.3">
      <c r="C396" s="13" t="s">
        <v>774</v>
      </c>
      <c r="D396" s="21">
        <v>1</v>
      </c>
    </row>
    <row r="397" spans="3:4" x14ac:dyDescent="0.3">
      <c r="C397" s="13" t="s">
        <v>935</v>
      </c>
      <c r="D397" s="21">
        <v>1</v>
      </c>
    </row>
    <row r="398" spans="3:4" x14ac:dyDescent="0.3">
      <c r="C398" s="13" t="s">
        <v>886</v>
      </c>
      <c r="D398" s="21">
        <v>1</v>
      </c>
    </row>
    <row r="399" spans="3:4" x14ac:dyDescent="0.3">
      <c r="C399" s="13" t="s">
        <v>1114</v>
      </c>
      <c r="D399" s="21">
        <v>1</v>
      </c>
    </row>
    <row r="400" spans="3:4" x14ac:dyDescent="0.3">
      <c r="C400" s="13" t="s">
        <v>291</v>
      </c>
      <c r="D400" s="21">
        <v>1</v>
      </c>
    </row>
    <row r="401" spans="3:4" x14ac:dyDescent="0.3">
      <c r="C401" s="13" t="s">
        <v>677</v>
      </c>
      <c r="D401" s="21">
        <v>1</v>
      </c>
    </row>
    <row r="402" spans="3:4" x14ac:dyDescent="0.3">
      <c r="C402" s="13" t="s">
        <v>432</v>
      </c>
      <c r="D402" s="21">
        <v>1</v>
      </c>
    </row>
    <row r="403" spans="3:4" x14ac:dyDescent="0.3">
      <c r="C403" s="13" t="s">
        <v>880</v>
      </c>
      <c r="D403" s="21">
        <v>1</v>
      </c>
    </row>
    <row r="404" spans="3:4" x14ac:dyDescent="0.3">
      <c r="C404" s="13" t="s">
        <v>73</v>
      </c>
      <c r="D404" s="21">
        <v>1</v>
      </c>
    </row>
    <row r="405" spans="3:4" x14ac:dyDescent="0.3">
      <c r="C405" s="13" t="s">
        <v>957</v>
      </c>
      <c r="D405" s="21">
        <v>1</v>
      </c>
    </row>
    <row r="406" spans="3:4" x14ac:dyDescent="0.3">
      <c r="C406" s="13" t="s">
        <v>397</v>
      </c>
      <c r="D406" s="21">
        <v>1</v>
      </c>
    </row>
    <row r="407" spans="3:4" x14ac:dyDescent="0.3">
      <c r="C407" s="13" t="s">
        <v>964</v>
      </c>
      <c r="D407" s="21">
        <v>1</v>
      </c>
    </row>
    <row r="408" spans="3:4" x14ac:dyDescent="0.3">
      <c r="C408" s="13" t="s">
        <v>480</v>
      </c>
      <c r="D408" s="21">
        <v>1</v>
      </c>
    </row>
    <row r="409" spans="3:4" x14ac:dyDescent="0.3">
      <c r="C409" s="13" t="s">
        <v>124</v>
      </c>
      <c r="D409" s="21">
        <v>1</v>
      </c>
    </row>
    <row r="410" spans="3:4" x14ac:dyDescent="0.3">
      <c r="C410" s="13" t="s">
        <v>627</v>
      </c>
      <c r="D410" s="21">
        <v>1</v>
      </c>
    </row>
    <row r="411" spans="3:4" x14ac:dyDescent="0.3">
      <c r="C411" s="13" t="s">
        <v>83</v>
      </c>
      <c r="D411" s="21">
        <v>1</v>
      </c>
    </row>
    <row r="412" spans="3:4" x14ac:dyDescent="0.3">
      <c r="C412" s="13" t="s">
        <v>932</v>
      </c>
      <c r="D412" s="21">
        <v>1</v>
      </c>
    </row>
    <row r="413" spans="3:4" x14ac:dyDescent="0.3">
      <c r="C413" s="13" t="s">
        <v>323</v>
      </c>
      <c r="D413" s="21">
        <v>1</v>
      </c>
    </row>
    <row r="414" spans="3:4" x14ac:dyDescent="0.3">
      <c r="C414" s="13" t="s">
        <v>673</v>
      </c>
      <c r="D414" s="21">
        <v>1</v>
      </c>
    </row>
    <row r="415" spans="3:4" x14ac:dyDescent="0.3">
      <c r="C415" s="13" t="s">
        <v>897</v>
      </c>
      <c r="D415" s="21">
        <v>1</v>
      </c>
    </row>
    <row r="416" spans="3:4" x14ac:dyDescent="0.3">
      <c r="C416" s="13" t="s">
        <v>524</v>
      </c>
      <c r="D416" s="21">
        <v>1</v>
      </c>
    </row>
    <row r="417" spans="3:4" x14ac:dyDescent="0.3">
      <c r="C417" s="13" t="s">
        <v>714</v>
      </c>
      <c r="D417" s="21">
        <v>1</v>
      </c>
    </row>
    <row r="418" spans="3:4" x14ac:dyDescent="0.3">
      <c r="C418" s="13" t="s">
        <v>706</v>
      </c>
      <c r="D418" s="21">
        <v>1</v>
      </c>
    </row>
    <row r="419" spans="3:4" x14ac:dyDescent="0.3">
      <c r="C419" s="13" t="s">
        <v>448</v>
      </c>
      <c r="D419" s="21">
        <v>1</v>
      </c>
    </row>
    <row r="420" spans="3:4" x14ac:dyDescent="0.3">
      <c r="C420" s="13" t="s">
        <v>1019</v>
      </c>
      <c r="D420" s="21">
        <v>1</v>
      </c>
    </row>
    <row r="421" spans="3:4" x14ac:dyDescent="0.3">
      <c r="C421" s="13" t="s">
        <v>74</v>
      </c>
      <c r="D421" s="21">
        <v>1</v>
      </c>
    </row>
    <row r="422" spans="3:4" x14ac:dyDescent="0.3">
      <c r="C422" s="13" t="s">
        <v>954</v>
      </c>
      <c r="D422" s="21">
        <v>1</v>
      </c>
    </row>
    <row r="423" spans="3:4" x14ac:dyDescent="0.3">
      <c r="C423" s="13" t="s">
        <v>1111</v>
      </c>
      <c r="D423" s="21">
        <v>1</v>
      </c>
    </row>
    <row r="424" spans="3:4" x14ac:dyDescent="0.3">
      <c r="C424" s="13" t="s">
        <v>226</v>
      </c>
      <c r="D424" s="21">
        <v>1</v>
      </c>
    </row>
    <row r="425" spans="3:4" x14ac:dyDescent="0.3">
      <c r="C425" s="13" t="s">
        <v>766</v>
      </c>
      <c r="D425" s="21">
        <v>1</v>
      </c>
    </row>
    <row r="426" spans="3:4" x14ac:dyDescent="0.3">
      <c r="C426" s="13" t="s">
        <v>726</v>
      </c>
      <c r="D426" s="21">
        <v>1</v>
      </c>
    </row>
    <row r="427" spans="3:4" x14ac:dyDescent="0.3">
      <c r="C427" s="13" t="s">
        <v>63</v>
      </c>
      <c r="D427" s="21">
        <v>1</v>
      </c>
    </row>
    <row r="428" spans="3:4" x14ac:dyDescent="0.3">
      <c r="C428" s="13" t="s">
        <v>394</v>
      </c>
      <c r="D428" s="21">
        <v>1</v>
      </c>
    </row>
    <row r="429" spans="3:4" x14ac:dyDescent="0.3">
      <c r="C429" s="13" t="s">
        <v>530</v>
      </c>
      <c r="D429" s="21">
        <v>1</v>
      </c>
    </row>
    <row r="430" spans="3:4" x14ac:dyDescent="0.3">
      <c r="C430" s="13" t="s">
        <v>790</v>
      </c>
      <c r="D430" s="21">
        <v>1</v>
      </c>
    </row>
    <row r="431" spans="3:4" x14ac:dyDescent="0.3">
      <c r="C431" s="13" t="s">
        <v>511</v>
      </c>
      <c r="D431" s="21">
        <v>1</v>
      </c>
    </row>
    <row r="432" spans="3:4" x14ac:dyDescent="0.3">
      <c r="C432" s="13" t="s">
        <v>527</v>
      </c>
      <c r="D432" s="21">
        <v>1</v>
      </c>
    </row>
    <row r="433" spans="3:4" x14ac:dyDescent="0.3">
      <c r="C433" s="13" t="s">
        <v>99</v>
      </c>
      <c r="D433" s="21">
        <v>1</v>
      </c>
    </row>
    <row r="434" spans="3:4" x14ac:dyDescent="0.3">
      <c r="C434" s="13" t="s">
        <v>1031</v>
      </c>
      <c r="D434" s="21">
        <v>1</v>
      </c>
    </row>
    <row r="435" spans="3:4" x14ac:dyDescent="0.3">
      <c r="C435" s="13" t="s">
        <v>649</v>
      </c>
      <c r="D435" s="21">
        <v>1</v>
      </c>
    </row>
    <row r="436" spans="3:4" x14ac:dyDescent="0.3">
      <c r="C436" s="13" t="s">
        <v>754</v>
      </c>
      <c r="D436" s="21">
        <v>1</v>
      </c>
    </row>
    <row r="437" spans="3:4" x14ac:dyDescent="0.3">
      <c r="C437" s="13" t="s">
        <v>631</v>
      </c>
      <c r="D437" s="21">
        <v>1</v>
      </c>
    </row>
    <row r="438" spans="3:4" x14ac:dyDescent="0.3">
      <c r="C438" s="13" t="s">
        <v>571</v>
      </c>
      <c r="D438" s="21">
        <v>1</v>
      </c>
    </row>
    <row r="439" spans="3:4" x14ac:dyDescent="0.3">
      <c r="C439" s="13" t="s">
        <v>814</v>
      </c>
      <c r="D439" s="21">
        <v>1</v>
      </c>
    </row>
    <row r="440" spans="3:4" x14ac:dyDescent="0.3">
      <c r="C440" s="13" t="s">
        <v>446</v>
      </c>
      <c r="D440" s="21">
        <v>1</v>
      </c>
    </row>
    <row r="441" spans="3:4" x14ac:dyDescent="0.3">
      <c r="C441" s="13" t="s">
        <v>984</v>
      </c>
      <c r="D441" s="21">
        <v>1</v>
      </c>
    </row>
    <row r="442" spans="3:4" x14ac:dyDescent="0.3">
      <c r="C442" s="13" t="s">
        <v>996</v>
      </c>
      <c r="D442" s="21">
        <v>1</v>
      </c>
    </row>
    <row r="443" spans="3:4" x14ac:dyDescent="0.3">
      <c r="C443" s="13" t="s">
        <v>1072</v>
      </c>
      <c r="D443" s="21">
        <v>1</v>
      </c>
    </row>
    <row r="444" spans="3:4" x14ac:dyDescent="0.3">
      <c r="C444" s="13" t="s">
        <v>772</v>
      </c>
      <c r="D444" s="21">
        <v>1</v>
      </c>
    </row>
    <row r="445" spans="3:4" x14ac:dyDescent="0.3">
      <c r="C445" s="13" t="s">
        <v>599</v>
      </c>
      <c r="D445" s="21">
        <v>1</v>
      </c>
    </row>
    <row r="446" spans="3:4" x14ac:dyDescent="0.3">
      <c r="C446" s="13" t="s">
        <v>368</v>
      </c>
      <c r="D446" s="21">
        <v>1</v>
      </c>
    </row>
    <row r="447" spans="3:4" x14ac:dyDescent="0.3">
      <c r="C447" s="13" t="s">
        <v>19</v>
      </c>
      <c r="D447" s="21">
        <v>1</v>
      </c>
    </row>
    <row r="448" spans="3:4" x14ac:dyDescent="0.3">
      <c r="C448" s="13" t="s">
        <v>79</v>
      </c>
      <c r="D448" s="21">
        <v>1</v>
      </c>
    </row>
    <row r="449" spans="3:4" x14ac:dyDescent="0.3">
      <c r="C449" s="13" t="s">
        <v>762</v>
      </c>
      <c r="D449" s="21">
        <v>1</v>
      </c>
    </row>
    <row r="450" spans="3:4" x14ac:dyDescent="0.3">
      <c r="C450" s="13" t="s">
        <v>69</v>
      </c>
      <c r="D450" s="21">
        <v>1</v>
      </c>
    </row>
    <row r="451" spans="3:4" x14ac:dyDescent="0.3">
      <c r="C451" s="13" t="s">
        <v>383</v>
      </c>
      <c r="D451" s="21">
        <v>1</v>
      </c>
    </row>
    <row r="452" spans="3:4" x14ac:dyDescent="0.3">
      <c r="C452" s="13" t="s">
        <v>850</v>
      </c>
      <c r="D452" s="21">
        <v>1</v>
      </c>
    </row>
    <row r="453" spans="3:4" x14ac:dyDescent="0.3">
      <c r="C453" s="13" t="s">
        <v>598</v>
      </c>
      <c r="D453" s="21">
        <v>1</v>
      </c>
    </row>
    <row r="454" spans="3:4" x14ac:dyDescent="0.3">
      <c r="C454" s="13" t="s">
        <v>822</v>
      </c>
      <c r="D454" s="21">
        <v>1</v>
      </c>
    </row>
    <row r="455" spans="3:4" x14ac:dyDescent="0.3">
      <c r="C455" s="13" t="s">
        <v>1040</v>
      </c>
      <c r="D455" s="21">
        <v>1</v>
      </c>
    </row>
    <row r="456" spans="3:4" x14ac:dyDescent="0.3">
      <c r="C456" s="13" t="s">
        <v>915</v>
      </c>
      <c r="D456" s="21">
        <v>1</v>
      </c>
    </row>
    <row r="457" spans="3:4" x14ac:dyDescent="0.3">
      <c r="C457" s="13" t="s">
        <v>488</v>
      </c>
      <c r="D457" s="21">
        <v>1</v>
      </c>
    </row>
    <row r="458" spans="3:4" x14ac:dyDescent="0.3">
      <c r="C458" s="13" t="s">
        <v>312</v>
      </c>
      <c r="D458" s="21">
        <v>1</v>
      </c>
    </row>
    <row r="459" spans="3:4" x14ac:dyDescent="0.3">
      <c r="C459" s="13" t="s">
        <v>670</v>
      </c>
      <c r="D459" s="21">
        <v>1</v>
      </c>
    </row>
    <row r="460" spans="3:4" x14ac:dyDescent="0.3">
      <c r="C460" s="13" t="s">
        <v>948</v>
      </c>
      <c r="D460" s="21">
        <v>1</v>
      </c>
    </row>
    <row r="461" spans="3:4" x14ac:dyDescent="0.3">
      <c r="C461" s="13" t="s">
        <v>538</v>
      </c>
      <c r="D461" s="21">
        <v>1</v>
      </c>
    </row>
    <row r="462" spans="3:4" x14ac:dyDescent="0.3">
      <c r="C462" s="13" t="s">
        <v>877</v>
      </c>
      <c r="D462" s="21">
        <v>1</v>
      </c>
    </row>
    <row r="463" spans="3:4" x14ac:dyDescent="0.3">
      <c r="C463" s="13" t="s">
        <v>144</v>
      </c>
      <c r="D463" s="21">
        <v>1</v>
      </c>
    </row>
    <row r="464" spans="3:4" x14ac:dyDescent="0.3">
      <c r="C464" s="13" t="s">
        <v>574</v>
      </c>
      <c r="D464" s="21">
        <v>1</v>
      </c>
    </row>
    <row r="465" spans="3:4" x14ac:dyDescent="0.3">
      <c r="C465" s="13" t="s">
        <v>308</v>
      </c>
      <c r="D465" s="21">
        <v>1</v>
      </c>
    </row>
    <row r="466" spans="3:4" x14ac:dyDescent="0.3">
      <c r="C466" s="13" t="s">
        <v>114</v>
      </c>
      <c r="D466" s="21">
        <v>1</v>
      </c>
    </row>
    <row r="467" spans="3:4" x14ac:dyDescent="0.3">
      <c r="C467" s="13" t="s">
        <v>41</v>
      </c>
      <c r="D467" s="21">
        <v>1</v>
      </c>
    </row>
    <row r="468" spans="3:4" x14ac:dyDescent="0.3">
      <c r="C468" s="13" t="s">
        <v>655</v>
      </c>
      <c r="D468" s="21">
        <v>1</v>
      </c>
    </row>
    <row r="469" spans="3:4" x14ac:dyDescent="0.3">
      <c r="C469" s="13" t="s">
        <v>88</v>
      </c>
      <c r="D469" s="21">
        <v>2</v>
      </c>
    </row>
    <row r="470" spans="3:4" x14ac:dyDescent="0.3">
      <c r="C470" s="13" t="s">
        <v>1003</v>
      </c>
      <c r="D470" s="21">
        <v>1</v>
      </c>
    </row>
    <row r="471" spans="3:4" x14ac:dyDescent="0.3">
      <c r="C471" s="13" t="s">
        <v>122</v>
      </c>
      <c r="D471" s="21">
        <v>1</v>
      </c>
    </row>
    <row r="472" spans="3:4" x14ac:dyDescent="0.3">
      <c r="C472" s="13" t="s">
        <v>1054</v>
      </c>
      <c r="D472" s="21">
        <v>1</v>
      </c>
    </row>
    <row r="473" spans="3:4" x14ac:dyDescent="0.3">
      <c r="C473" s="13" t="s">
        <v>1034</v>
      </c>
      <c r="D473" s="21">
        <v>1</v>
      </c>
    </row>
    <row r="474" spans="3:4" x14ac:dyDescent="0.3">
      <c r="C474" s="13" t="s">
        <v>656</v>
      </c>
      <c r="D474" s="21">
        <v>1</v>
      </c>
    </row>
    <row r="475" spans="3:4" x14ac:dyDescent="0.3">
      <c r="C475" s="13" t="s">
        <v>600</v>
      </c>
      <c r="D475" s="21">
        <v>1</v>
      </c>
    </row>
    <row r="476" spans="3:4" x14ac:dyDescent="0.3">
      <c r="C476" s="13" t="s">
        <v>506</v>
      </c>
      <c r="D476" s="21">
        <v>1</v>
      </c>
    </row>
    <row r="477" spans="3:4" x14ac:dyDescent="0.3">
      <c r="C477" s="13" t="s">
        <v>346</v>
      </c>
      <c r="D477" s="21">
        <v>1</v>
      </c>
    </row>
    <row r="478" spans="3:4" x14ac:dyDescent="0.3">
      <c r="C478" s="13" t="s">
        <v>136</v>
      </c>
      <c r="D478" s="21">
        <v>1</v>
      </c>
    </row>
    <row r="479" spans="3:4" x14ac:dyDescent="0.3">
      <c r="C479" s="13" t="s">
        <v>575</v>
      </c>
      <c r="D479" s="21">
        <v>1</v>
      </c>
    </row>
    <row r="480" spans="3:4" x14ac:dyDescent="0.3">
      <c r="C480" s="13" t="s">
        <v>416</v>
      </c>
      <c r="D480" s="21">
        <v>1</v>
      </c>
    </row>
    <row r="481" spans="3:4" x14ac:dyDescent="0.3">
      <c r="C481" s="13" t="s">
        <v>150</v>
      </c>
      <c r="D481" s="21">
        <v>1</v>
      </c>
    </row>
    <row r="482" spans="3:4" x14ac:dyDescent="0.3">
      <c r="C482" s="13" t="s">
        <v>273</v>
      </c>
      <c r="D482" s="21">
        <v>1</v>
      </c>
    </row>
    <row r="483" spans="3:4" x14ac:dyDescent="0.3">
      <c r="C483" s="13" t="s">
        <v>756</v>
      </c>
      <c r="D483" s="21">
        <v>1</v>
      </c>
    </row>
    <row r="484" spans="3:4" x14ac:dyDescent="0.3">
      <c r="C484" s="13" t="s">
        <v>370</v>
      </c>
      <c r="D484" s="21">
        <v>1</v>
      </c>
    </row>
    <row r="485" spans="3:4" x14ac:dyDescent="0.3">
      <c r="C485" s="13" t="s">
        <v>286</v>
      </c>
      <c r="D485" s="21">
        <v>1</v>
      </c>
    </row>
    <row r="486" spans="3:4" x14ac:dyDescent="0.3">
      <c r="C486" s="13" t="s">
        <v>363</v>
      </c>
      <c r="D486" s="21">
        <v>1</v>
      </c>
    </row>
    <row r="487" spans="3:4" x14ac:dyDescent="0.3">
      <c r="C487" s="13" t="s">
        <v>489</v>
      </c>
      <c r="D487" s="21">
        <v>1</v>
      </c>
    </row>
    <row r="488" spans="3:4" x14ac:dyDescent="0.3">
      <c r="C488" s="13" t="s">
        <v>371</v>
      </c>
      <c r="D488" s="21">
        <v>1</v>
      </c>
    </row>
    <row r="489" spans="3:4" x14ac:dyDescent="0.3">
      <c r="C489" s="13" t="s">
        <v>500</v>
      </c>
      <c r="D489" s="21">
        <v>1</v>
      </c>
    </row>
    <row r="490" spans="3:4" x14ac:dyDescent="0.3">
      <c r="C490" s="13" t="s">
        <v>956</v>
      </c>
      <c r="D490" s="21">
        <v>1</v>
      </c>
    </row>
    <row r="491" spans="3:4" x14ac:dyDescent="0.3">
      <c r="C491" s="13" t="s">
        <v>569</v>
      </c>
      <c r="D491" s="21">
        <v>1</v>
      </c>
    </row>
    <row r="492" spans="3:4" x14ac:dyDescent="0.3">
      <c r="C492" s="13" t="s">
        <v>708</v>
      </c>
      <c r="D492" s="21">
        <v>1</v>
      </c>
    </row>
    <row r="493" spans="3:4" x14ac:dyDescent="0.3">
      <c r="C493" s="13" t="s">
        <v>1028</v>
      </c>
      <c r="D493" s="21">
        <v>1</v>
      </c>
    </row>
    <row r="494" spans="3:4" x14ac:dyDescent="0.3">
      <c r="C494" s="13" t="s">
        <v>846</v>
      </c>
      <c r="D494" s="21">
        <v>1</v>
      </c>
    </row>
    <row r="495" spans="3:4" x14ac:dyDescent="0.3">
      <c r="C495" s="13" t="s">
        <v>698</v>
      </c>
      <c r="D495" s="21">
        <v>1</v>
      </c>
    </row>
    <row r="496" spans="3:4" x14ac:dyDescent="0.3">
      <c r="C496" s="13" t="s">
        <v>357</v>
      </c>
      <c r="D496" s="21">
        <v>1</v>
      </c>
    </row>
    <row r="497" spans="3:4" x14ac:dyDescent="0.3">
      <c r="C497" s="13" t="s">
        <v>361</v>
      </c>
      <c r="D497" s="21">
        <v>1</v>
      </c>
    </row>
    <row r="498" spans="3:4" x14ac:dyDescent="0.3">
      <c r="C498" s="13" t="s">
        <v>1068</v>
      </c>
      <c r="D498" s="21">
        <v>1</v>
      </c>
    </row>
    <row r="499" spans="3:4" x14ac:dyDescent="0.3">
      <c r="C499" s="13" t="s">
        <v>962</v>
      </c>
      <c r="D499" s="21">
        <v>1</v>
      </c>
    </row>
    <row r="500" spans="3:4" x14ac:dyDescent="0.3">
      <c r="C500" s="13" t="s">
        <v>297</v>
      </c>
      <c r="D500" s="21">
        <v>1</v>
      </c>
    </row>
    <row r="501" spans="3:4" x14ac:dyDescent="0.3">
      <c r="C501" s="13" t="s">
        <v>60</v>
      </c>
      <c r="D501" s="21">
        <v>1</v>
      </c>
    </row>
    <row r="502" spans="3:4" x14ac:dyDescent="0.3">
      <c r="C502" s="13" t="s">
        <v>813</v>
      </c>
      <c r="D502" s="21">
        <v>1</v>
      </c>
    </row>
    <row r="503" spans="3:4" x14ac:dyDescent="0.3">
      <c r="C503" s="13" t="s">
        <v>1101</v>
      </c>
      <c r="D503" s="21">
        <v>1</v>
      </c>
    </row>
    <row r="504" spans="3:4" x14ac:dyDescent="0.3">
      <c r="C504" s="13" t="s">
        <v>1026</v>
      </c>
      <c r="D504" s="21">
        <v>1</v>
      </c>
    </row>
    <row r="505" spans="3:4" x14ac:dyDescent="0.3">
      <c r="C505" s="13" t="s">
        <v>796</v>
      </c>
      <c r="D505" s="21">
        <v>1</v>
      </c>
    </row>
    <row r="506" spans="3:4" x14ac:dyDescent="0.3">
      <c r="C506" s="13" t="s">
        <v>403</v>
      </c>
      <c r="D506" s="21">
        <v>1</v>
      </c>
    </row>
    <row r="507" spans="3:4" x14ac:dyDescent="0.3">
      <c r="C507" s="13" t="s">
        <v>428</v>
      </c>
      <c r="D507" s="21">
        <v>1</v>
      </c>
    </row>
    <row r="508" spans="3:4" x14ac:dyDescent="0.3">
      <c r="C508" s="13" t="s">
        <v>501</v>
      </c>
      <c r="D508" s="21">
        <v>1</v>
      </c>
    </row>
    <row r="509" spans="3:4" x14ac:dyDescent="0.3">
      <c r="C509" s="13" t="s">
        <v>1015</v>
      </c>
      <c r="D509" s="21">
        <v>1</v>
      </c>
    </row>
    <row r="510" spans="3:4" x14ac:dyDescent="0.3">
      <c r="C510" s="13" t="s">
        <v>937</v>
      </c>
      <c r="D510" s="21">
        <v>1</v>
      </c>
    </row>
    <row r="511" spans="3:4" x14ac:dyDescent="0.3">
      <c r="C511" s="13" t="s">
        <v>1081</v>
      </c>
      <c r="D511" s="21">
        <v>1</v>
      </c>
    </row>
    <row r="512" spans="3:4" x14ac:dyDescent="0.3">
      <c r="C512" s="13" t="s">
        <v>222</v>
      </c>
      <c r="D512" s="21">
        <v>1</v>
      </c>
    </row>
    <row r="513" spans="3:4" x14ac:dyDescent="0.3">
      <c r="C513" s="13" t="s">
        <v>302</v>
      </c>
      <c r="D513" s="21">
        <v>1</v>
      </c>
    </row>
    <row r="514" spans="3:4" x14ac:dyDescent="0.3">
      <c r="C514" s="13" t="s">
        <v>472</v>
      </c>
      <c r="D514" s="21">
        <v>1</v>
      </c>
    </row>
    <row r="515" spans="3:4" x14ac:dyDescent="0.3">
      <c r="C515" s="13" t="s">
        <v>911</v>
      </c>
      <c r="D515" s="21">
        <v>1</v>
      </c>
    </row>
    <row r="516" spans="3:4" x14ac:dyDescent="0.3">
      <c r="C516" s="13" t="s">
        <v>697</v>
      </c>
      <c r="D516" s="21">
        <v>1</v>
      </c>
    </row>
    <row r="517" spans="3:4" x14ac:dyDescent="0.3">
      <c r="C517" s="13" t="s">
        <v>1089</v>
      </c>
      <c r="D517" s="21">
        <v>1</v>
      </c>
    </row>
    <row r="518" spans="3:4" x14ac:dyDescent="0.3">
      <c r="C518" s="13" t="s">
        <v>244</v>
      </c>
      <c r="D518" s="21">
        <v>1</v>
      </c>
    </row>
    <row r="519" spans="3:4" x14ac:dyDescent="0.3">
      <c r="C519" s="13" t="s">
        <v>604</v>
      </c>
      <c r="D519" s="21">
        <v>2</v>
      </c>
    </row>
    <row r="520" spans="3:4" x14ac:dyDescent="0.3">
      <c r="C520" s="13" t="s">
        <v>853</v>
      </c>
      <c r="D520" s="21">
        <v>1</v>
      </c>
    </row>
    <row r="521" spans="3:4" x14ac:dyDescent="0.3">
      <c r="C521" s="13" t="s">
        <v>364</v>
      </c>
      <c r="D521" s="21">
        <v>1</v>
      </c>
    </row>
    <row r="522" spans="3:4" x14ac:dyDescent="0.3">
      <c r="C522" s="13" t="s">
        <v>347</v>
      </c>
      <c r="D522" s="21">
        <v>1</v>
      </c>
    </row>
    <row r="523" spans="3:4" x14ac:dyDescent="0.3">
      <c r="C523" s="13" t="s">
        <v>225</v>
      </c>
      <c r="D523" s="21">
        <v>1</v>
      </c>
    </row>
    <row r="524" spans="3:4" x14ac:dyDescent="0.3">
      <c r="C524" s="13" t="s">
        <v>912</v>
      </c>
      <c r="D524" s="21">
        <v>1</v>
      </c>
    </row>
    <row r="525" spans="3:4" x14ac:dyDescent="0.3">
      <c r="C525" s="13" t="s">
        <v>283</v>
      </c>
      <c r="D525" s="21">
        <v>1</v>
      </c>
    </row>
    <row r="526" spans="3:4" x14ac:dyDescent="0.3">
      <c r="C526" s="13" t="s">
        <v>1096</v>
      </c>
      <c r="D526" s="21">
        <v>1</v>
      </c>
    </row>
    <row r="527" spans="3:4" x14ac:dyDescent="0.3">
      <c r="C527" s="13" t="s">
        <v>952</v>
      </c>
      <c r="D527" s="21">
        <v>1</v>
      </c>
    </row>
    <row r="528" spans="3:4" x14ac:dyDescent="0.3">
      <c r="C528" s="13" t="s">
        <v>85</v>
      </c>
      <c r="D528" s="21">
        <v>1</v>
      </c>
    </row>
    <row r="529" spans="3:4" x14ac:dyDescent="0.3">
      <c r="C529" s="13" t="s">
        <v>248</v>
      </c>
      <c r="D529" s="21">
        <v>1</v>
      </c>
    </row>
    <row r="530" spans="3:4" x14ac:dyDescent="0.3">
      <c r="C530" s="13" t="s">
        <v>97</v>
      </c>
      <c r="D530" s="21">
        <v>1</v>
      </c>
    </row>
    <row r="531" spans="3:4" x14ac:dyDescent="0.3">
      <c r="C531" s="13" t="s">
        <v>447</v>
      </c>
      <c r="D531" s="21">
        <v>1</v>
      </c>
    </row>
    <row r="532" spans="3:4" x14ac:dyDescent="0.3">
      <c r="C532" s="13" t="s">
        <v>197</v>
      </c>
      <c r="D532" s="21">
        <v>1</v>
      </c>
    </row>
    <row r="533" spans="3:4" x14ac:dyDescent="0.3">
      <c r="C533" s="13" t="s">
        <v>475</v>
      </c>
      <c r="D533" s="21">
        <v>1</v>
      </c>
    </row>
    <row r="534" spans="3:4" x14ac:dyDescent="0.3">
      <c r="C534" s="13" t="s">
        <v>893</v>
      </c>
      <c r="D534" s="21">
        <v>1</v>
      </c>
    </row>
    <row r="535" spans="3:4" x14ac:dyDescent="0.3">
      <c r="C535" s="13" t="s">
        <v>795</v>
      </c>
      <c r="D535" s="21">
        <v>2</v>
      </c>
    </row>
    <row r="536" spans="3:4" x14ac:dyDescent="0.3">
      <c r="C536" s="13" t="s">
        <v>634</v>
      </c>
      <c r="D536" s="21">
        <v>1</v>
      </c>
    </row>
    <row r="537" spans="3:4" x14ac:dyDescent="0.3">
      <c r="C537" s="13" t="s">
        <v>934</v>
      </c>
      <c r="D537" s="21">
        <v>1</v>
      </c>
    </row>
    <row r="538" spans="3:4" x14ac:dyDescent="0.3">
      <c r="C538" s="13" t="s">
        <v>1091</v>
      </c>
      <c r="D538" s="21">
        <v>1</v>
      </c>
    </row>
    <row r="539" spans="3:4" x14ac:dyDescent="0.3">
      <c r="C539" s="13" t="s">
        <v>490</v>
      </c>
      <c r="D539" s="21">
        <v>1</v>
      </c>
    </row>
    <row r="540" spans="3:4" x14ac:dyDescent="0.3">
      <c r="C540" s="13" t="s">
        <v>859</v>
      </c>
      <c r="D540" s="21">
        <v>1</v>
      </c>
    </row>
    <row r="541" spans="3:4" x14ac:dyDescent="0.3">
      <c r="C541" s="13" t="s">
        <v>62</v>
      </c>
      <c r="D541" s="21">
        <v>1</v>
      </c>
    </row>
    <row r="542" spans="3:4" x14ac:dyDescent="0.3">
      <c r="C542" s="13" t="s">
        <v>910</v>
      </c>
      <c r="D542" s="21">
        <v>1</v>
      </c>
    </row>
    <row r="543" spans="3:4" x14ac:dyDescent="0.3">
      <c r="C543" s="13" t="s">
        <v>979</v>
      </c>
      <c r="D543" s="21">
        <v>1</v>
      </c>
    </row>
    <row r="544" spans="3:4" x14ac:dyDescent="0.3">
      <c r="C544" s="13" t="s">
        <v>433</v>
      </c>
      <c r="D544" s="21">
        <v>1</v>
      </c>
    </row>
    <row r="545" spans="3:4" x14ac:dyDescent="0.3">
      <c r="C545" s="13" t="s">
        <v>750</v>
      </c>
      <c r="D545" s="21">
        <v>1</v>
      </c>
    </row>
    <row r="546" spans="3:4" x14ac:dyDescent="0.3">
      <c r="C546" s="13" t="s">
        <v>718</v>
      </c>
      <c r="D546" s="21">
        <v>1</v>
      </c>
    </row>
    <row r="547" spans="3:4" x14ac:dyDescent="0.3">
      <c r="C547" s="13" t="s">
        <v>700</v>
      </c>
      <c r="D547" s="21">
        <v>1</v>
      </c>
    </row>
    <row r="548" spans="3:4" x14ac:dyDescent="0.3">
      <c r="C548" s="13" t="s">
        <v>38</v>
      </c>
      <c r="D548" s="21">
        <v>1</v>
      </c>
    </row>
    <row r="549" spans="3:4" x14ac:dyDescent="0.3">
      <c r="C549" s="13" t="s">
        <v>147</v>
      </c>
      <c r="D549" s="21">
        <v>1</v>
      </c>
    </row>
    <row r="550" spans="3:4" x14ac:dyDescent="0.3">
      <c r="C550" s="13" t="s">
        <v>546</v>
      </c>
      <c r="D550" s="21">
        <v>1</v>
      </c>
    </row>
    <row r="551" spans="3:4" x14ac:dyDescent="0.3">
      <c r="C551" s="13" t="s">
        <v>577</v>
      </c>
      <c r="D551" s="21">
        <v>1</v>
      </c>
    </row>
    <row r="552" spans="3:4" x14ac:dyDescent="0.3">
      <c r="C552" s="13" t="s">
        <v>922</v>
      </c>
      <c r="D552" s="21">
        <v>1</v>
      </c>
    </row>
    <row r="553" spans="3:4" x14ac:dyDescent="0.3">
      <c r="C553" s="13" t="s">
        <v>369</v>
      </c>
      <c r="D553" s="21">
        <v>1</v>
      </c>
    </row>
    <row r="554" spans="3:4" x14ac:dyDescent="0.3">
      <c r="C554" s="13" t="s">
        <v>648</v>
      </c>
      <c r="D554" s="21">
        <v>1</v>
      </c>
    </row>
    <row r="555" spans="3:4" x14ac:dyDescent="0.3">
      <c r="C555" s="13" t="s">
        <v>232</v>
      </c>
      <c r="D555" s="21">
        <v>1</v>
      </c>
    </row>
    <row r="556" spans="3:4" x14ac:dyDescent="0.3">
      <c r="C556" s="13" t="s">
        <v>192</v>
      </c>
      <c r="D556" s="21">
        <v>1</v>
      </c>
    </row>
    <row r="557" spans="3:4" x14ac:dyDescent="0.3">
      <c r="C557" s="13" t="s">
        <v>280</v>
      </c>
      <c r="D557" s="21">
        <v>1</v>
      </c>
    </row>
    <row r="558" spans="3:4" x14ac:dyDescent="0.3">
      <c r="C558" s="13" t="s">
        <v>68</v>
      </c>
      <c r="D558" s="21">
        <v>1</v>
      </c>
    </row>
    <row r="559" spans="3:4" x14ac:dyDescent="0.3">
      <c r="C559" s="13" t="s">
        <v>431</v>
      </c>
      <c r="D559" s="21">
        <v>1</v>
      </c>
    </row>
    <row r="560" spans="3:4" x14ac:dyDescent="0.3">
      <c r="C560" s="13" t="s">
        <v>1001</v>
      </c>
      <c r="D560" s="21">
        <v>1</v>
      </c>
    </row>
    <row r="561" spans="3:4" x14ac:dyDescent="0.3">
      <c r="C561" s="13" t="s">
        <v>812</v>
      </c>
      <c r="D561" s="21">
        <v>1</v>
      </c>
    </row>
    <row r="562" spans="3:4" x14ac:dyDescent="0.3">
      <c r="C562" s="13" t="s">
        <v>968</v>
      </c>
      <c r="D562" s="21">
        <v>1</v>
      </c>
    </row>
    <row r="563" spans="3:4" x14ac:dyDescent="0.3">
      <c r="C563" s="13" t="s">
        <v>526</v>
      </c>
      <c r="D563" s="21">
        <v>1</v>
      </c>
    </row>
    <row r="564" spans="3:4" x14ac:dyDescent="0.3">
      <c r="C564" s="13" t="s">
        <v>392</v>
      </c>
      <c r="D564" s="21">
        <v>1</v>
      </c>
    </row>
    <row r="565" spans="3:4" x14ac:dyDescent="0.3">
      <c r="C565" s="13" t="s">
        <v>871</v>
      </c>
      <c r="D565" s="21">
        <v>1</v>
      </c>
    </row>
    <row r="566" spans="3:4" x14ac:dyDescent="0.3">
      <c r="C566" s="13" t="s">
        <v>827</v>
      </c>
      <c r="D566" s="21">
        <v>1</v>
      </c>
    </row>
    <row r="567" spans="3:4" x14ac:dyDescent="0.3">
      <c r="C567" s="13" t="s">
        <v>536</v>
      </c>
      <c r="D567" s="21">
        <v>1</v>
      </c>
    </row>
    <row r="568" spans="3:4" x14ac:dyDescent="0.3">
      <c r="C568" s="13" t="s">
        <v>247</v>
      </c>
      <c r="D568" s="21">
        <v>1</v>
      </c>
    </row>
    <row r="569" spans="3:4" x14ac:dyDescent="0.3">
      <c r="C569" s="13" t="s">
        <v>831</v>
      </c>
      <c r="D569" s="21">
        <v>1</v>
      </c>
    </row>
    <row r="570" spans="3:4" x14ac:dyDescent="0.3">
      <c r="C570" s="13" t="s">
        <v>463</v>
      </c>
      <c r="D570" s="21">
        <v>1</v>
      </c>
    </row>
    <row r="571" spans="3:4" x14ac:dyDescent="0.3">
      <c r="C571" s="13" t="s">
        <v>808</v>
      </c>
      <c r="D571" s="21">
        <v>1</v>
      </c>
    </row>
    <row r="572" spans="3:4" x14ac:dyDescent="0.3">
      <c r="C572" s="13" t="s">
        <v>1037</v>
      </c>
      <c r="D572" s="21">
        <v>1</v>
      </c>
    </row>
    <row r="573" spans="3:4" x14ac:dyDescent="0.3">
      <c r="C573" s="13" t="s">
        <v>826</v>
      </c>
      <c r="D573" s="21">
        <v>1</v>
      </c>
    </row>
    <row r="574" spans="3:4" x14ac:dyDescent="0.3">
      <c r="C574" s="13" t="s">
        <v>141</v>
      </c>
      <c r="D574" s="21">
        <v>1</v>
      </c>
    </row>
    <row r="575" spans="3:4" x14ac:dyDescent="0.3">
      <c r="C575" s="13" t="s">
        <v>146</v>
      </c>
      <c r="D575" s="21">
        <v>1</v>
      </c>
    </row>
    <row r="576" spans="3:4" x14ac:dyDescent="0.3">
      <c r="C576" s="13" t="s">
        <v>288</v>
      </c>
      <c r="D576" s="21">
        <v>1</v>
      </c>
    </row>
    <row r="577" spans="3:4" x14ac:dyDescent="0.3">
      <c r="C577" s="13" t="s">
        <v>862</v>
      </c>
      <c r="D577" s="21">
        <v>1</v>
      </c>
    </row>
    <row r="578" spans="3:4" x14ac:dyDescent="0.3">
      <c r="C578" s="13" t="s">
        <v>1103</v>
      </c>
      <c r="D578" s="21">
        <v>1</v>
      </c>
    </row>
    <row r="579" spans="3:4" x14ac:dyDescent="0.3">
      <c r="C579" s="13" t="s">
        <v>974</v>
      </c>
      <c r="D579" s="21">
        <v>1</v>
      </c>
    </row>
    <row r="580" spans="3:4" x14ac:dyDescent="0.3">
      <c r="C580" s="13" t="s">
        <v>345</v>
      </c>
      <c r="D580" s="21">
        <v>1</v>
      </c>
    </row>
    <row r="581" spans="3:4" x14ac:dyDescent="0.3">
      <c r="C581" s="13" t="s">
        <v>906</v>
      </c>
      <c r="D581" s="21">
        <v>1</v>
      </c>
    </row>
    <row r="582" spans="3:4" x14ac:dyDescent="0.3">
      <c r="C582" s="13" t="s">
        <v>734</v>
      </c>
      <c r="D582" s="21">
        <v>1</v>
      </c>
    </row>
    <row r="583" spans="3:4" x14ac:dyDescent="0.3">
      <c r="C583" s="13" t="s">
        <v>1062</v>
      </c>
      <c r="D583" s="21">
        <v>1</v>
      </c>
    </row>
    <row r="584" spans="3:4" x14ac:dyDescent="0.3">
      <c r="C584" s="13" t="s">
        <v>668</v>
      </c>
      <c r="D584" s="21">
        <v>1</v>
      </c>
    </row>
    <row r="585" spans="3:4" x14ac:dyDescent="0.3">
      <c r="C585" s="13" t="s">
        <v>1025</v>
      </c>
      <c r="D585" s="21">
        <v>1</v>
      </c>
    </row>
    <row r="586" spans="3:4" x14ac:dyDescent="0.3">
      <c r="C586" s="13" t="s">
        <v>486</v>
      </c>
      <c r="D586" s="21">
        <v>1</v>
      </c>
    </row>
    <row r="587" spans="3:4" x14ac:dyDescent="0.3">
      <c r="C587" s="13" t="s">
        <v>972</v>
      </c>
      <c r="D587" s="21">
        <v>1</v>
      </c>
    </row>
    <row r="588" spans="3:4" x14ac:dyDescent="0.3">
      <c r="C588" s="13" t="s">
        <v>843</v>
      </c>
      <c r="D588" s="21">
        <v>1</v>
      </c>
    </row>
    <row r="589" spans="3:4" x14ac:dyDescent="0.3">
      <c r="C589" s="13" t="s">
        <v>999</v>
      </c>
      <c r="D589" s="21">
        <v>1</v>
      </c>
    </row>
    <row r="590" spans="3:4" x14ac:dyDescent="0.3">
      <c r="C590" s="13" t="s">
        <v>868</v>
      </c>
      <c r="D590" s="21">
        <v>1</v>
      </c>
    </row>
    <row r="591" spans="3:4" x14ac:dyDescent="0.3">
      <c r="C591" s="13" t="s">
        <v>279</v>
      </c>
      <c r="D591" s="21">
        <v>1</v>
      </c>
    </row>
    <row r="592" spans="3:4" x14ac:dyDescent="0.3">
      <c r="C592" s="13" t="s">
        <v>1065</v>
      </c>
      <c r="D592" s="21">
        <v>1</v>
      </c>
    </row>
    <row r="593" spans="3:4" x14ac:dyDescent="0.3">
      <c r="C593" s="13" t="s">
        <v>1084</v>
      </c>
      <c r="D593" s="21">
        <v>1</v>
      </c>
    </row>
    <row r="594" spans="3:4" x14ac:dyDescent="0.3">
      <c r="C594" s="13" t="s">
        <v>825</v>
      </c>
      <c r="D594" s="21">
        <v>1</v>
      </c>
    </row>
    <row r="595" spans="3:4" x14ac:dyDescent="0.3">
      <c r="C595" s="13" t="s">
        <v>1075</v>
      </c>
      <c r="D595" s="21">
        <v>1</v>
      </c>
    </row>
    <row r="596" spans="3:4" x14ac:dyDescent="0.3">
      <c r="C596" s="13" t="s">
        <v>272</v>
      </c>
      <c r="D596" s="21">
        <v>1</v>
      </c>
    </row>
    <row r="597" spans="3:4" x14ac:dyDescent="0.3">
      <c r="C597" s="13" t="s">
        <v>96</v>
      </c>
      <c r="D597" s="21">
        <v>1</v>
      </c>
    </row>
    <row r="598" spans="3:4" x14ac:dyDescent="0.3">
      <c r="C598" s="13" t="s">
        <v>256</v>
      </c>
      <c r="D598" s="21">
        <v>1</v>
      </c>
    </row>
    <row r="599" spans="3:4" x14ac:dyDescent="0.3">
      <c r="C599" s="13" t="s">
        <v>515</v>
      </c>
      <c r="D599" s="21">
        <v>1</v>
      </c>
    </row>
    <row r="600" spans="3:4" x14ac:dyDescent="0.3">
      <c r="C600" s="13" t="s">
        <v>661</v>
      </c>
      <c r="D600" s="21">
        <v>1</v>
      </c>
    </row>
    <row r="601" spans="3:4" x14ac:dyDescent="0.3">
      <c r="C601" s="13" t="s">
        <v>573</v>
      </c>
      <c r="D601" s="21">
        <v>1</v>
      </c>
    </row>
    <row r="602" spans="3:4" x14ac:dyDescent="0.3">
      <c r="C602" s="13" t="s">
        <v>466</v>
      </c>
      <c r="D602" s="21">
        <v>1</v>
      </c>
    </row>
    <row r="603" spans="3:4" x14ac:dyDescent="0.3">
      <c r="C603" s="13" t="s">
        <v>82</v>
      </c>
      <c r="D603" s="21">
        <v>1</v>
      </c>
    </row>
    <row r="604" spans="3:4" x14ac:dyDescent="0.3">
      <c r="C604" s="13" t="s">
        <v>293</v>
      </c>
      <c r="D604" s="21">
        <v>1</v>
      </c>
    </row>
    <row r="605" spans="3:4" x14ac:dyDescent="0.3">
      <c r="C605" s="13" t="s">
        <v>379</v>
      </c>
      <c r="D605" s="21">
        <v>1</v>
      </c>
    </row>
    <row r="606" spans="3:4" x14ac:dyDescent="0.3">
      <c r="C606" s="13" t="s">
        <v>235</v>
      </c>
      <c r="D606" s="21">
        <v>1</v>
      </c>
    </row>
    <row r="607" spans="3:4" x14ac:dyDescent="0.3">
      <c r="C607" s="13" t="s">
        <v>547</v>
      </c>
      <c r="D607" s="21">
        <v>1</v>
      </c>
    </row>
    <row r="608" spans="3:4" x14ac:dyDescent="0.3">
      <c r="C608" s="13" t="s">
        <v>828</v>
      </c>
      <c r="D608" s="21">
        <v>1</v>
      </c>
    </row>
    <row r="609" spans="3:4" x14ac:dyDescent="0.3">
      <c r="C609" s="13" t="s">
        <v>1009</v>
      </c>
      <c r="D609" s="21">
        <v>1</v>
      </c>
    </row>
    <row r="610" spans="3:4" x14ac:dyDescent="0.3">
      <c r="C610" s="13" t="s">
        <v>894</v>
      </c>
      <c r="D610" s="21">
        <v>1</v>
      </c>
    </row>
    <row r="611" spans="3:4" x14ac:dyDescent="0.3">
      <c r="C611" s="13" t="s">
        <v>177</v>
      </c>
      <c r="D611" s="21">
        <v>1</v>
      </c>
    </row>
    <row r="612" spans="3:4" x14ac:dyDescent="0.3">
      <c r="C612" s="13" t="s">
        <v>384</v>
      </c>
      <c r="D612" s="21">
        <v>1</v>
      </c>
    </row>
    <row r="613" spans="3:4" x14ac:dyDescent="0.3">
      <c r="C613" s="13" t="s">
        <v>876</v>
      </c>
      <c r="D613" s="21">
        <v>1</v>
      </c>
    </row>
    <row r="614" spans="3:4" x14ac:dyDescent="0.3">
      <c r="C614" s="13" t="s">
        <v>459</v>
      </c>
      <c r="D614" s="21">
        <v>1</v>
      </c>
    </row>
    <row r="615" spans="3:4" x14ac:dyDescent="0.3">
      <c r="C615" s="13" t="s">
        <v>601</v>
      </c>
      <c r="D615" s="21">
        <v>1</v>
      </c>
    </row>
    <row r="616" spans="3:4" x14ac:dyDescent="0.3">
      <c r="C616" s="13" t="s">
        <v>27</v>
      </c>
      <c r="D616" s="21">
        <v>1</v>
      </c>
    </row>
    <row r="617" spans="3:4" x14ac:dyDescent="0.3">
      <c r="C617" s="13" t="s">
        <v>930</v>
      </c>
      <c r="D617" s="21">
        <v>1</v>
      </c>
    </row>
    <row r="618" spans="3:4" x14ac:dyDescent="0.3">
      <c r="C618" s="13" t="s">
        <v>801</v>
      </c>
      <c r="D618" s="21">
        <v>1</v>
      </c>
    </row>
    <row r="619" spans="3:4" x14ac:dyDescent="0.3">
      <c r="C619" s="13" t="s">
        <v>622</v>
      </c>
      <c r="D619" s="21">
        <v>1</v>
      </c>
    </row>
    <row r="620" spans="3:4" x14ac:dyDescent="0.3">
      <c r="C620" s="13" t="s">
        <v>564</v>
      </c>
      <c r="D620" s="21">
        <v>1</v>
      </c>
    </row>
    <row r="621" spans="3:4" x14ac:dyDescent="0.3">
      <c r="C621" s="13" t="s">
        <v>45</v>
      </c>
      <c r="D621" s="21">
        <v>1</v>
      </c>
    </row>
    <row r="622" spans="3:4" x14ac:dyDescent="0.3">
      <c r="C622" s="13" t="s">
        <v>983</v>
      </c>
      <c r="D622" s="21">
        <v>1</v>
      </c>
    </row>
    <row r="623" spans="3:4" x14ac:dyDescent="0.3">
      <c r="C623" s="13" t="s">
        <v>444</v>
      </c>
      <c r="D623" s="21">
        <v>1</v>
      </c>
    </row>
    <row r="624" spans="3:4" x14ac:dyDescent="0.3">
      <c r="C624" s="13" t="s">
        <v>824</v>
      </c>
      <c r="D624" s="21">
        <v>1</v>
      </c>
    </row>
    <row r="625" spans="3:4" x14ac:dyDescent="0.3">
      <c r="C625" s="13" t="s">
        <v>540</v>
      </c>
      <c r="D625" s="21">
        <v>1</v>
      </c>
    </row>
    <row r="626" spans="3:4" x14ac:dyDescent="0.3">
      <c r="C626" s="13" t="s">
        <v>1058</v>
      </c>
      <c r="D626" s="21">
        <v>1</v>
      </c>
    </row>
    <row r="627" spans="3:4" x14ac:dyDescent="0.3">
      <c r="C627" s="13" t="s">
        <v>594</v>
      </c>
      <c r="D627" s="21">
        <v>1</v>
      </c>
    </row>
    <row r="628" spans="3:4" x14ac:dyDescent="0.3">
      <c r="C628" s="13" t="s">
        <v>835</v>
      </c>
      <c r="D628" s="21">
        <v>1</v>
      </c>
    </row>
    <row r="629" spans="3:4" x14ac:dyDescent="0.3">
      <c r="C629" s="13" t="s">
        <v>978</v>
      </c>
      <c r="D629" s="21">
        <v>1</v>
      </c>
    </row>
    <row r="630" spans="3:4" x14ac:dyDescent="0.3">
      <c r="C630" s="13" t="s">
        <v>760</v>
      </c>
      <c r="D630" s="21">
        <v>1</v>
      </c>
    </row>
    <row r="631" spans="3:4" x14ac:dyDescent="0.3">
      <c r="C631" s="13" t="s">
        <v>159</v>
      </c>
      <c r="D631" s="21">
        <v>1</v>
      </c>
    </row>
    <row r="632" spans="3:4" x14ac:dyDescent="0.3">
      <c r="C632" s="13" t="s">
        <v>268</v>
      </c>
      <c r="D632" s="21">
        <v>1</v>
      </c>
    </row>
    <row r="633" spans="3:4" x14ac:dyDescent="0.3">
      <c r="C633" s="13" t="s">
        <v>166</v>
      </c>
      <c r="D633" s="21">
        <v>1</v>
      </c>
    </row>
    <row r="634" spans="3:4" x14ac:dyDescent="0.3">
      <c r="C634" s="13" t="s">
        <v>121</v>
      </c>
      <c r="D634" s="21">
        <v>1</v>
      </c>
    </row>
    <row r="635" spans="3:4" x14ac:dyDescent="0.3">
      <c r="C635" s="13" t="s">
        <v>1038</v>
      </c>
      <c r="D635" s="21">
        <v>1</v>
      </c>
    </row>
    <row r="636" spans="3:4" x14ac:dyDescent="0.3">
      <c r="C636" s="13" t="s">
        <v>47</v>
      </c>
      <c r="D636" s="21">
        <v>1</v>
      </c>
    </row>
    <row r="637" spans="3:4" x14ac:dyDescent="0.3">
      <c r="C637" s="13" t="s">
        <v>1076</v>
      </c>
      <c r="D637" s="21">
        <v>1</v>
      </c>
    </row>
    <row r="638" spans="3:4" x14ac:dyDescent="0.3">
      <c r="C638" s="13" t="s">
        <v>950</v>
      </c>
      <c r="D638" s="21">
        <v>1</v>
      </c>
    </row>
    <row r="639" spans="3:4" x14ac:dyDescent="0.3">
      <c r="C639" s="13" t="s">
        <v>890</v>
      </c>
      <c r="D639" s="21">
        <v>1</v>
      </c>
    </row>
    <row r="640" spans="3:4" x14ac:dyDescent="0.3">
      <c r="C640" s="13" t="s">
        <v>241</v>
      </c>
      <c r="D640" s="21">
        <v>1</v>
      </c>
    </row>
    <row r="641" spans="3:4" x14ac:dyDescent="0.3">
      <c r="C641" s="13" t="s">
        <v>119</v>
      </c>
      <c r="D641" s="21">
        <v>1</v>
      </c>
    </row>
    <row r="642" spans="3:4" x14ac:dyDescent="0.3">
      <c r="C642" s="13" t="s">
        <v>1110</v>
      </c>
      <c r="D642" s="21">
        <v>1</v>
      </c>
    </row>
    <row r="643" spans="3:4" x14ac:dyDescent="0.3">
      <c r="C643" s="13" t="s">
        <v>1033</v>
      </c>
      <c r="D643" s="21">
        <v>1</v>
      </c>
    </row>
    <row r="644" spans="3:4" x14ac:dyDescent="0.3">
      <c r="C644" s="13" t="s">
        <v>92</v>
      </c>
      <c r="D644" s="21">
        <v>1</v>
      </c>
    </row>
    <row r="645" spans="3:4" x14ac:dyDescent="0.3">
      <c r="C645" s="13" t="s">
        <v>111</v>
      </c>
      <c r="D645" s="21">
        <v>1</v>
      </c>
    </row>
    <row r="646" spans="3:4" x14ac:dyDescent="0.3">
      <c r="C646" s="13" t="s">
        <v>990</v>
      </c>
      <c r="D646" s="21">
        <v>1</v>
      </c>
    </row>
    <row r="647" spans="3:4" x14ac:dyDescent="0.3">
      <c r="C647" s="13" t="s">
        <v>882</v>
      </c>
      <c r="D647" s="21">
        <v>1</v>
      </c>
    </row>
    <row r="648" spans="3:4" x14ac:dyDescent="0.3">
      <c r="C648" s="13" t="s">
        <v>436</v>
      </c>
      <c r="D648" s="21">
        <v>1</v>
      </c>
    </row>
    <row r="649" spans="3:4" x14ac:dyDescent="0.3">
      <c r="C649" s="13" t="s">
        <v>651</v>
      </c>
      <c r="D649" s="21">
        <v>1</v>
      </c>
    </row>
    <row r="650" spans="3:4" x14ac:dyDescent="0.3">
      <c r="C650" s="13" t="s">
        <v>966</v>
      </c>
      <c r="D650" s="21">
        <v>1</v>
      </c>
    </row>
    <row r="651" spans="3:4" x14ac:dyDescent="0.3">
      <c r="C651" s="13" t="s">
        <v>1113</v>
      </c>
      <c r="D651" s="21">
        <v>1</v>
      </c>
    </row>
    <row r="652" spans="3:4" x14ac:dyDescent="0.3">
      <c r="C652" s="13" t="s">
        <v>735</v>
      </c>
      <c r="D652" s="21">
        <v>1</v>
      </c>
    </row>
    <row r="653" spans="3:4" x14ac:dyDescent="0.3">
      <c r="C653" s="13" t="s">
        <v>752</v>
      </c>
      <c r="D653" s="21">
        <v>1</v>
      </c>
    </row>
    <row r="654" spans="3:4" x14ac:dyDescent="0.3">
      <c r="C654" s="13" t="s">
        <v>857</v>
      </c>
      <c r="D654" s="21">
        <v>1</v>
      </c>
    </row>
    <row r="655" spans="3:4" x14ac:dyDescent="0.3">
      <c r="C655" s="13" t="s">
        <v>1109</v>
      </c>
      <c r="D655" s="21">
        <v>1</v>
      </c>
    </row>
    <row r="656" spans="3:4" x14ac:dyDescent="0.3">
      <c r="C656" s="13" t="s">
        <v>367</v>
      </c>
      <c r="D656" s="21">
        <v>1</v>
      </c>
    </row>
    <row r="657" spans="3:4" x14ac:dyDescent="0.3">
      <c r="C657" s="13" t="s">
        <v>37</v>
      </c>
      <c r="D657" s="21">
        <v>1</v>
      </c>
    </row>
    <row r="658" spans="3:4" x14ac:dyDescent="0.3">
      <c r="C658" s="13" t="s">
        <v>584</v>
      </c>
      <c r="D658" s="21">
        <v>1</v>
      </c>
    </row>
    <row r="659" spans="3:4" x14ac:dyDescent="0.3">
      <c r="C659" s="13" t="s">
        <v>190</v>
      </c>
      <c r="D659" s="21">
        <v>1</v>
      </c>
    </row>
    <row r="660" spans="3:4" x14ac:dyDescent="0.3">
      <c r="C660" s="13" t="s">
        <v>845</v>
      </c>
      <c r="D660" s="21">
        <v>1</v>
      </c>
    </row>
    <row r="661" spans="3:4" x14ac:dyDescent="0.3">
      <c r="C661" s="13" t="s">
        <v>334</v>
      </c>
      <c r="D661" s="21">
        <v>1</v>
      </c>
    </row>
    <row r="662" spans="3:4" x14ac:dyDescent="0.3">
      <c r="C662" s="13" t="s">
        <v>566</v>
      </c>
      <c r="D662" s="21">
        <v>1</v>
      </c>
    </row>
    <row r="663" spans="3:4" x14ac:dyDescent="0.3">
      <c r="C663" s="13" t="s">
        <v>792</v>
      </c>
      <c r="D663" s="21">
        <v>1</v>
      </c>
    </row>
    <row r="664" spans="3:4" x14ac:dyDescent="0.3">
      <c r="C664" s="13" t="s">
        <v>976</v>
      </c>
      <c r="D664" s="21">
        <v>1</v>
      </c>
    </row>
    <row r="665" spans="3:4" x14ac:dyDescent="0.3">
      <c r="C665" s="13" t="s">
        <v>64</v>
      </c>
      <c r="D665" s="21">
        <v>1</v>
      </c>
    </row>
    <row r="666" spans="3:4" x14ac:dyDescent="0.3">
      <c r="C666" s="13" t="s">
        <v>482</v>
      </c>
      <c r="D666" s="21">
        <v>1</v>
      </c>
    </row>
    <row r="667" spans="3:4" x14ac:dyDescent="0.3">
      <c r="C667" s="13" t="s">
        <v>25</v>
      </c>
      <c r="D667" s="21">
        <v>1</v>
      </c>
    </row>
    <row r="668" spans="3:4" x14ac:dyDescent="0.3">
      <c r="C668" s="13" t="s">
        <v>641</v>
      </c>
      <c r="D668" s="21">
        <v>1</v>
      </c>
    </row>
    <row r="669" spans="3:4" x14ac:dyDescent="0.3">
      <c r="C669" s="13" t="s">
        <v>639</v>
      </c>
      <c r="D669" s="21">
        <v>1</v>
      </c>
    </row>
    <row r="670" spans="3:4" x14ac:dyDescent="0.3">
      <c r="C670" s="13" t="s">
        <v>285</v>
      </c>
      <c r="D670" s="21">
        <v>1</v>
      </c>
    </row>
    <row r="671" spans="3:4" x14ac:dyDescent="0.3">
      <c r="C671" s="13" t="s">
        <v>689</v>
      </c>
      <c r="D671" s="21">
        <v>1</v>
      </c>
    </row>
    <row r="672" spans="3:4" x14ac:dyDescent="0.3">
      <c r="C672" s="13" t="s">
        <v>109</v>
      </c>
      <c r="D672" s="21">
        <v>1</v>
      </c>
    </row>
    <row r="673" spans="3:4" x14ac:dyDescent="0.3">
      <c r="C673" s="13" t="s">
        <v>140</v>
      </c>
      <c r="D673" s="21">
        <v>2</v>
      </c>
    </row>
    <row r="674" spans="3:4" x14ac:dyDescent="0.3">
      <c r="C674" s="13" t="s">
        <v>425</v>
      </c>
      <c r="D674" s="21">
        <v>1</v>
      </c>
    </row>
    <row r="675" spans="3:4" x14ac:dyDescent="0.3">
      <c r="C675" s="13" t="s">
        <v>1105</v>
      </c>
      <c r="D675" s="21">
        <v>1</v>
      </c>
    </row>
    <row r="676" spans="3:4" x14ac:dyDescent="0.3">
      <c r="C676" s="13" t="s">
        <v>832</v>
      </c>
      <c r="D676" s="21">
        <v>1</v>
      </c>
    </row>
    <row r="677" spans="3:4" x14ac:dyDescent="0.3">
      <c r="C677" s="13" t="s">
        <v>502</v>
      </c>
      <c r="D677" s="21">
        <v>1</v>
      </c>
    </row>
    <row r="678" spans="3:4" x14ac:dyDescent="0.3">
      <c r="C678" s="13" t="s">
        <v>985</v>
      </c>
      <c r="D678" s="21">
        <v>1</v>
      </c>
    </row>
    <row r="679" spans="3:4" x14ac:dyDescent="0.3">
      <c r="C679" s="13" t="s">
        <v>46</v>
      </c>
      <c r="D679" s="21">
        <v>1</v>
      </c>
    </row>
    <row r="680" spans="3:4" x14ac:dyDescent="0.3">
      <c r="C680" s="13" t="s">
        <v>553</v>
      </c>
      <c r="D680" s="21">
        <v>1</v>
      </c>
    </row>
    <row r="681" spans="3:4" x14ac:dyDescent="0.3">
      <c r="C681" s="13" t="s">
        <v>955</v>
      </c>
      <c r="D681" s="21">
        <v>1</v>
      </c>
    </row>
    <row r="682" spans="3:4" x14ac:dyDescent="0.3">
      <c r="C682" s="13" t="s">
        <v>738</v>
      </c>
      <c r="D682" s="21">
        <v>1</v>
      </c>
    </row>
    <row r="683" spans="3:4" x14ac:dyDescent="0.3">
      <c r="C683" s="13" t="s">
        <v>30</v>
      </c>
      <c r="D683" s="21">
        <v>1</v>
      </c>
    </row>
    <row r="684" spans="3:4" x14ac:dyDescent="0.3">
      <c r="C684" s="13" t="s">
        <v>544</v>
      </c>
      <c r="D684" s="21">
        <v>1</v>
      </c>
    </row>
    <row r="685" spans="3:4" x14ac:dyDescent="0.3">
      <c r="C685" s="13" t="s">
        <v>236</v>
      </c>
      <c r="D685" s="21">
        <v>1</v>
      </c>
    </row>
    <row r="686" spans="3:4" x14ac:dyDescent="0.3">
      <c r="C686" s="13" t="s">
        <v>495</v>
      </c>
      <c r="D686" s="21">
        <v>1</v>
      </c>
    </row>
    <row r="687" spans="3:4" x14ac:dyDescent="0.3">
      <c r="C687" s="13" t="s">
        <v>529</v>
      </c>
      <c r="D687" s="21">
        <v>1</v>
      </c>
    </row>
    <row r="688" spans="3:4" x14ac:dyDescent="0.3">
      <c r="C688" s="13" t="s">
        <v>165</v>
      </c>
      <c r="D688" s="21">
        <v>1</v>
      </c>
    </row>
    <row r="689" spans="3:4" x14ac:dyDescent="0.3">
      <c r="C689" s="13" t="s">
        <v>1088</v>
      </c>
      <c r="D689" s="21">
        <v>1</v>
      </c>
    </row>
    <row r="690" spans="3:4" x14ac:dyDescent="0.3">
      <c r="C690" s="13" t="s">
        <v>703</v>
      </c>
      <c r="D690" s="21">
        <v>1</v>
      </c>
    </row>
    <row r="691" spans="3:4" x14ac:dyDescent="0.3">
      <c r="C691" s="13" t="s">
        <v>541</v>
      </c>
      <c r="D691" s="21">
        <v>1</v>
      </c>
    </row>
    <row r="692" spans="3:4" x14ac:dyDescent="0.3">
      <c r="C692" s="13" t="s">
        <v>592</v>
      </c>
      <c r="D692" s="21">
        <v>1</v>
      </c>
    </row>
    <row r="693" spans="3:4" x14ac:dyDescent="0.3">
      <c r="C693" s="13" t="s">
        <v>271</v>
      </c>
      <c r="D693" s="21">
        <v>1</v>
      </c>
    </row>
    <row r="694" spans="3:4" x14ac:dyDescent="0.3">
      <c r="C694" s="13" t="s">
        <v>184</v>
      </c>
      <c r="D694" s="21">
        <v>1</v>
      </c>
    </row>
    <row r="695" spans="3:4" x14ac:dyDescent="0.3">
      <c r="C695" s="13" t="s">
        <v>23</v>
      </c>
      <c r="D695" s="21">
        <v>1</v>
      </c>
    </row>
    <row r="696" spans="3:4" x14ac:dyDescent="0.3">
      <c r="C696" s="13" t="s">
        <v>643</v>
      </c>
      <c r="D696" s="21">
        <v>1</v>
      </c>
    </row>
    <row r="697" spans="3:4" x14ac:dyDescent="0.3">
      <c r="C697" s="13" t="s">
        <v>112</v>
      </c>
      <c r="D697" s="21">
        <v>1</v>
      </c>
    </row>
    <row r="698" spans="3:4" x14ac:dyDescent="0.3">
      <c r="C698" s="13" t="s">
        <v>1074</v>
      </c>
      <c r="D698" s="21">
        <v>1</v>
      </c>
    </row>
    <row r="699" spans="3:4" x14ac:dyDescent="0.3">
      <c r="C699" s="13" t="s">
        <v>270</v>
      </c>
      <c r="D699" s="21">
        <v>1</v>
      </c>
    </row>
    <row r="700" spans="3:4" x14ac:dyDescent="0.3">
      <c r="C700" s="13" t="s">
        <v>249</v>
      </c>
      <c r="D700" s="21">
        <v>1</v>
      </c>
    </row>
    <row r="701" spans="3:4" x14ac:dyDescent="0.3">
      <c r="C701" s="13" t="s">
        <v>329</v>
      </c>
      <c r="D701" s="21">
        <v>1</v>
      </c>
    </row>
    <row r="702" spans="3:4" x14ac:dyDescent="0.3">
      <c r="C702" s="13" t="s">
        <v>106</v>
      </c>
      <c r="D702" s="21">
        <v>1</v>
      </c>
    </row>
    <row r="703" spans="3:4" x14ac:dyDescent="0.3">
      <c r="C703" s="13" t="s">
        <v>748</v>
      </c>
      <c r="D703" s="21">
        <v>1</v>
      </c>
    </row>
    <row r="704" spans="3:4" x14ac:dyDescent="0.3">
      <c r="C704" s="13" t="s">
        <v>644</v>
      </c>
      <c r="D704" s="21">
        <v>1</v>
      </c>
    </row>
    <row r="705" spans="3:4" x14ac:dyDescent="0.3">
      <c r="C705" s="13" t="s">
        <v>989</v>
      </c>
      <c r="D705" s="21">
        <v>1</v>
      </c>
    </row>
    <row r="706" spans="3:4" x14ac:dyDescent="0.3">
      <c r="C706" s="13" t="s">
        <v>773</v>
      </c>
      <c r="D706" s="21">
        <v>1</v>
      </c>
    </row>
    <row r="707" spans="3:4" x14ac:dyDescent="0.3">
      <c r="C707" s="13" t="s">
        <v>275</v>
      </c>
      <c r="D707" s="21">
        <v>1</v>
      </c>
    </row>
    <row r="708" spans="3:4" x14ac:dyDescent="0.3">
      <c r="C708" s="13" t="s">
        <v>921</v>
      </c>
      <c r="D708" s="21">
        <v>1</v>
      </c>
    </row>
    <row r="709" spans="3:4" x14ac:dyDescent="0.3">
      <c r="C709" s="13" t="s">
        <v>366</v>
      </c>
      <c r="D709" s="21">
        <v>1</v>
      </c>
    </row>
    <row r="710" spans="3:4" x14ac:dyDescent="0.3">
      <c r="C710" s="13" t="s">
        <v>442</v>
      </c>
      <c r="D710" s="21">
        <v>1</v>
      </c>
    </row>
    <row r="711" spans="3:4" x14ac:dyDescent="0.3">
      <c r="C711" s="13" t="s">
        <v>889</v>
      </c>
      <c r="D711" s="21">
        <v>1</v>
      </c>
    </row>
    <row r="712" spans="3:4" x14ac:dyDescent="0.3">
      <c r="C712" s="13" t="s">
        <v>451</v>
      </c>
      <c r="D712" s="21">
        <v>1</v>
      </c>
    </row>
    <row r="713" spans="3:4" x14ac:dyDescent="0.3">
      <c r="C713" s="13" t="s">
        <v>940</v>
      </c>
      <c r="D713" s="21">
        <v>1</v>
      </c>
    </row>
    <row r="714" spans="3:4" x14ac:dyDescent="0.3">
      <c r="C714" s="13" t="s">
        <v>21</v>
      </c>
      <c r="D714" s="21">
        <v>1</v>
      </c>
    </row>
    <row r="715" spans="3:4" x14ac:dyDescent="0.3">
      <c r="C715" s="13" t="s">
        <v>852</v>
      </c>
      <c r="D715" s="21">
        <v>1</v>
      </c>
    </row>
    <row r="716" spans="3:4" x14ac:dyDescent="0.3">
      <c r="C716" s="13" t="s">
        <v>690</v>
      </c>
      <c r="D716" s="21">
        <v>1</v>
      </c>
    </row>
    <row r="717" spans="3:4" x14ac:dyDescent="0.3">
      <c r="C717" s="13" t="s">
        <v>722</v>
      </c>
      <c r="D717" s="21">
        <v>1</v>
      </c>
    </row>
    <row r="718" spans="3:4" x14ac:dyDescent="0.3">
      <c r="C718" s="13" t="s">
        <v>93</v>
      </c>
      <c r="D718" s="21">
        <v>1</v>
      </c>
    </row>
    <row r="719" spans="3:4" x14ac:dyDescent="0.3">
      <c r="C719" s="13" t="s">
        <v>477</v>
      </c>
      <c r="D719" s="21">
        <v>1</v>
      </c>
    </row>
    <row r="720" spans="3:4" x14ac:dyDescent="0.3">
      <c r="C720" s="13" t="s">
        <v>798</v>
      </c>
      <c r="D720" s="21">
        <v>1</v>
      </c>
    </row>
    <row r="721" spans="3:4" x14ac:dyDescent="0.3">
      <c r="C721" s="13" t="s">
        <v>26</v>
      </c>
      <c r="D721" s="21">
        <v>1</v>
      </c>
    </row>
    <row r="722" spans="3:4" x14ac:dyDescent="0.3">
      <c r="C722" s="13" t="s">
        <v>997</v>
      </c>
      <c r="D722" s="21">
        <v>1</v>
      </c>
    </row>
    <row r="723" spans="3:4" x14ac:dyDescent="0.3">
      <c r="C723" s="13" t="s">
        <v>95</v>
      </c>
      <c r="D723" s="21">
        <v>1</v>
      </c>
    </row>
    <row r="724" spans="3:4" x14ac:dyDescent="0.3">
      <c r="C724" s="13" t="s">
        <v>29</v>
      </c>
      <c r="D724" s="21">
        <v>1</v>
      </c>
    </row>
    <row r="725" spans="3:4" x14ac:dyDescent="0.3">
      <c r="C725" s="13" t="s">
        <v>863</v>
      </c>
      <c r="D725" s="21">
        <v>1</v>
      </c>
    </row>
    <row r="726" spans="3:4" x14ac:dyDescent="0.3">
      <c r="C726" s="13" t="s">
        <v>899</v>
      </c>
      <c r="D726" s="21">
        <v>1</v>
      </c>
    </row>
    <row r="727" spans="3:4" x14ac:dyDescent="0.3">
      <c r="C727" s="13" t="s">
        <v>784</v>
      </c>
      <c r="D727" s="21">
        <v>1</v>
      </c>
    </row>
    <row r="728" spans="3:4" x14ac:dyDescent="0.3">
      <c r="C728" s="13" t="s">
        <v>945</v>
      </c>
      <c r="D728" s="21">
        <v>1</v>
      </c>
    </row>
    <row r="729" spans="3:4" x14ac:dyDescent="0.3">
      <c r="C729" s="13" t="s">
        <v>638</v>
      </c>
      <c r="D729" s="21">
        <v>1</v>
      </c>
    </row>
    <row r="730" spans="3:4" x14ac:dyDescent="0.3">
      <c r="C730" s="13" t="s">
        <v>1100</v>
      </c>
      <c r="D730" s="21">
        <v>1</v>
      </c>
    </row>
    <row r="731" spans="3:4" x14ac:dyDescent="0.3">
      <c r="C731" s="13" t="s">
        <v>817</v>
      </c>
      <c r="D731" s="21">
        <v>1</v>
      </c>
    </row>
    <row r="732" spans="3:4" x14ac:dyDescent="0.3">
      <c r="C732" s="13" t="s">
        <v>1080</v>
      </c>
      <c r="D732" s="21">
        <v>1</v>
      </c>
    </row>
    <row r="733" spans="3:4" x14ac:dyDescent="0.3">
      <c r="C733" s="13" t="s">
        <v>417</v>
      </c>
      <c r="D733" s="21">
        <v>1</v>
      </c>
    </row>
    <row r="734" spans="3:4" x14ac:dyDescent="0.3">
      <c r="C734" s="13" t="s">
        <v>181</v>
      </c>
      <c r="D734" s="21">
        <v>2</v>
      </c>
    </row>
    <row r="735" spans="3:4" x14ac:dyDescent="0.3">
      <c r="C735" s="13" t="s">
        <v>1042</v>
      </c>
      <c r="D735" s="21">
        <v>1</v>
      </c>
    </row>
    <row r="736" spans="3:4" x14ac:dyDescent="0.3">
      <c r="C736" s="13" t="s">
        <v>628</v>
      </c>
      <c r="D736" s="21">
        <v>1</v>
      </c>
    </row>
    <row r="737" spans="3:4" x14ac:dyDescent="0.3">
      <c r="C737" s="13" t="s">
        <v>785</v>
      </c>
      <c r="D737" s="21">
        <v>1</v>
      </c>
    </row>
    <row r="738" spans="3:4" x14ac:dyDescent="0.3">
      <c r="C738" s="13" t="s">
        <v>469</v>
      </c>
      <c r="D738" s="21">
        <v>1</v>
      </c>
    </row>
    <row r="739" spans="3:4" x14ac:dyDescent="0.3">
      <c r="C739" s="13" t="s">
        <v>110</v>
      </c>
      <c r="D739" s="21">
        <v>1</v>
      </c>
    </row>
    <row r="740" spans="3:4" x14ac:dyDescent="0.3">
      <c r="C740" s="13" t="s">
        <v>127</v>
      </c>
      <c r="D740" s="21">
        <v>1</v>
      </c>
    </row>
    <row r="741" spans="3:4" x14ac:dyDescent="0.3">
      <c r="C741" s="13" t="s">
        <v>986</v>
      </c>
      <c r="D741" s="21">
        <v>1</v>
      </c>
    </row>
    <row r="742" spans="3:4" x14ac:dyDescent="0.3">
      <c r="C742" s="13" t="s">
        <v>904</v>
      </c>
      <c r="D742" s="21">
        <v>1</v>
      </c>
    </row>
    <row r="743" spans="3:4" x14ac:dyDescent="0.3">
      <c r="C743" s="13" t="s">
        <v>350</v>
      </c>
      <c r="D743" s="21">
        <v>1</v>
      </c>
    </row>
    <row r="744" spans="3:4" x14ac:dyDescent="0.3">
      <c r="C744" s="13" t="s">
        <v>1016</v>
      </c>
      <c r="D744" s="21">
        <v>1</v>
      </c>
    </row>
    <row r="745" spans="3:4" x14ac:dyDescent="0.3">
      <c r="C745" s="13" t="s">
        <v>258</v>
      </c>
      <c r="D745" s="21">
        <v>1</v>
      </c>
    </row>
    <row r="746" spans="3:4" x14ac:dyDescent="0.3">
      <c r="C746" s="13" t="s">
        <v>1039</v>
      </c>
      <c r="D746" s="21">
        <v>1</v>
      </c>
    </row>
    <row r="747" spans="3:4" x14ac:dyDescent="0.3">
      <c r="C747" s="13" t="s">
        <v>39</v>
      </c>
      <c r="D747" s="21">
        <v>1</v>
      </c>
    </row>
    <row r="748" spans="3:4" x14ac:dyDescent="0.3">
      <c r="C748" s="13" t="s">
        <v>453</v>
      </c>
      <c r="D748" s="21">
        <v>1</v>
      </c>
    </row>
    <row r="749" spans="3:4" x14ac:dyDescent="0.3">
      <c r="C749" s="13" t="s">
        <v>618</v>
      </c>
      <c r="D749" s="21">
        <v>1</v>
      </c>
    </row>
    <row r="750" spans="3:4" x14ac:dyDescent="0.3">
      <c r="C750" s="13" t="s">
        <v>53</v>
      </c>
      <c r="D750" s="21">
        <v>1</v>
      </c>
    </row>
    <row r="751" spans="3:4" x14ac:dyDescent="0.3">
      <c r="C751" s="13" t="s">
        <v>450</v>
      </c>
      <c r="D751" s="21">
        <v>1</v>
      </c>
    </row>
    <row r="752" spans="3:4" x14ac:dyDescent="0.3">
      <c r="C752" s="13" t="s">
        <v>476</v>
      </c>
      <c r="D752" s="21">
        <v>1</v>
      </c>
    </row>
    <row r="753" spans="3:4" x14ac:dyDescent="0.3">
      <c r="C753" s="13" t="s">
        <v>333</v>
      </c>
      <c r="D753" s="21">
        <v>1</v>
      </c>
    </row>
    <row r="754" spans="3:4" x14ac:dyDescent="0.3">
      <c r="C754" s="13" t="s">
        <v>936</v>
      </c>
      <c r="D754" s="21">
        <v>1</v>
      </c>
    </row>
    <row r="755" spans="3:4" x14ac:dyDescent="0.3">
      <c r="C755" s="13" t="s">
        <v>299</v>
      </c>
      <c r="D755" s="21">
        <v>1</v>
      </c>
    </row>
    <row r="756" spans="3:4" x14ac:dyDescent="0.3">
      <c r="C756" s="13" t="s">
        <v>510</v>
      </c>
      <c r="D756" s="21">
        <v>1</v>
      </c>
    </row>
    <row r="757" spans="3:4" x14ac:dyDescent="0.3">
      <c r="C757" s="13" t="s">
        <v>887</v>
      </c>
      <c r="D757" s="21">
        <v>1</v>
      </c>
    </row>
    <row r="758" spans="3:4" x14ac:dyDescent="0.3">
      <c r="C758" s="13" t="s">
        <v>171</v>
      </c>
      <c r="D758" s="21">
        <v>1</v>
      </c>
    </row>
    <row r="759" spans="3:4" x14ac:dyDescent="0.3">
      <c r="C759" s="13" t="s">
        <v>534</v>
      </c>
      <c r="D759" s="21">
        <v>1</v>
      </c>
    </row>
    <row r="760" spans="3:4" x14ac:dyDescent="0.3">
      <c r="C760" s="13" t="s">
        <v>185</v>
      </c>
      <c r="D760" s="21">
        <v>1</v>
      </c>
    </row>
    <row r="761" spans="3:4" x14ac:dyDescent="0.3">
      <c r="C761" s="13" t="s">
        <v>777</v>
      </c>
      <c r="D761" s="21">
        <v>1</v>
      </c>
    </row>
    <row r="762" spans="3:4" x14ac:dyDescent="0.3">
      <c r="C762" s="13" t="s">
        <v>629</v>
      </c>
      <c r="D762" s="21">
        <v>1</v>
      </c>
    </row>
    <row r="763" spans="3:4" x14ac:dyDescent="0.3">
      <c r="C763" s="13" t="s">
        <v>373</v>
      </c>
      <c r="D763" s="21">
        <v>1</v>
      </c>
    </row>
    <row r="764" spans="3:4" x14ac:dyDescent="0.3">
      <c r="C764" s="13" t="s">
        <v>438</v>
      </c>
      <c r="D764" s="21">
        <v>1</v>
      </c>
    </row>
    <row r="765" spans="3:4" x14ac:dyDescent="0.3">
      <c r="C765" s="13" t="s">
        <v>388</v>
      </c>
      <c r="D765" s="21">
        <v>1</v>
      </c>
    </row>
    <row r="766" spans="3:4" x14ac:dyDescent="0.3">
      <c r="C766" s="13" t="s">
        <v>239</v>
      </c>
      <c r="D766" s="21">
        <v>1</v>
      </c>
    </row>
    <row r="767" spans="3:4" x14ac:dyDescent="0.3">
      <c r="C767" s="13" t="s">
        <v>924</v>
      </c>
      <c r="D767" s="21">
        <v>1</v>
      </c>
    </row>
    <row r="768" spans="3:4" x14ac:dyDescent="0.3">
      <c r="C768" s="13" t="s">
        <v>811</v>
      </c>
      <c r="D768" s="21">
        <v>1</v>
      </c>
    </row>
    <row r="769" spans="3:4" x14ac:dyDescent="0.3">
      <c r="C769" s="13" t="s">
        <v>414</v>
      </c>
      <c r="D769" s="21">
        <v>1</v>
      </c>
    </row>
    <row r="770" spans="3:4" x14ac:dyDescent="0.3">
      <c r="C770" s="13" t="s">
        <v>260</v>
      </c>
      <c r="D770" s="21">
        <v>2</v>
      </c>
    </row>
    <row r="771" spans="3:4" x14ac:dyDescent="0.3">
      <c r="C771" s="13" t="s">
        <v>570</v>
      </c>
      <c r="D771" s="21">
        <v>1</v>
      </c>
    </row>
    <row r="772" spans="3:4" x14ac:dyDescent="0.3">
      <c r="C772" s="13" t="s">
        <v>807</v>
      </c>
      <c r="D772" s="21">
        <v>1</v>
      </c>
    </row>
    <row r="773" spans="3:4" x14ac:dyDescent="0.3">
      <c r="C773" s="13" t="s">
        <v>304</v>
      </c>
      <c r="D773" s="21">
        <v>1</v>
      </c>
    </row>
    <row r="774" spans="3:4" x14ac:dyDescent="0.3">
      <c r="C774" s="13" t="s">
        <v>344</v>
      </c>
      <c r="D774" s="21">
        <v>1</v>
      </c>
    </row>
    <row r="775" spans="3:4" x14ac:dyDescent="0.3">
      <c r="C775" s="13" t="s">
        <v>1049</v>
      </c>
      <c r="D775" s="21">
        <v>1</v>
      </c>
    </row>
    <row r="776" spans="3:4" x14ac:dyDescent="0.3">
      <c r="C776" s="13" t="s">
        <v>909</v>
      </c>
      <c r="D776" s="21">
        <v>1</v>
      </c>
    </row>
    <row r="777" spans="3:4" x14ac:dyDescent="0.3">
      <c r="C777" s="13" t="s">
        <v>666</v>
      </c>
      <c r="D777" s="21">
        <v>1</v>
      </c>
    </row>
    <row r="778" spans="3:4" x14ac:dyDescent="0.3">
      <c r="C778" s="13" t="s">
        <v>42</v>
      </c>
      <c r="D778" s="21">
        <v>1</v>
      </c>
    </row>
    <row r="779" spans="3:4" x14ac:dyDescent="0.3">
      <c r="C779" s="13" t="s">
        <v>126</v>
      </c>
      <c r="D779" s="21">
        <v>1</v>
      </c>
    </row>
    <row r="780" spans="3:4" x14ac:dyDescent="0.3">
      <c r="C780" s="13" t="s">
        <v>606</v>
      </c>
      <c r="D780" s="21">
        <v>1</v>
      </c>
    </row>
    <row r="781" spans="3:4" x14ac:dyDescent="0.3">
      <c r="C781" s="13" t="s">
        <v>218</v>
      </c>
      <c r="D781" s="21">
        <v>1</v>
      </c>
    </row>
    <row r="782" spans="3:4" x14ac:dyDescent="0.3">
      <c r="C782" s="13" t="s">
        <v>1053</v>
      </c>
      <c r="D782" s="21">
        <v>1</v>
      </c>
    </row>
    <row r="783" spans="3:4" x14ac:dyDescent="0.3">
      <c r="C783" s="13" t="s">
        <v>504</v>
      </c>
      <c r="D783" s="21">
        <v>1</v>
      </c>
    </row>
    <row r="784" spans="3:4" x14ac:dyDescent="0.3">
      <c r="C784" s="13" t="s">
        <v>753</v>
      </c>
      <c r="D784" s="21">
        <v>1</v>
      </c>
    </row>
    <row r="785" spans="3:4" x14ac:dyDescent="0.3">
      <c r="C785" s="13" t="s">
        <v>878</v>
      </c>
      <c r="D785" s="21">
        <v>1</v>
      </c>
    </row>
    <row r="786" spans="3:4" x14ac:dyDescent="0.3">
      <c r="C786" s="13" t="s">
        <v>301</v>
      </c>
      <c r="D786" s="21">
        <v>2</v>
      </c>
    </row>
    <row r="787" spans="3:4" x14ac:dyDescent="0.3">
      <c r="C787" s="13" t="s">
        <v>582</v>
      </c>
      <c r="D787" s="21">
        <v>1</v>
      </c>
    </row>
    <row r="788" spans="3:4" x14ac:dyDescent="0.3">
      <c r="C788" s="13" t="s">
        <v>725</v>
      </c>
      <c r="D788" s="21">
        <v>1</v>
      </c>
    </row>
    <row r="789" spans="3:4" x14ac:dyDescent="0.3">
      <c r="C789" s="13" t="s">
        <v>89</v>
      </c>
      <c r="D789" s="21">
        <v>1</v>
      </c>
    </row>
    <row r="790" spans="3:4" x14ac:dyDescent="0.3">
      <c r="C790" s="13" t="s">
        <v>663</v>
      </c>
      <c r="D790" s="21">
        <v>1</v>
      </c>
    </row>
    <row r="791" spans="3:4" x14ac:dyDescent="0.3">
      <c r="C791" s="13" t="s">
        <v>202</v>
      </c>
      <c r="D791" s="21">
        <v>1</v>
      </c>
    </row>
    <row r="792" spans="3:4" x14ac:dyDescent="0.3">
      <c r="C792" s="13" t="s">
        <v>788</v>
      </c>
      <c r="D792" s="21">
        <v>1</v>
      </c>
    </row>
    <row r="793" spans="3:4" x14ac:dyDescent="0.3">
      <c r="C793" s="13" t="s">
        <v>322</v>
      </c>
      <c r="D793" s="21">
        <v>1</v>
      </c>
    </row>
    <row r="794" spans="3:4" x14ac:dyDescent="0.3">
      <c r="C794" s="13" t="s">
        <v>672</v>
      </c>
      <c r="D794" s="21">
        <v>1</v>
      </c>
    </row>
    <row r="795" spans="3:4" x14ac:dyDescent="0.3">
      <c r="C795" s="13" t="s">
        <v>269</v>
      </c>
      <c r="D795" s="21">
        <v>1</v>
      </c>
    </row>
    <row r="796" spans="3:4" x14ac:dyDescent="0.3">
      <c r="C796" s="13" t="s">
        <v>958</v>
      </c>
      <c r="D796" s="21">
        <v>1</v>
      </c>
    </row>
    <row r="797" spans="3:4" x14ac:dyDescent="0.3">
      <c r="C797" s="13" t="s">
        <v>980</v>
      </c>
      <c r="D797" s="21">
        <v>1</v>
      </c>
    </row>
    <row r="798" spans="3:4" x14ac:dyDescent="0.3">
      <c r="C798" s="13" t="s">
        <v>336</v>
      </c>
      <c r="D798" s="21">
        <v>1</v>
      </c>
    </row>
    <row r="799" spans="3:4" x14ac:dyDescent="0.3">
      <c r="C799" s="13" t="s">
        <v>612</v>
      </c>
      <c r="D799" s="21">
        <v>1</v>
      </c>
    </row>
    <row r="800" spans="3:4" x14ac:dyDescent="0.3">
      <c r="C800" s="13" t="s">
        <v>543</v>
      </c>
      <c r="D800" s="21">
        <v>1</v>
      </c>
    </row>
    <row r="801" spans="3:4" x14ac:dyDescent="0.3">
      <c r="C801" s="13" t="s">
        <v>737</v>
      </c>
      <c r="D801" s="21">
        <v>1</v>
      </c>
    </row>
    <row r="802" spans="3:4" x14ac:dyDescent="0.3">
      <c r="C802" s="13" t="s">
        <v>744</v>
      </c>
      <c r="D802" s="21">
        <v>1</v>
      </c>
    </row>
    <row r="803" spans="3:4" x14ac:dyDescent="0.3">
      <c r="C803" s="13" t="s">
        <v>595</v>
      </c>
      <c r="D803" s="21">
        <v>1</v>
      </c>
    </row>
    <row r="804" spans="3:4" x14ac:dyDescent="0.3">
      <c r="C804" s="13" t="s">
        <v>332</v>
      </c>
      <c r="D804" s="21">
        <v>1</v>
      </c>
    </row>
    <row r="805" spans="3:4" x14ac:dyDescent="0.3">
      <c r="C805" s="13" t="s">
        <v>971</v>
      </c>
      <c r="D805" s="21">
        <v>1</v>
      </c>
    </row>
    <row r="806" spans="3:4" x14ac:dyDescent="0.3">
      <c r="C806" s="13" t="s">
        <v>399</v>
      </c>
      <c r="D806" s="21">
        <v>1</v>
      </c>
    </row>
    <row r="807" spans="3:4" x14ac:dyDescent="0.3">
      <c r="C807" s="13" t="s">
        <v>443</v>
      </c>
      <c r="D807" s="21">
        <v>1</v>
      </c>
    </row>
    <row r="808" spans="3:4" x14ac:dyDescent="0.3">
      <c r="C808" s="13" t="s">
        <v>837</v>
      </c>
      <c r="D808" s="21">
        <v>1</v>
      </c>
    </row>
    <row r="809" spans="3:4" x14ac:dyDescent="0.3">
      <c r="C809" s="13" t="s">
        <v>829</v>
      </c>
      <c r="D809" s="21">
        <v>1</v>
      </c>
    </row>
    <row r="810" spans="3:4" x14ac:dyDescent="0.3">
      <c r="C810" s="13" t="s">
        <v>281</v>
      </c>
      <c r="D810" s="21">
        <v>1</v>
      </c>
    </row>
    <row r="811" spans="3:4" x14ac:dyDescent="0.3">
      <c r="C811" s="13" t="s">
        <v>221</v>
      </c>
      <c r="D811" s="21">
        <v>1</v>
      </c>
    </row>
    <row r="812" spans="3:4" x14ac:dyDescent="0.3">
      <c r="C812" s="13" t="s">
        <v>941</v>
      </c>
      <c r="D812" s="21">
        <v>1</v>
      </c>
    </row>
    <row r="813" spans="3:4" x14ac:dyDescent="0.3">
      <c r="C813" s="13" t="s">
        <v>645</v>
      </c>
      <c r="D813" s="21">
        <v>1</v>
      </c>
    </row>
    <row r="814" spans="3:4" x14ac:dyDescent="0.3">
      <c r="C814" s="13" t="s">
        <v>988</v>
      </c>
      <c r="D814" s="21">
        <v>1</v>
      </c>
    </row>
    <row r="815" spans="3:4" x14ac:dyDescent="0.3">
      <c r="C815" s="13" t="s">
        <v>410</v>
      </c>
      <c r="D815" s="21">
        <v>1</v>
      </c>
    </row>
    <row r="816" spans="3:4" x14ac:dyDescent="0.3">
      <c r="C816" s="13" t="s">
        <v>434</v>
      </c>
      <c r="D816" s="21">
        <v>1</v>
      </c>
    </row>
    <row r="817" spans="3:4" x14ac:dyDescent="0.3">
      <c r="C817" s="13" t="s">
        <v>1014</v>
      </c>
      <c r="D817" s="21">
        <v>1</v>
      </c>
    </row>
    <row r="818" spans="3:4" x14ac:dyDescent="0.3">
      <c r="C818" s="13" t="s">
        <v>572</v>
      </c>
      <c r="D818" s="21">
        <v>1</v>
      </c>
    </row>
    <row r="819" spans="3:4" x14ac:dyDescent="0.3">
      <c r="C819" s="13" t="s">
        <v>393</v>
      </c>
      <c r="D819" s="21">
        <v>1</v>
      </c>
    </row>
    <row r="820" spans="3:4" x14ac:dyDescent="0.3">
      <c r="C820" s="13" t="s">
        <v>1021</v>
      </c>
      <c r="D820" s="21">
        <v>1</v>
      </c>
    </row>
    <row r="821" spans="3:4" x14ac:dyDescent="0.3">
      <c r="C821" s="13" t="s">
        <v>208</v>
      </c>
      <c r="D821" s="21">
        <v>1</v>
      </c>
    </row>
    <row r="822" spans="3:4" x14ac:dyDescent="0.3">
      <c r="C822" s="13" t="s">
        <v>580</v>
      </c>
      <c r="D822" s="21">
        <v>1</v>
      </c>
    </row>
    <row r="823" spans="3:4" x14ac:dyDescent="0.3">
      <c r="C823" s="13" t="s">
        <v>605</v>
      </c>
      <c r="D823" s="21">
        <v>1</v>
      </c>
    </row>
    <row r="824" spans="3:4" x14ac:dyDescent="0.3">
      <c r="C824" s="13" t="s">
        <v>22</v>
      </c>
      <c r="D824" s="21">
        <v>1</v>
      </c>
    </row>
    <row r="825" spans="3:4" x14ac:dyDescent="0.3">
      <c r="C825" s="13" t="s">
        <v>809</v>
      </c>
      <c r="D825" s="21">
        <v>1</v>
      </c>
    </row>
    <row r="826" spans="3:4" x14ac:dyDescent="0.3">
      <c r="C826" s="13" t="s">
        <v>745</v>
      </c>
      <c r="D826" s="21">
        <v>1</v>
      </c>
    </row>
    <row r="827" spans="3:4" x14ac:dyDescent="0.3">
      <c r="C827" s="13" t="s">
        <v>496</v>
      </c>
      <c r="D827" s="21">
        <v>1</v>
      </c>
    </row>
    <row r="828" spans="3:4" x14ac:dyDescent="0.3">
      <c r="C828" s="13" t="s">
        <v>464</v>
      </c>
      <c r="D828" s="21">
        <v>1</v>
      </c>
    </row>
    <row r="829" spans="3:4" x14ac:dyDescent="0.3">
      <c r="C829" s="13" t="s">
        <v>623</v>
      </c>
      <c r="D829" s="21">
        <v>1</v>
      </c>
    </row>
    <row r="830" spans="3:4" x14ac:dyDescent="0.3">
      <c r="C830" s="13" t="s">
        <v>327</v>
      </c>
      <c r="D830" s="21">
        <v>1</v>
      </c>
    </row>
    <row r="831" spans="3:4" x14ac:dyDescent="0.3">
      <c r="C831" s="13" t="s">
        <v>687</v>
      </c>
      <c r="D831" s="21">
        <v>1</v>
      </c>
    </row>
    <row r="832" spans="3:4" x14ac:dyDescent="0.3">
      <c r="C832" s="13" t="s">
        <v>494</v>
      </c>
      <c r="D832" s="21">
        <v>1</v>
      </c>
    </row>
    <row r="833" spans="3:4" x14ac:dyDescent="0.3">
      <c r="C833" s="13" t="s">
        <v>938</v>
      </c>
      <c r="D833" s="21">
        <v>1</v>
      </c>
    </row>
    <row r="834" spans="3:4" x14ac:dyDescent="0.3">
      <c r="C834" s="13" t="s">
        <v>44</v>
      </c>
      <c r="D834" s="21">
        <v>1</v>
      </c>
    </row>
    <row r="835" spans="3:4" x14ac:dyDescent="0.3">
      <c r="C835" s="13" t="s">
        <v>1048</v>
      </c>
      <c r="D835" s="21">
        <v>1</v>
      </c>
    </row>
    <row r="836" spans="3:4" x14ac:dyDescent="0.3">
      <c r="C836" s="13" t="s">
        <v>657</v>
      </c>
      <c r="D836" s="21">
        <v>1</v>
      </c>
    </row>
    <row r="837" spans="3:4" x14ac:dyDescent="0.3">
      <c r="C837" s="13" t="s">
        <v>380</v>
      </c>
      <c r="D837" s="21">
        <v>1</v>
      </c>
    </row>
    <row r="838" spans="3:4" x14ac:dyDescent="0.3">
      <c r="C838" s="13" t="s">
        <v>1035</v>
      </c>
      <c r="D838" s="21">
        <v>1</v>
      </c>
    </row>
    <row r="839" spans="3:4" x14ac:dyDescent="0.3">
      <c r="C839" s="13" t="s">
        <v>216</v>
      </c>
      <c r="D839" s="21">
        <v>1</v>
      </c>
    </row>
    <row r="840" spans="3:4" x14ac:dyDescent="0.3">
      <c r="C840" s="13" t="s">
        <v>170</v>
      </c>
      <c r="D840" s="21">
        <v>1</v>
      </c>
    </row>
    <row r="841" spans="3:4" x14ac:dyDescent="0.3">
      <c r="C841" s="13" t="s">
        <v>50</v>
      </c>
      <c r="D841" s="21">
        <v>1</v>
      </c>
    </row>
    <row r="842" spans="3:4" x14ac:dyDescent="0.3">
      <c r="C842" s="13" t="s">
        <v>321</v>
      </c>
      <c r="D842" s="21">
        <v>1</v>
      </c>
    </row>
    <row r="843" spans="3:4" x14ac:dyDescent="0.3">
      <c r="C843" s="13" t="s">
        <v>149</v>
      </c>
      <c r="D843" s="21">
        <v>1</v>
      </c>
    </row>
    <row r="844" spans="3:4" x14ac:dyDescent="0.3">
      <c r="C844" s="13" t="s">
        <v>452</v>
      </c>
      <c r="D844" s="21">
        <v>1</v>
      </c>
    </row>
    <row r="845" spans="3:4" x14ac:dyDescent="0.3">
      <c r="C845" s="13" t="s">
        <v>468</v>
      </c>
      <c r="D845" s="21">
        <v>1</v>
      </c>
    </row>
    <row r="846" spans="3:4" x14ac:dyDescent="0.3">
      <c r="C846" s="13" t="s">
        <v>642</v>
      </c>
      <c r="D846" s="21">
        <v>1</v>
      </c>
    </row>
    <row r="847" spans="3:4" x14ac:dyDescent="0.3">
      <c r="C847" s="13" t="s">
        <v>1027</v>
      </c>
      <c r="D847" s="21">
        <v>1</v>
      </c>
    </row>
    <row r="848" spans="3:4" x14ac:dyDescent="0.3">
      <c r="C848" s="13" t="s">
        <v>994</v>
      </c>
      <c r="D848" s="21">
        <v>1</v>
      </c>
    </row>
    <row r="849" spans="3:4" x14ac:dyDescent="0.3">
      <c r="C849" s="13" t="s">
        <v>900</v>
      </c>
      <c r="D849" s="21">
        <v>1</v>
      </c>
    </row>
    <row r="850" spans="3:4" x14ac:dyDescent="0.3">
      <c r="C850" s="13" t="s">
        <v>179</v>
      </c>
      <c r="D850" s="21">
        <v>1</v>
      </c>
    </row>
    <row r="851" spans="3:4" x14ac:dyDescent="0.3">
      <c r="C851" s="13" t="s">
        <v>769</v>
      </c>
      <c r="D851" s="21">
        <v>1</v>
      </c>
    </row>
    <row r="852" spans="3:4" x14ac:dyDescent="0.3">
      <c r="C852" s="13" t="s">
        <v>300</v>
      </c>
      <c r="D852" s="21">
        <v>2</v>
      </c>
    </row>
    <row r="853" spans="3:4" x14ac:dyDescent="0.3">
      <c r="C853" s="13" t="s">
        <v>362</v>
      </c>
      <c r="D853" s="21">
        <v>1</v>
      </c>
    </row>
    <row r="854" spans="3:4" x14ac:dyDescent="0.3">
      <c r="C854" s="13" t="s">
        <v>719</v>
      </c>
      <c r="D854" s="21">
        <v>1</v>
      </c>
    </row>
    <row r="855" spans="3:4" x14ac:dyDescent="0.3">
      <c r="C855" s="13" t="s">
        <v>860</v>
      </c>
      <c r="D855" s="21">
        <v>1</v>
      </c>
    </row>
    <row r="856" spans="3:4" x14ac:dyDescent="0.3">
      <c r="C856" s="13" t="s">
        <v>168</v>
      </c>
      <c r="D856" s="21">
        <v>1</v>
      </c>
    </row>
    <row r="857" spans="3:4" x14ac:dyDescent="0.3">
      <c r="C857" s="13" t="s">
        <v>797</v>
      </c>
      <c r="D857" s="21">
        <v>1</v>
      </c>
    </row>
    <row r="858" spans="3:4" x14ac:dyDescent="0.3">
      <c r="C858" s="13" t="s">
        <v>331</v>
      </c>
      <c r="D858" s="21">
        <v>1</v>
      </c>
    </row>
    <row r="859" spans="3:4" x14ac:dyDescent="0.3">
      <c r="C859" s="13" t="s">
        <v>120</v>
      </c>
      <c r="D859" s="21">
        <v>1</v>
      </c>
    </row>
    <row r="860" spans="3:4" x14ac:dyDescent="0.3">
      <c r="C860" s="13" t="s">
        <v>1107</v>
      </c>
      <c r="D860" s="21">
        <v>1</v>
      </c>
    </row>
    <row r="861" spans="3:4" x14ac:dyDescent="0.3">
      <c r="C861" s="13" t="s">
        <v>423</v>
      </c>
      <c r="D861" s="21">
        <v>1</v>
      </c>
    </row>
    <row r="862" spans="3:4" x14ac:dyDescent="0.3">
      <c r="C862" s="13" t="s">
        <v>1079</v>
      </c>
      <c r="D862" s="21">
        <v>1</v>
      </c>
    </row>
    <row r="863" spans="3:4" x14ac:dyDescent="0.3">
      <c r="C863" s="13" t="s">
        <v>341</v>
      </c>
      <c r="D863" s="21">
        <v>1</v>
      </c>
    </row>
    <row r="864" spans="3:4" x14ac:dyDescent="0.3">
      <c r="C864" s="13" t="s">
        <v>205</v>
      </c>
      <c r="D864" s="21">
        <v>1</v>
      </c>
    </row>
    <row r="865" spans="3:4" x14ac:dyDescent="0.3">
      <c r="C865" s="13" t="s">
        <v>148</v>
      </c>
      <c r="D865" s="21">
        <v>1</v>
      </c>
    </row>
    <row r="866" spans="3:4" x14ac:dyDescent="0.3">
      <c r="C866" s="13" t="s">
        <v>939</v>
      </c>
      <c r="D866" s="21">
        <v>1</v>
      </c>
    </row>
    <row r="867" spans="3:4" x14ac:dyDescent="0.3">
      <c r="C867" s="13" t="s">
        <v>576</v>
      </c>
      <c r="D867" s="21">
        <v>1</v>
      </c>
    </row>
    <row r="868" spans="3:4" x14ac:dyDescent="0.3">
      <c r="C868" s="13" t="s">
        <v>933</v>
      </c>
      <c r="D868" s="21">
        <v>1</v>
      </c>
    </row>
    <row r="869" spans="3:4" x14ac:dyDescent="0.3">
      <c r="C869" s="13" t="s">
        <v>314</v>
      </c>
      <c r="D869" s="21">
        <v>1</v>
      </c>
    </row>
    <row r="870" spans="3:4" x14ac:dyDescent="0.3">
      <c r="C870" s="13" t="s">
        <v>234</v>
      </c>
      <c r="D870" s="21">
        <v>1</v>
      </c>
    </row>
    <row r="871" spans="3:4" x14ac:dyDescent="0.3">
      <c r="C871" s="13" t="s">
        <v>647</v>
      </c>
      <c r="D871" s="21">
        <v>1</v>
      </c>
    </row>
    <row r="872" spans="3:4" x14ac:dyDescent="0.3">
      <c r="C872" s="13" t="s">
        <v>227</v>
      </c>
      <c r="D872" s="21">
        <v>1</v>
      </c>
    </row>
    <row r="873" spans="3:4" x14ac:dyDescent="0.3">
      <c r="C873" s="13" t="s">
        <v>251</v>
      </c>
      <c r="D873" s="21">
        <v>1</v>
      </c>
    </row>
    <row r="874" spans="3:4" x14ac:dyDescent="0.3">
      <c r="C874" s="13" t="s">
        <v>665</v>
      </c>
      <c r="D874" s="21">
        <v>1</v>
      </c>
    </row>
    <row r="875" spans="3:4" x14ac:dyDescent="0.3">
      <c r="C875" s="13" t="s">
        <v>264</v>
      </c>
      <c r="D875" s="21">
        <v>1</v>
      </c>
    </row>
    <row r="876" spans="3:4" x14ac:dyDescent="0.3">
      <c r="C876" s="13" t="s">
        <v>789</v>
      </c>
      <c r="D876" s="21">
        <v>1</v>
      </c>
    </row>
    <row r="877" spans="3:4" x14ac:dyDescent="0.3">
      <c r="C877" s="13" t="s">
        <v>866</v>
      </c>
      <c r="D877" s="21">
        <v>1</v>
      </c>
    </row>
    <row r="878" spans="3:4" x14ac:dyDescent="0.3">
      <c r="C878" s="13" t="s">
        <v>1056</v>
      </c>
      <c r="D878" s="21">
        <v>1</v>
      </c>
    </row>
    <row r="879" spans="3:4" x14ac:dyDescent="0.3">
      <c r="C879" s="13" t="s">
        <v>164</v>
      </c>
      <c r="D879" s="21">
        <v>1</v>
      </c>
    </row>
    <row r="880" spans="3:4" x14ac:dyDescent="0.3">
      <c r="C880" s="13" t="s">
        <v>992</v>
      </c>
      <c r="D880" s="21">
        <v>1</v>
      </c>
    </row>
    <row r="881" spans="3:4" x14ac:dyDescent="0.3">
      <c r="C881" s="13" t="s">
        <v>512</v>
      </c>
      <c r="D881" s="21">
        <v>1</v>
      </c>
    </row>
    <row r="882" spans="3:4" x14ac:dyDescent="0.3">
      <c r="C882" s="13" t="s">
        <v>653</v>
      </c>
      <c r="D882" s="21">
        <v>1</v>
      </c>
    </row>
    <row r="883" spans="3:4" x14ac:dyDescent="0.3">
      <c r="C883" s="13" t="s">
        <v>437</v>
      </c>
      <c r="D883" s="21">
        <v>1</v>
      </c>
    </row>
    <row r="884" spans="3:4" x14ac:dyDescent="0.3">
      <c r="C884" s="13" t="s">
        <v>387</v>
      </c>
      <c r="D884" s="21">
        <v>1</v>
      </c>
    </row>
    <row r="885" spans="3:4" x14ac:dyDescent="0.3">
      <c r="C885" s="13" t="s">
        <v>161</v>
      </c>
      <c r="D885" s="21">
        <v>1</v>
      </c>
    </row>
    <row r="886" spans="3:4" x14ac:dyDescent="0.3">
      <c r="C886" s="13" t="s">
        <v>134</v>
      </c>
      <c r="D886" s="21">
        <v>1</v>
      </c>
    </row>
    <row r="887" spans="3:4" x14ac:dyDescent="0.3">
      <c r="C887" s="13" t="s">
        <v>419</v>
      </c>
      <c r="D887" s="21">
        <v>1</v>
      </c>
    </row>
    <row r="888" spans="3:4" x14ac:dyDescent="0.3">
      <c r="C888" s="13" t="s">
        <v>138</v>
      </c>
      <c r="D888" s="21">
        <v>1</v>
      </c>
    </row>
    <row r="889" spans="3:4" x14ac:dyDescent="0.3">
      <c r="C889" s="13" t="s">
        <v>664</v>
      </c>
      <c r="D889" s="21">
        <v>1</v>
      </c>
    </row>
    <row r="890" spans="3:4" x14ac:dyDescent="0.3">
      <c r="C890" s="13" t="s">
        <v>33</v>
      </c>
      <c r="D890" s="21">
        <v>1</v>
      </c>
    </row>
    <row r="891" spans="3:4" x14ac:dyDescent="0.3">
      <c r="C891" s="13" t="s">
        <v>56</v>
      </c>
      <c r="D891" s="21">
        <v>1</v>
      </c>
    </row>
    <row r="892" spans="3:4" x14ac:dyDescent="0.3">
      <c r="C892" s="13" t="s">
        <v>608</v>
      </c>
      <c r="D892" s="21">
        <v>1</v>
      </c>
    </row>
    <row r="893" spans="3:4" x14ac:dyDescent="0.3">
      <c r="C893" s="13" t="s">
        <v>679</v>
      </c>
      <c r="D893" s="21">
        <v>1</v>
      </c>
    </row>
    <row r="894" spans="3:4" x14ac:dyDescent="0.3">
      <c r="C894" s="13" t="s">
        <v>243</v>
      </c>
      <c r="D894" s="21">
        <v>1</v>
      </c>
    </row>
    <row r="895" spans="3:4" x14ac:dyDescent="0.3">
      <c r="C895" s="13" t="s">
        <v>1067</v>
      </c>
      <c r="D895" s="21">
        <v>1</v>
      </c>
    </row>
    <row r="896" spans="3:4" x14ac:dyDescent="0.3">
      <c r="C896" s="13" t="s">
        <v>172</v>
      </c>
      <c r="D896" s="21">
        <v>1</v>
      </c>
    </row>
    <row r="897" spans="3:4" x14ac:dyDescent="0.3">
      <c r="C897" s="13" t="s">
        <v>220</v>
      </c>
      <c r="D897" s="21">
        <v>1</v>
      </c>
    </row>
    <row r="898" spans="3:4" x14ac:dyDescent="0.3">
      <c r="C898" s="13" t="s">
        <v>548</v>
      </c>
      <c r="D898" s="21">
        <v>1</v>
      </c>
    </row>
    <row r="899" spans="3:4" x14ac:dyDescent="0.3">
      <c r="C899" s="13" t="s">
        <v>1032</v>
      </c>
      <c r="D899" s="21">
        <v>1</v>
      </c>
    </row>
    <row r="900" spans="3:4" x14ac:dyDescent="0.3">
      <c r="C900" s="13" t="s">
        <v>636</v>
      </c>
      <c r="D900" s="21">
        <v>1</v>
      </c>
    </row>
    <row r="901" spans="3:4" x14ac:dyDescent="0.3">
      <c r="C901" s="13" t="s">
        <v>215</v>
      </c>
      <c r="D901" s="21">
        <v>1</v>
      </c>
    </row>
    <row r="902" spans="3:4" x14ac:dyDescent="0.3">
      <c r="C902" s="13" t="s">
        <v>250</v>
      </c>
      <c r="D902" s="21">
        <v>1</v>
      </c>
    </row>
    <row r="903" spans="3:4" x14ac:dyDescent="0.3">
      <c r="C903" s="13" t="s">
        <v>873</v>
      </c>
      <c r="D903" s="21">
        <v>1</v>
      </c>
    </row>
    <row r="904" spans="3:4" x14ac:dyDescent="0.3">
      <c r="C904" s="13" t="s">
        <v>113</v>
      </c>
      <c r="D904" s="21">
        <v>1</v>
      </c>
    </row>
    <row r="905" spans="3:4" x14ac:dyDescent="0.3">
      <c r="C905" s="13" t="s">
        <v>586</v>
      </c>
      <c r="D905" s="21">
        <v>1</v>
      </c>
    </row>
    <row r="906" spans="3:4" x14ac:dyDescent="0.3">
      <c r="C906" s="13" t="s">
        <v>730</v>
      </c>
      <c r="D906" s="21">
        <v>1</v>
      </c>
    </row>
    <row r="907" spans="3:4" x14ac:dyDescent="0.3">
      <c r="C907" s="13" t="s">
        <v>449</v>
      </c>
      <c r="D907" s="21">
        <v>1</v>
      </c>
    </row>
    <row r="908" spans="3:4" x14ac:dyDescent="0.3">
      <c r="C908" s="13" t="s">
        <v>91</v>
      </c>
      <c r="D908" s="21">
        <v>1</v>
      </c>
    </row>
    <row r="909" spans="3:4" x14ac:dyDescent="0.3">
      <c r="C909" s="13" t="s">
        <v>1090</v>
      </c>
      <c r="D909" s="21">
        <v>1</v>
      </c>
    </row>
    <row r="910" spans="3:4" x14ac:dyDescent="0.3">
      <c r="C910" s="13" t="s">
        <v>626</v>
      </c>
      <c r="D910" s="21">
        <v>1</v>
      </c>
    </row>
    <row r="911" spans="3:4" x14ac:dyDescent="0.3">
      <c r="C911" s="13" t="s">
        <v>1011</v>
      </c>
      <c r="D911" s="21">
        <v>1</v>
      </c>
    </row>
    <row r="912" spans="3:4" x14ac:dyDescent="0.3">
      <c r="C912" s="13" t="s">
        <v>716</v>
      </c>
      <c r="D912" s="21">
        <v>1</v>
      </c>
    </row>
    <row r="913" spans="3:4" x14ac:dyDescent="0.3">
      <c r="C913" s="13" t="s">
        <v>776</v>
      </c>
      <c r="D913" s="21">
        <v>1</v>
      </c>
    </row>
    <row r="914" spans="3:4" x14ac:dyDescent="0.3">
      <c r="C914" s="13" t="s">
        <v>454</v>
      </c>
      <c r="D914" s="21">
        <v>1</v>
      </c>
    </row>
    <row r="915" spans="3:4" x14ac:dyDescent="0.3">
      <c r="C915" s="13" t="s">
        <v>609</v>
      </c>
      <c r="D915" s="21">
        <v>1</v>
      </c>
    </row>
    <row r="916" spans="3:4" x14ac:dyDescent="0.3">
      <c r="C916" s="13" t="s">
        <v>352</v>
      </c>
      <c r="D916" s="21">
        <v>1</v>
      </c>
    </row>
    <row r="917" spans="3:4" x14ac:dyDescent="0.3">
      <c r="C917" s="13" t="s">
        <v>803</v>
      </c>
      <c r="D917" s="21">
        <v>1</v>
      </c>
    </row>
    <row r="918" spans="3:4" x14ac:dyDescent="0.3">
      <c r="C918" s="13" t="s">
        <v>471</v>
      </c>
      <c r="D918" s="21">
        <v>1</v>
      </c>
    </row>
    <row r="919" spans="3:4" x14ac:dyDescent="0.3">
      <c r="C919" s="13" t="s">
        <v>674</v>
      </c>
      <c r="D919" s="21">
        <v>1</v>
      </c>
    </row>
    <row r="920" spans="3:4" x14ac:dyDescent="0.3">
      <c r="C920" s="13" t="s">
        <v>928</v>
      </c>
      <c r="D920" s="21">
        <v>1</v>
      </c>
    </row>
    <row r="921" spans="3:4" x14ac:dyDescent="0.3">
      <c r="C921" s="13" t="s">
        <v>931</v>
      </c>
      <c r="D921" s="21">
        <v>1</v>
      </c>
    </row>
    <row r="922" spans="3:4" x14ac:dyDescent="0.3">
      <c r="C922" s="13" t="s">
        <v>381</v>
      </c>
      <c r="D922" s="21">
        <v>1</v>
      </c>
    </row>
    <row r="923" spans="3:4" x14ac:dyDescent="0.3">
      <c r="C923" s="13" t="s">
        <v>274</v>
      </c>
      <c r="D923" s="21">
        <v>2</v>
      </c>
    </row>
    <row r="924" spans="3:4" x14ac:dyDescent="0.3">
      <c r="C924" s="13" t="s">
        <v>176</v>
      </c>
      <c r="D924" s="21">
        <v>1</v>
      </c>
    </row>
    <row r="925" spans="3:4" x14ac:dyDescent="0.3">
      <c r="C925" s="13" t="s">
        <v>949</v>
      </c>
      <c r="D925" s="21">
        <v>1</v>
      </c>
    </row>
    <row r="926" spans="3:4" x14ac:dyDescent="0.3">
      <c r="C926" s="13" t="s">
        <v>680</v>
      </c>
      <c r="D926" s="21">
        <v>1</v>
      </c>
    </row>
    <row r="927" spans="3:4" x14ac:dyDescent="0.3">
      <c r="C927" s="13" t="s">
        <v>217</v>
      </c>
      <c r="D927" s="21">
        <v>1</v>
      </c>
    </row>
    <row r="928" spans="3:4" x14ac:dyDescent="0.3">
      <c r="C928" s="13" t="s">
        <v>901</v>
      </c>
      <c r="D928" s="21">
        <v>1</v>
      </c>
    </row>
    <row r="929" spans="3:4" x14ac:dyDescent="0.3">
      <c r="C929" s="13" t="s">
        <v>1030</v>
      </c>
      <c r="D929" s="21">
        <v>1</v>
      </c>
    </row>
    <row r="930" spans="3:4" x14ac:dyDescent="0.3">
      <c r="C930" s="13" t="s">
        <v>1008</v>
      </c>
      <c r="D930" s="21">
        <v>1</v>
      </c>
    </row>
    <row r="931" spans="3:4" x14ac:dyDescent="0.3">
      <c r="C931" s="13" t="s">
        <v>129</v>
      </c>
      <c r="D931" s="21">
        <v>1</v>
      </c>
    </row>
    <row r="932" spans="3:4" x14ac:dyDescent="0.3">
      <c r="C932" s="13" t="s">
        <v>143</v>
      </c>
      <c r="D932" s="21">
        <v>1</v>
      </c>
    </row>
    <row r="933" spans="3:4" x14ac:dyDescent="0.3">
      <c r="C933" s="13" t="s">
        <v>422</v>
      </c>
      <c r="D933" s="21">
        <v>1</v>
      </c>
    </row>
    <row r="934" spans="3:4" x14ac:dyDescent="0.3">
      <c r="C934" s="13" t="s">
        <v>1070</v>
      </c>
      <c r="D934" s="21">
        <v>1</v>
      </c>
    </row>
    <row r="935" spans="3:4" x14ac:dyDescent="0.3">
      <c r="C935" s="13" t="s">
        <v>441</v>
      </c>
      <c r="D935" s="21">
        <v>1</v>
      </c>
    </row>
    <row r="936" spans="3:4" x14ac:dyDescent="0.3">
      <c r="C936" s="13" t="s">
        <v>619</v>
      </c>
      <c r="D936" s="21">
        <v>1</v>
      </c>
    </row>
    <row r="937" spans="3:4" x14ac:dyDescent="0.3">
      <c r="C937" s="13" t="s">
        <v>865</v>
      </c>
      <c r="D937" s="21">
        <v>1</v>
      </c>
    </row>
    <row r="938" spans="3:4" x14ac:dyDescent="0.3">
      <c r="C938" s="13" t="s">
        <v>154</v>
      </c>
      <c r="D938" s="21">
        <v>1</v>
      </c>
    </row>
    <row r="939" spans="3:4" x14ac:dyDescent="0.3">
      <c r="C939" s="13" t="s">
        <v>678</v>
      </c>
      <c r="D939" s="21">
        <v>1</v>
      </c>
    </row>
    <row r="940" spans="3:4" x14ac:dyDescent="0.3">
      <c r="C940" s="13" t="s">
        <v>313</v>
      </c>
      <c r="D940" s="21">
        <v>1</v>
      </c>
    </row>
    <row r="941" spans="3:4" x14ac:dyDescent="0.3">
      <c r="C941" s="13" t="s">
        <v>430</v>
      </c>
      <c r="D941" s="21">
        <v>1</v>
      </c>
    </row>
    <row r="942" spans="3:4" x14ac:dyDescent="0.3">
      <c r="C942" s="13" t="s">
        <v>550</v>
      </c>
      <c r="D942" s="21">
        <v>1</v>
      </c>
    </row>
    <row r="943" spans="3:4" x14ac:dyDescent="0.3">
      <c r="C943" s="13" t="s">
        <v>947</v>
      </c>
      <c r="D943" s="21">
        <v>1</v>
      </c>
    </row>
    <row r="944" spans="3:4" x14ac:dyDescent="0.3">
      <c r="C944" s="13" t="s">
        <v>420</v>
      </c>
      <c r="D944" s="21">
        <v>1</v>
      </c>
    </row>
    <row r="945" spans="3:4" x14ac:dyDescent="0.3">
      <c r="C945" s="13" t="s">
        <v>259</v>
      </c>
      <c r="D945" s="21">
        <v>1</v>
      </c>
    </row>
    <row r="946" spans="3:4" x14ac:dyDescent="0.3">
      <c r="C946" s="13" t="s">
        <v>791</v>
      </c>
      <c r="D946" s="21">
        <v>1</v>
      </c>
    </row>
    <row r="947" spans="3:4" x14ac:dyDescent="0.3">
      <c r="C947" s="13" t="s">
        <v>874</v>
      </c>
      <c r="D947" s="21">
        <v>1</v>
      </c>
    </row>
    <row r="948" spans="3:4" x14ac:dyDescent="0.3">
      <c r="C948" s="13" t="s">
        <v>519</v>
      </c>
      <c r="D948" s="21">
        <v>1</v>
      </c>
    </row>
    <row r="949" spans="3:4" x14ac:dyDescent="0.3">
      <c r="C949" s="13" t="s">
        <v>340</v>
      </c>
      <c r="D949" s="21">
        <v>1</v>
      </c>
    </row>
    <row r="950" spans="3:4" x14ac:dyDescent="0.3">
      <c r="C950" s="13" t="s">
        <v>214</v>
      </c>
      <c r="D950" s="21">
        <v>1</v>
      </c>
    </row>
    <row r="951" spans="3:4" x14ac:dyDescent="0.3">
      <c r="C951" s="13" t="s">
        <v>203</v>
      </c>
      <c r="D951" s="21">
        <v>1</v>
      </c>
    </row>
    <row r="952" spans="3:4" x14ac:dyDescent="0.3">
      <c r="C952" s="13" t="s">
        <v>961</v>
      </c>
      <c r="D952" s="21">
        <v>1</v>
      </c>
    </row>
    <row r="953" spans="3:4" x14ac:dyDescent="0.3">
      <c r="C953" s="13" t="s">
        <v>409</v>
      </c>
      <c r="D953" s="21">
        <v>1</v>
      </c>
    </row>
    <row r="954" spans="3:4" x14ac:dyDescent="0.3">
      <c r="C954" s="13" t="s">
        <v>24</v>
      </c>
      <c r="D954" s="21">
        <v>1</v>
      </c>
    </row>
    <row r="955" spans="3:4" x14ac:dyDescent="0.3">
      <c r="C955" s="13" t="s">
        <v>34</v>
      </c>
      <c r="D955" s="21">
        <v>1</v>
      </c>
    </row>
    <row r="956" spans="3:4" x14ac:dyDescent="0.3">
      <c r="C956" s="13" t="s">
        <v>816</v>
      </c>
      <c r="D956" s="21">
        <v>1</v>
      </c>
    </row>
    <row r="957" spans="3:4" x14ac:dyDescent="0.3">
      <c r="C957" s="13" t="s">
        <v>458</v>
      </c>
      <c r="D957" s="21">
        <v>1</v>
      </c>
    </row>
    <row r="958" spans="3:4" x14ac:dyDescent="0.3">
      <c r="C958" s="13" t="s">
        <v>610</v>
      </c>
      <c r="D958" s="21">
        <v>1</v>
      </c>
    </row>
    <row r="959" spans="3:4" x14ac:dyDescent="0.3">
      <c r="C959" s="13" t="s">
        <v>254</v>
      </c>
      <c r="D959" s="21">
        <v>1</v>
      </c>
    </row>
    <row r="960" spans="3:4" x14ac:dyDescent="0.3">
      <c r="C960" s="13" t="s">
        <v>815</v>
      </c>
      <c r="D960" s="21">
        <v>1</v>
      </c>
    </row>
    <row r="961" spans="3:4" x14ac:dyDescent="0.3">
      <c r="C961" s="13" t="s">
        <v>560</v>
      </c>
      <c r="D961" s="21">
        <v>1</v>
      </c>
    </row>
    <row r="962" spans="3:4" x14ac:dyDescent="0.3">
      <c r="C962" s="13" t="s">
        <v>669</v>
      </c>
      <c r="D962" s="21">
        <v>1</v>
      </c>
    </row>
    <row r="963" spans="3:4" x14ac:dyDescent="0.3">
      <c r="C963" s="13" t="s">
        <v>455</v>
      </c>
      <c r="D963" s="21">
        <v>1</v>
      </c>
    </row>
    <row r="964" spans="3:4" x14ac:dyDescent="0.3">
      <c r="C964" s="13" t="s">
        <v>805</v>
      </c>
      <c r="D964" s="21">
        <v>1</v>
      </c>
    </row>
    <row r="965" spans="3:4" x14ac:dyDescent="0.3">
      <c r="C965" s="13" t="s">
        <v>646</v>
      </c>
      <c r="D965" s="21">
        <v>1</v>
      </c>
    </row>
    <row r="966" spans="3:4" x14ac:dyDescent="0.3">
      <c r="C966" s="13" t="s">
        <v>624</v>
      </c>
      <c r="D966" s="21">
        <v>1</v>
      </c>
    </row>
    <row r="967" spans="3:4" x14ac:dyDescent="0.3">
      <c r="C967" s="13" t="s">
        <v>587</v>
      </c>
      <c r="D967" s="21">
        <v>1</v>
      </c>
    </row>
    <row r="968" spans="3:4" x14ac:dyDescent="0.3">
      <c r="C968" s="13" t="s">
        <v>66</v>
      </c>
      <c r="D968" s="21">
        <v>1</v>
      </c>
    </row>
    <row r="969" spans="3:4" x14ac:dyDescent="0.3">
      <c r="C969" s="13" t="s">
        <v>289</v>
      </c>
      <c r="D969" s="21">
        <v>1</v>
      </c>
    </row>
    <row r="970" spans="3:4" x14ac:dyDescent="0.3">
      <c r="C970" s="13" t="s">
        <v>1006</v>
      </c>
      <c r="D970" s="21">
        <v>1</v>
      </c>
    </row>
    <row r="971" spans="3:4" x14ac:dyDescent="0.3">
      <c r="C971" s="13" t="s">
        <v>1094</v>
      </c>
      <c r="D971" s="21">
        <v>1</v>
      </c>
    </row>
    <row r="972" spans="3:4" x14ac:dyDescent="0.3">
      <c r="C972" s="13" t="s">
        <v>765</v>
      </c>
      <c r="D972" s="21">
        <v>1</v>
      </c>
    </row>
    <row r="973" spans="3:4" x14ac:dyDescent="0.3">
      <c r="C973" s="13" t="s">
        <v>684</v>
      </c>
      <c r="D973" s="21">
        <v>1</v>
      </c>
    </row>
    <row r="974" spans="3:4" x14ac:dyDescent="0.3">
      <c r="C974" s="13" t="s">
        <v>1066</v>
      </c>
      <c r="D974" s="21">
        <v>1</v>
      </c>
    </row>
    <row r="975" spans="3:4" x14ac:dyDescent="0.3">
      <c r="C975" s="13" t="s">
        <v>562</v>
      </c>
      <c r="D975" s="21">
        <v>1</v>
      </c>
    </row>
    <row r="976" spans="3:4" x14ac:dyDescent="0.3">
      <c r="C976" s="13" t="s">
        <v>768</v>
      </c>
      <c r="D976" s="21">
        <v>1</v>
      </c>
    </row>
    <row r="977" spans="3:4" x14ac:dyDescent="0.3">
      <c r="C977" s="13" t="s">
        <v>43</v>
      </c>
      <c r="D977" s="21">
        <v>1</v>
      </c>
    </row>
    <row r="978" spans="3:4" x14ac:dyDescent="0.3">
      <c r="C978" s="13" t="s">
        <v>487</v>
      </c>
      <c r="D978" s="21">
        <v>1</v>
      </c>
    </row>
    <row r="979" spans="3:4" x14ac:dyDescent="0.3">
      <c r="C979" s="13" t="s">
        <v>613</v>
      </c>
      <c r="D979" s="21">
        <v>1</v>
      </c>
    </row>
    <row r="980" spans="3:4" x14ac:dyDescent="0.3">
      <c r="C980" s="13" t="s">
        <v>386</v>
      </c>
      <c r="D980" s="21">
        <v>1</v>
      </c>
    </row>
    <row r="981" spans="3:4" x14ac:dyDescent="0.3">
      <c r="C981" s="13" t="s">
        <v>1063</v>
      </c>
      <c r="D981" s="21">
        <v>1</v>
      </c>
    </row>
    <row r="982" spans="3:4" x14ac:dyDescent="0.3">
      <c r="C982" s="13" t="s">
        <v>354</v>
      </c>
      <c r="D982" s="21">
        <v>1</v>
      </c>
    </row>
    <row r="983" spans="3:4" x14ac:dyDescent="0.3">
      <c r="C983" s="13" t="s">
        <v>704</v>
      </c>
      <c r="D983" s="21">
        <v>1</v>
      </c>
    </row>
    <row r="984" spans="3:4" x14ac:dyDescent="0.3">
      <c r="C984" s="13" t="s">
        <v>695</v>
      </c>
      <c r="D984" s="21">
        <v>1</v>
      </c>
    </row>
    <row r="985" spans="3:4" x14ac:dyDescent="0.3">
      <c r="C985" s="13" t="s">
        <v>554</v>
      </c>
      <c r="D985" s="21">
        <v>1</v>
      </c>
    </row>
    <row r="986" spans="3:4" x14ac:dyDescent="0.3">
      <c r="C986" s="13" t="s">
        <v>61</v>
      </c>
      <c r="D986" s="21">
        <v>1</v>
      </c>
    </row>
    <row r="987" spans="3:4" x14ac:dyDescent="0.3">
      <c r="C987" s="13" t="s">
        <v>851</v>
      </c>
      <c r="D987" s="21">
        <v>1</v>
      </c>
    </row>
    <row r="988" spans="3:4" x14ac:dyDescent="0.3">
      <c r="C988" s="13" t="s">
        <v>174</v>
      </c>
      <c r="D988" s="21">
        <v>1</v>
      </c>
    </row>
    <row r="989" spans="3:4" x14ac:dyDescent="0.3">
      <c r="C989" s="13" t="s">
        <v>867</v>
      </c>
      <c r="D989" s="21">
        <v>1</v>
      </c>
    </row>
    <row r="990" spans="3:4" x14ac:dyDescent="0.3">
      <c r="C990" s="13" t="s">
        <v>620</v>
      </c>
      <c r="D990" s="21">
        <v>1</v>
      </c>
    </row>
    <row r="991" spans="3:4" x14ac:dyDescent="0.3">
      <c r="C991" s="13" t="s">
        <v>903</v>
      </c>
      <c r="D991" s="21">
        <v>1</v>
      </c>
    </row>
    <row r="992" spans="3:4" x14ac:dyDescent="0.3">
      <c r="C992" s="13" t="s">
        <v>565</v>
      </c>
      <c r="D992" s="21">
        <v>1</v>
      </c>
    </row>
    <row r="993" spans="3:4" x14ac:dyDescent="0.3">
      <c r="C993" s="13" t="s">
        <v>764</v>
      </c>
      <c r="D993" s="21">
        <v>1</v>
      </c>
    </row>
    <row r="994" spans="3:4" x14ac:dyDescent="0.3">
      <c r="C994" s="13" t="s">
        <v>427</v>
      </c>
      <c r="D994" s="21">
        <v>1</v>
      </c>
    </row>
    <row r="995" spans="3:4" x14ac:dyDescent="0.3">
      <c r="C995" s="13" t="s">
        <v>820</v>
      </c>
      <c r="D995" s="21">
        <v>1</v>
      </c>
    </row>
    <row r="996" spans="3:4" x14ac:dyDescent="0.3">
      <c r="C996" s="13" t="s">
        <v>31</v>
      </c>
      <c r="D996" s="21">
        <v>1</v>
      </c>
    </row>
    <row r="997" spans="3:4" x14ac:dyDescent="0.3">
      <c r="C997" s="13" t="s">
        <v>474</v>
      </c>
      <c r="D997" s="21">
        <v>1</v>
      </c>
    </row>
    <row r="998" spans="3:4" x14ac:dyDescent="0.3">
      <c r="C998" s="13" t="s">
        <v>139</v>
      </c>
      <c r="D998" s="21">
        <v>1</v>
      </c>
    </row>
    <row r="999" spans="3:4" x14ac:dyDescent="0.3">
      <c r="C999" s="13" t="s">
        <v>128</v>
      </c>
      <c r="D999" s="21">
        <v>1</v>
      </c>
    </row>
    <row r="1000" spans="3:4" x14ac:dyDescent="0.3">
      <c r="C1000" s="13" t="s">
        <v>481</v>
      </c>
      <c r="D1000" s="21">
        <v>1</v>
      </c>
    </row>
    <row r="1001" spans="3:4" x14ac:dyDescent="0.3">
      <c r="C1001" s="13" t="s">
        <v>561</v>
      </c>
      <c r="D1001" s="21">
        <v>1</v>
      </c>
    </row>
    <row r="1002" spans="3:4" x14ac:dyDescent="0.3">
      <c r="C1002" s="13" t="s">
        <v>200</v>
      </c>
      <c r="D1002" s="21">
        <v>1</v>
      </c>
    </row>
    <row r="1003" spans="3:4" x14ac:dyDescent="0.3">
      <c r="C1003" s="13" t="s">
        <v>351</v>
      </c>
      <c r="D1003" s="21">
        <v>1</v>
      </c>
    </row>
    <row r="1004" spans="3:4" x14ac:dyDescent="0.3">
      <c r="C1004" s="13" t="s">
        <v>1002</v>
      </c>
      <c r="D1004" s="21">
        <v>1</v>
      </c>
    </row>
    <row r="1005" spans="3:4" x14ac:dyDescent="0.3">
      <c r="C1005" s="13" t="s">
        <v>160</v>
      </c>
      <c r="D1005" s="21">
        <v>1</v>
      </c>
    </row>
    <row r="1006" spans="3:4" x14ac:dyDescent="0.3">
      <c r="C1006" s="13" t="s">
        <v>879</v>
      </c>
      <c r="D1006" s="21">
        <v>1</v>
      </c>
    </row>
    <row r="1007" spans="3:4" x14ac:dyDescent="0.3">
      <c r="C1007" s="13" t="s">
        <v>194</v>
      </c>
      <c r="D1007" s="21">
        <v>1</v>
      </c>
    </row>
    <row r="1008" spans="3:4" x14ac:dyDescent="0.3">
      <c r="C1008" s="13" t="s">
        <v>728</v>
      </c>
      <c r="D1008" s="21">
        <v>1</v>
      </c>
    </row>
    <row r="1009" spans="3:4" x14ac:dyDescent="0.3">
      <c r="C1009" s="13" t="s">
        <v>1000</v>
      </c>
      <c r="D1009" s="21">
        <v>1</v>
      </c>
    </row>
    <row r="1010" spans="3:4" x14ac:dyDescent="0.3">
      <c r="C1010" s="13" t="s">
        <v>191</v>
      </c>
      <c r="D1010" s="21">
        <v>1</v>
      </c>
    </row>
    <row r="1011" spans="3:4" x14ac:dyDescent="0.3">
      <c r="C1011" s="13" t="s">
        <v>337</v>
      </c>
      <c r="D1011" s="21">
        <v>1</v>
      </c>
    </row>
    <row r="1012" spans="3:4" x14ac:dyDescent="0.3">
      <c r="C1012" s="13" t="s">
        <v>995</v>
      </c>
      <c r="D1012" s="21">
        <v>1</v>
      </c>
    </row>
    <row r="1013" spans="3:4" x14ac:dyDescent="0.3">
      <c r="C1013" s="13" t="s">
        <v>781</v>
      </c>
      <c r="D1013" s="21">
        <v>1</v>
      </c>
    </row>
    <row r="1014" spans="3:4" x14ac:dyDescent="0.3">
      <c r="C1014" s="13" t="s">
        <v>917</v>
      </c>
      <c r="D1014" s="21">
        <v>1</v>
      </c>
    </row>
    <row r="1015" spans="3:4" x14ac:dyDescent="0.3">
      <c r="C1015" s="13" t="s">
        <v>230</v>
      </c>
      <c r="D1015" s="21">
        <v>1</v>
      </c>
    </row>
    <row r="1016" spans="3:4" x14ac:dyDescent="0.3">
      <c r="C1016" s="13" t="s">
        <v>71</v>
      </c>
      <c r="D1016" s="21">
        <v>1</v>
      </c>
    </row>
    <row r="1017" spans="3:4" x14ac:dyDescent="0.3">
      <c r="C1017" s="13" t="s">
        <v>424</v>
      </c>
      <c r="D1017" s="21">
        <v>1</v>
      </c>
    </row>
    <row r="1018" spans="3:4" x14ac:dyDescent="0.3">
      <c r="C1018" s="13" t="s">
        <v>163</v>
      </c>
      <c r="D1018" s="21">
        <v>1</v>
      </c>
    </row>
    <row r="1019" spans="3:4" x14ac:dyDescent="0.3">
      <c r="C1019" s="13" t="s">
        <v>262</v>
      </c>
      <c r="D1019" s="21">
        <v>1</v>
      </c>
    </row>
    <row r="1020" spans="3:4" x14ac:dyDescent="0.3">
      <c r="C1020" s="13" t="s">
        <v>943</v>
      </c>
      <c r="D1020" s="21">
        <v>1</v>
      </c>
    </row>
    <row r="1021" spans="3:4" x14ac:dyDescent="0.3">
      <c r="C1021" s="13" t="s">
        <v>98</v>
      </c>
      <c r="D1021" s="21">
        <v>1</v>
      </c>
    </row>
    <row r="1022" spans="3:4" x14ac:dyDescent="0.3">
      <c r="C1022" s="13" t="s">
        <v>542</v>
      </c>
      <c r="D1022" s="21">
        <v>1</v>
      </c>
    </row>
    <row r="1023" spans="3:4" x14ac:dyDescent="0.3">
      <c r="C1023" s="13" t="s">
        <v>252</v>
      </c>
      <c r="D1023" s="21">
        <v>1</v>
      </c>
    </row>
    <row r="1024" spans="3:4" x14ac:dyDescent="0.3">
      <c r="C1024" s="13" t="s">
        <v>692</v>
      </c>
      <c r="D1024" s="21">
        <v>1</v>
      </c>
    </row>
    <row r="1025" spans="3:4" x14ac:dyDescent="0.3">
      <c r="C1025" s="13" t="s">
        <v>799</v>
      </c>
      <c r="D1025" s="21">
        <v>1</v>
      </c>
    </row>
    <row r="1026" spans="3:4" x14ac:dyDescent="0.3">
      <c r="C1026" s="13" t="s">
        <v>94</v>
      </c>
      <c r="D1026" s="21">
        <v>1</v>
      </c>
    </row>
    <row r="1027" spans="3:4" x14ac:dyDescent="0.3">
      <c r="C1027" s="13" t="s">
        <v>1018</v>
      </c>
      <c r="D1027" s="21">
        <v>1</v>
      </c>
    </row>
    <row r="1028" spans="3:4" x14ac:dyDescent="0.3">
      <c r="C1028" s="13" t="s">
        <v>1052</v>
      </c>
      <c r="D1028" s="21">
        <v>1</v>
      </c>
    </row>
    <row r="1029" spans="3:4" x14ac:dyDescent="0.3">
      <c r="C1029" s="13" t="s">
        <v>180</v>
      </c>
      <c r="D1029" s="21">
        <v>1</v>
      </c>
    </row>
    <row r="1030" spans="3:4" x14ac:dyDescent="0.3">
      <c r="C1030" s="13" t="s">
        <v>326</v>
      </c>
      <c r="D1030" s="21">
        <v>1</v>
      </c>
    </row>
    <row r="1031" spans="3:4" x14ac:dyDescent="0.3">
      <c r="C1031" s="13" t="s">
        <v>100</v>
      </c>
      <c r="D1031" s="21">
        <v>1</v>
      </c>
    </row>
    <row r="1032" spans="3:4" x14ac:dyDescent="0.3">
      <c r="C1032" s="13" t="s">
        <v>632</v>
      </c>
      <c r="D1032" s="21">
        <v>1</v>
      </c>
    </row>
    <row r="1033" spans="3:4" x14ac:dyDescent="0.3">
      <c r="C1033" s="13" t="s">
        <v>51</v>
      </c>
      <c r="D1033" s="21">
        <v>1</v>
      </c>
    </row>
    <row r="1034" spans="3:4" x14ac:dyDescent="0.3">
      <c r="C1034" s="13" t="s">
        <v>505</v>
      </c>
      <c r="D1034" s="21">
        <v>1</v>
      </c>
    </row>
    <row r="1035" spans="3:4" x14ac:dyDescent="0.3">
      <c r="C1035" s="13" t="s">
        <v>740</v>
      </c>
      <c r="D1035" s="21">
        <v>1</v>
      </c>
    </row>
    <row r="1036" spans="3:4" x14ac:dyDescent="0.3">
      <c r="C1036" s="13" t="s">
        <v>1023</v>
      </c>
      <c r="D1036" s="21">
        <v>1</v>
      </c>
    </row>
    <row r="1037" spans="3:4" x14ac:dyDescent="0.3">
      <c r="C1037" s="13" t="s">
        <v>105</v>
      </c>
      <c r="D1037" s="21">
        <v>1</v>
      </c>
    </row>
    <row r="1038" spans="3:4" x14ac:dyDescent="0.3">
      <c r="C1038" s="13" t="s">
        <v>630</v>
      </c>
      <c r="D1038" s="21">
        <v>1</v>
      </c>
    </row>
    <row r="1039" spans="3:4" x14ac:dyDescent="0.3">
      <c r="C1039" s="13" t="s">
        <v>462</v>
      </c>
      <c r="D1039" s="21">
        <v>1</v>
      </c>
    </row>
    <row r="1040" spans="3:4" x14ac:dyDescent="0.3">
      <c r="C1040" s="13" t="s">
        <v>830</v>
      </c>
      <c r="D1040" s="21">
        <v>1</v>
      </c>
    </row>
    <row r="1041" spans="3:4" x14ac:dyDescent="0.3">
      <c r="C1041" s="13" t="s">
        <v>991</v>
      </c>
      <c r="D1041" s="21">
        <v>1</v>
      </c>
    </row>
    <row r="1042" spans="3:4" x14ac:dyDescent="0.3">
      <c r="C1042" s="13" t="s">
        <v>306</v>
      </c>
      <c r="D1042" s="21">
        <v>1</v>
      </c>
    </row>
    <row r="1043" spans="3:4" x14ac:dyDescent="0.3">
      <c r="C1043" s="13" t="s">
        <v>794</v>
      </c>
      <c r="D1043" s="21">
        <v>1</v>
      </c>
    </row>
    <row r="1044" spans="3:4" x14ac:dyDescent="0.3">
      <c r="C1044" s="13" t="s">
        <v>445</v>
      </c>
      <c r="D1044" s="21">
        <v>1</v>
      </c>
    </row>
    <row r="1045" spans="3:4" x14ac:dyDescent="0.3">
      <c r="C1045" s="13" t="s">
        <v>470</v>
      </c>
      <c r="D1045" s="21">
        <v>1</v>
      </c>
    </row>
    <row r="1046" spans="3:4" x14ac:dyDescent="0.3">
      <c r="C1046" s="13" t="s">
        <v>316</v>
      </c>
      <c r="D1046" s="21">
        <v>1</v>
      </c>
    </row>
    <row r="1047" spans="3:4" x14ac:dyDescent="0.3">
      <c r="C1047" s="13" t="s">
        <v>167</v>
      </c>
      <c r="D1047" s="21">
        <v>1</v>
      </c>
    </row>
    <row r="1048" spans="3:4" x14ac:dyDescent="0.3">
      <c r="C1048" s="13" t="s">
        <v>720</v>
      </c>
      <c r="D1048" s="21">
        <v>1</v>
      </c>
    </row>
    <row r="1049" spans="3:4" x14ac:dyDescent="0.3">
      <c r="C1049" s="13" t="s">
        <v>946</v>
      </c>
      <c r="D1049" s="21">
        <v>1</v>
      </c>
    </row>
    <row r="1050" spans="3:4" x14ac:dyDescent="0.3">
      <c r="C1050" s="13" t="s">
        <v>959</v>
      </c>
      <c r="D1050" s="21">
        <v>1</v>
      </c>
    </row>
    <row r="1051" spans="3:4" x14ac:dyDescent="0.3">
      <c r="C1051" s="13" t="s">
        <v>55</v>
      </c>
      <c r="D1051" s="21">
        <v>1</v>
      </c>
    </row>
    <row r="1052" spans="3:4" x14ac:dyDescent="0.3">
      <c r="C1052" s="13" t="s">
        <v>207</v>
      </c>
      <c r="D1052" s="21">
        <v>1</v>
      </c>
    </row>
    <row r="1053" spans="3:4" x14ac:dyDescent="0.3">
      <c r="C1053" s="13" t="s">
        <v>125</v>
      </c>
      <c r="D1053" s="21">
        <v>1</v>
      </c>
    </row>
    <row r="1054" spans="3:4" x14ac:dyDescent="0.3">
      <c r="C1054" s="13" t="s">
        <v>1029</v>
      </c>
      <c r="D1054" s="21">
        <v>1</v>
      </c>
    </row>
    <row r="1055" spans="3:4" x14ac:dyDescent="0.3">
      <c r="C1055" s="13" t="s">
        <v>739</v>
      </c>
      <c r="D1055" s="21">
        <v>1</v>
      </c>
    </row>
    <row r="1056" spans="3:4" x14ac:dyDescent="0.3">
      <c r="C1056" s="13" t="s">
        <v>182</v>
      </c>
      <c r="D1056" s="21">
        <v>1</v>
      </c>
    </row>
    <row r="1057" spans="3:4" x14ac:dyDescent="0.3">
      <c r="C1057" s="13" t="s">
        <v>72</v>
      </c>
      <c r="D1057" s="21">
        <v>1</v>
      </c>
    </row>
    <row r="1058" spans="3:4" x14ac:dyDescent="0.3">
      <c r="C1058" s="13" t="s">
        <v>552</v>
      </c>
      <c r="D1058" s="21">
        <v>1</v>
      </c>
    </row>
    <row r="1059" spans="3:4" x14ac:dyDescent="0.3">
      <c r="C1059" s="13" t="s">
        <v>193</v>
      </c>
      <c r="D1059" s="21">
        <v>1</v>
      </c>
    </row>
    <row r="1060" spans="3:4" x14ac:dyDescent="0.3">
      <c r="C1060" s="13" t="s">
        <v>320</v>
      </c>
      <c r="D1060" s="21">
        <v>1</v>
      </c>
    </row>
    <row r="1061" spans="3:4" x14ac:dyDescent="0.3">
      <c r="C1061" s="13" t="s">
        <v>292</v>
      </c>
      <c r="D1061" s="21">
        <v>1</v>
      </c>
    </row>
    <row r="1062" spans="3:4" x14ac:dyDescent="0.3">
      <c r="C1062" s="13" t="s">
        <v>404</v>
      </c>
      <c r="D1062" s="21">
        <v>1</v>
      </c>
    </row>
    <row r="1063" spans="3:4" x14ac:dyDescent="0.3">
      <c r="C1063" s="13" t="s">
        <v>1007</v>
      </c>
      <c r="D1063" s="21">
        <v>1</v>
      </c>
    </row>
    <row r="1064" spans="3:4" x14ac:dyDescent="0.3">
      <c r="C1064" s="13" t="s">
        <v>372</v>
      </c>
      <c r="D1064" s="21">
        <v>1</v>
      </c>
    </row>
    <row r="1065" spans="3:4" x14ac:dyDescent="0.3">
      <c r="C1065" s="13" t="s">
        <v>1116</v>
      </c>
      <c r="D1065" s="21">
        <v>1</v>
      </c>
    </row>
    <row r="1066" spans="3:4" x14ac:dyDescent="0.3">
      <c r="C1066" s="13" t="s">
        <v>705</v>
      </c>
      <c r="D1066" s="21">
        <v>1</v>
      </c>
    </row>
    <row r="1067" spans="3:4" x14ac:dyDescent="0.3">
      <c r="C1067" s="13" t="s">
        <v>914</v>
      </c>
      <c r="D1067" s="21">
        <v>1</v>
      </c>
    </row>
    <row r="1068" spans="3:4" x14ac:dyDescent="0.3">
      <c r="C1068" s="13" t="s">
        <v>104</v>
      </c>
      <c r="D1068" s="21">
        <v>1</v>
      </c>
    </row>
    <row r="1069" spans="3:4" x14ac:dyDescent="0.3">
      <c r="C1069" s="13" t="s">
        <v>767</v>
      </c>
      <c r="D1069" s="21">
        <v>1</v>
      </c>
    </row>
    <row r="1070" spans="3:4" x14ac:dyDescent="0.3">
      <c r="C1070" s="13" t="s">
        <v>758</v>
      </c>
      <c r="D1070" s="21">
        <v>1</v>
      </c>
    </row>
    <row r="1071" spans="3:4" x14ac:dyDescent="0.3">
      <c r="C1071" s="13" t="s">
        <v>625</v>
      </c>
      <c r="D1071" s="21">
        <v>1</v>
      </c>
    </row>
    <row r="1072" spans="3:4" x14ac:dyDescent="0.3">
      <c r="C1072" s="13" t="s">
        <v>532</v>
      </c>
      <c r="D1072" s="21">
        <v>1</v>
      </c>
    </row>
    <row r="1073" spans="3:4" x14ac:dyDescent="0.3">
      <c r="C1073" s="13" t="s">
        <v>375</v>
      </c>
      <c r="D1073" s="21">
        <v>1</v>
      </c>
    </row>
    <row r="1074" spans="3:4" x14ac:dyDescent="0.3">
      <c r="C1074" s="13" t="s">
        <v>348</v>
      </c>
      <c r="D1074" s="21">
        <v>1</v>
      </c>
    </row>
    <row r="1075" spans="3:4" x14ac:dyDescent="0.3">
      <c r="C1075" s="13" t="s">
        <v>86</v>
      </c>
      <c r="D1075" s="21">
        <v>1</v>
      </c>
    </row>
    <row r="1076" spans="3:4" x14ac:dyDescent="0.3">
      <c r="C1076" s="13" t="s">
        <v>290</v>
      </c>
      <c r="D1076" s="21">
        <v>1</v>
      </c>
    </row>
    <row r="1077" spans="3:4" x14ac:dyDescent="0.3">
      <c r="C1077" s="13" t="s">
        <v>841</v>
      </c>
      <c r="D1077" s="21">
        <v>1</v>
      </c>
    </row>
    <row r="1078" spans="3:4" x14ac:dyDescent="0.3">
      <c r="C1078" s="13" t="s">
        <v>771</v>
      </c>
      <c r="D1078" s="21">
        <v>1</v>
      </c>
    </row>
    <row r="1079" spans="3:4" x14ac:dyDescent="0.3">
      <c r="C1079" s="13" t="s">
        <v>255</v>
      </c>
      <c r="D1079" s="21">
        <v>1</v>
      </c>
    </row>
    <row r="1080" spans="3:4" x14ac:dyDescent="0.3">
      <c r="C1080" s="13" t="s">
        <v>339</v>
      </c>
      <c r="D1080" s="21">
        <v>1</v>
      </c>
    </row>
    <row r="1081" spans="3:4" x14ac:dyDescent="0.3">
      <c r="C1081" s="13" t="s">
        <v>732</v>
      </c>
      <c r="D1081" s="21">
        <v>1</v>
      </c>
    </row>
    <row r="1082" spans="3:4" x14ac:dyDescent="0.3">
      <c r="C1082" s="13" t="s">
        <v>537</v>
      </c>
      <c r="D1082" s="21">
        <v>1</v>
      </c>
    </row>
    <row r="1083" spans="3:4" x14ac:dyDescent="0.3">
      <c r="C1083" s="13" t="s">
        <v>652</v>
      </c>
      <c r="D1083" s="21">
        <v>1</v>
      </c>
    </row>
    <row r="1084" spans="3:4" x14ac:dyDescent="0.3">
      <c r="C1084" s="13" t="s">
        <v>746</v>
      </c>
      <c r="D1084" s="21">
        <v>1</v>
      </c>
    </row>
    <row r="1085" spans="3:4" x14ac:dyDescent="0.3">
      <c r="C1085" s="13" t="s">
        <v>819</v>
      </c>
      <c r="D1085" s="21">
        <v>1</v>
      </c>
    </row>
    <row r="1086" spans="3:4" x14ac:dyDescent="0.3">
      <c r="C1086" s="13" t="s">
        <v>711</v>
      </c>
      <c r="D1086" s="21">
        <v>1</v>
      </c>
    </row>
    <row r="1087" spans="3:4" x14ac:dyDescent="0.3">
      <c r="C1087" s="13" t="s">
        <v>743</v>
      </c>
      <c r="D1087" s="21">
        <v>1</v>
      </c>
    </row>
    <row r="1088" spans="3:4" x14ac:dyDescent="0.3">
      <c r="C1088" s="13" t="s">
        <v>107</v>
      </c>
      <c r="D1088" s="21">
        <v>1</v>
      </c>
    </row>
    <row r="1089" spans="3:4" x14ac:dyDescent="0.3">
      <c r="C1089" s="13" t="s">
        <v>242</v>
      </c>
      <c r="D1089" s="21">
        <v>1</v>
      </c>
    </row>
    <row r="1090" spans="3:4" x14ac:dyDescent="0.3">
      <c r="C1090" s="13" t="s">
        <v>18</v>
      </c>
      <c r="D1090" s="21">
        <v>1</v>
      </c>
    </row>
    <row r="1091" spans="3:4" x14ac:dyDescent="0.3">
      <c r="C1091" s="13" t="s">
        <v>491</v>
      </c>
      <c r="D1091" s="21">
        <v>1</v>
      </c>
    </row>
    <row r="1092" spans="3:4" x14ac:dyDescent="0.3">
      <c r="C1092" s="13" t="s">
        <v>298</v>
      </c>
      <c r="D1092" s="21">
        <v>1</v>
      </c>
    </row>
    <row r="1093" spans="3:4" x14ac:dyDescent="0.3">
      <c r="C1093" s="13" t="s">
        <v>278</v>
      </c>
      <c r="D1093" s="21">
        <v>1</v>
      </c>
    </row>
    <row r="1094" spans="3:4" x14ac:dyDescent="0.3">
      <c r="C1094" s="13" t="s">
        <v>518</v>
      </c>
      <c r="D1094" s="21">
        <v>1</v>
      </c>
    </row>
    <row r="1095" spans="3:4" x14ac:dyDescent="0.3">
      <c r="C1095" s="13" t="s">
        <v>305</v>
      </c>
      <c r="D1095" s="21">
        <v>1</v>
      </c>
    </row>
    <row r="1096" spans="3:4" x14ac:dyDescent="0.3">
      <c r="C1096" s="13" t="s">
        <v>998</v>
      </c>
      <c r="D1096" s="21">
        <v>1</v>
      </c>
    </row>
    <row r="1097" spans="3:4" x14ac:dyDescent="0.3">
      <c r="C1097" s="13" t="s">
        <v>1057</v>
      </c>
      <c r="D1097" s="21">
        <v>1</v>
      </c>
    </row>
    <row r="1098" spans="3:4" x14ac:dyDescent="0.3">
      <c r="C1098" s="13" t="s">
        <v>142</v>
      </c>
      <c r="D1098" s="21">
        <v>1</v>
      </c>
    </row>
    <row r="1099" spans="3:4" x14ac:dyDescent="0.3">
      <c r="C1099" s="13" t="s">
        <v>461</v>
      </c>
      <c r="D1099" s="21">
        <v>1</v>
      </c>
    </row>
    <row r="1100" spans="3:4" x14ac:dyDescent="0.3">
      <c r="C1100" s="13" t="s">
        <v>761</v>
      </c>
      <c r="D1100" s="21">
        <v>1</v>
      </c>
    </row>
    <row r="1101" spans="3:4" x14ac:dyDescent="0.3">
      <c r="C1101" s="13" t="s">
        <v>1044</v>
      </c>
      <c r="D1101" s="21">
        <v>1</v>
      </c>
    </row>
    <row r="1102" spans="3:4" x14ac:dyDescent="0.3">
      <c r="C1102" s="13" t="s">
        <v>325</v>
      </c>
      <c r="D1102" s="21">
        <v>1</v>
      </c>
    </row>
    <row r="1103" spans="3:4" x14ac:dyDescent="0.3">
      <c r="C1103" s="13" t="s">
        <v>87</v>
      </c>
      <c r="D1103" s="21">
        <v>1</v>
      </c>
    </row>
    <row r="1104" spans="3:4" x14ac:dyDescent="0.3">
      <c r="C1104" s="13" t="s">
        <v>195</v>
      </c>
      <c r="D1104" s="21">
        <v>1</v>
      </c>
    </row>
    <row r="1105" spans="3:4" x14ac:dyDescent="0.3">
      <c r="C1105" s="13" t="s">
        <v>920</v>
      </c>
      <c r="D1105" s="21">
        <v>1</v>
      </c>
    </row>
    <row r="1106" spans="3:4" x14ac:dyDescent="0.3">
      <c r="C1106" s="13" t="s">
        <v>522</v>
      </c>
      <c r="D1106" s="21">
        <v>1</v>
      </c>
    </row>
    <row r="1107" spans="3:4" x14ac:dyDescent="0.3">
      <c r="C1107" s="13" t="s">
        <v>861</v>
      </c>
      <c r="D1107" s="21">
        <v>1</v>
      </c>
    </row>
    <row r="1108" spans="3:4" x14ac:dyDescent="0.3">
      <c r="C1108" s="13" t="s">
        <v>847</v>
      </c>
      <c r="D1108" s="21">
        <v>1</v>
      </c>
    </row>
    <row r="1109" spans="3:4" x14ac:dyDescent="0.3">
      <c r="C1109" s="13" t="s">
        <v>1115</v>
      </c>
      <c r="D1109" s="21">
        <v>1</v>
      </c>
    </row>
    <row r="1110" spans="3:4" x14ac:dyDescent="0.3">
      <c r="C1110" s="13" t="s">
        <v>855</v>
      </c>
      <c r="D1110" s="21">
        <v>1</v>
      </c>
    </row>
    <row r="1111" spans="3:4" x14ac:dyDescent="0.3">
      <c r="C1111" s="13" t="s">
        <v>175</v>
      </c>
      <c r="D1111" s="21">
        <v>1</v>
      </c>
    </row>
    <row r="1112" spans="3:4" x14ac:dyDescent="0.3">
      <c r="C1112" s="13" t="s">
        <v>415</v>
      </c>
      <c r="D1112" s="21">
        <v>1</v>
      </c>
    </row>
    <row r="1113" spans="3:4" x14ac:dyDescent="0.3">
      <c r="C1113" s="13" t="s">
        <v>751</v>
      </c>
      <c r="D1113" s="21">
        <v>1</v>
      </c>
    </row>
    <row r="1114" spans="3:4" x14ac:dyDescent="0.3">
      <c r="C1114" s="13" t="s">
        <v>359</v>
      </c>
      <c r="D1114" s="21">
        <v>1</v>
      </c>
    </row>
    <row r="1115" spans="3:4" x14ac:dyDescent="0.3">
      <c r="C1115" s="13" t="s">
        <v>864</v>
      </c>
      <c r="D1115" s="21">
        <v>1</v>
      </c>
    </row>
    <row r="1116" spans="3:4" x14ac:dyDescent="0.3">
      <c r="C1116" s="13" t="s">
        <v>137</v>
      </c>
      <c r="D1116" s="21">
        <v>1</v>
      </c>
    </row>
    <row r="1117" spans="3:4" x14ac:dyDescent="0.3">
      <c r="C1117" s="13" t="s">
        <v>923</v>
      </c>
      <c r="D1117" s="21">
        <v>1</v>
      </c>
    </row>
    <row r="1118" spans="3:4" x14ac:dyDescent="0.3">
      <c r="C1118" s="13" t="s">
        <v>607</v>
      </c>
      <c r="D1118" s="21">
        <v>1</v>
      </c>
    </row>
    <row r="1119" spans="3:4" x14ac:dyDescent="0.3">
      <c r="C1119" s="13" t="s">
        <v>731</v>
      </c>
      <c r="D1119" s="21">
        <v>1</v>
      </c>
    </row>
    <row r="1120" spans="3:4" x14ac:dyDescent="0.3">
      <c r="C1120" s="13" t="s">
        <v>1174</v>
      </c>
      <c r="D1120" s="21">
        <v>1111</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B616-B3DA-4EA0-880D-F151361FACAD}">
  <dimension ref="A1"/>
  <sheetViews>
    <sheetView showGridLines="0" tabSelected="1" zoomScale="59" zoomScaleNormal="115" workbookViewId="0">
      <selection activeCell="AD17" sqref="AD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6612-997F-4461-A684-00E859BA4F07}">
  <dimension ref="A1:S1112"/>
  <sheetViews>
    <sheetView topLeftCell="E1" zoomScale="80" zoomScaleNormal="102" workbookViewId="0">
      <selection activeCell="U7" sqref="U7"/>
    </sheetView>
  </sheetViews>
  <sheetFormatPr defaultRowHeight="14.4" x14ac:dyDescent="0.3"/>
  <cols>
    <col min="1" max="1" width="14.77734375" style="10" bestFit="1" customWidth="1"/>
    <col min="2" max="2" width="21.21875" bestFit="1" customWidth="1"/>
    <col min="3" max="3" width="12.109375" bestFit="1" customWidth="1"/>
    <col min="4" max="4" width="9.77734375" bestFit="1" customWidth="1"/>
    <col min="5" max="5" width="17.5546875" bestFit="1" customWidth="1"/>
    <col min="6" max="6" width="17.77734375" bestFit="1" customWidth="1"/>
    <col min="7" max="7" width="16.5546875" bestFit="1" customWidth="1"/>
    <col min="8" max="8" width="12.77734375" bestFit="1" customWidth="1"/>
    <col min="9" max="9" width="16.5546875" bestFit="1" customWidth="1"/>
    <col min="10" max="10" width="14.6640625" style="6" bestFit="1" customWidth="1"/>
    <col min="11" max="11" width="26.77734375" bestFit="1" customWidth="1"/>
    <col min="12" max="12" width="17.21875" bestFit="1" customWidth="1"/>
    <col min="13" max="13" width="19.21875" bestFit="1" customWidth="1"/>
    <col min="14" max="14" width="20.21875" bestFit="1" customWidth="1"/>
    <col min="15" max="15" width="17.88671875" bestFit="1" customWidth="1"/>
    <col min="16" max="16" width="16.5546875" style="10" bestFit="1" customWidth="1"/>
    <col min="17" max="17" width="18.109375" bestFit="1" customWidth="1"/>
    <col min="18" max="18" width="16" customWidth="1"/>
    <col min="19" max="19" width="13.6640625" style="3" customWidth="1"/>
  </cols>
  <sheetData>
    <row r="1" spans="1:19" x14ac:dyDescent="0.3">
      <c r="A1" s="9" t="s">
        <v>0</v>
      </c>
      <c r="B1" s="1" t="s">
        <v>1</v>
      </c>
      <c r="C1" s="1" t="s">
        <v>2</v>
      </c>
      <c r="D1" s="1" t="s">
        <v>3</v>
      </c>
      <c r="E1" s="1" t="s">
        <v>4</v>
      </c>
      <c r="F1" s="1" t="s">
        <v>1171</v>
      </c>
      <c r="G1" s="1" t="s">
        <v>6</v>
      </c>
      <c r="H1" s="1" t="s">
        <v>7</v>
      </c>
      <c r="I1" s="1" t="s">
        <v>8</v>
      </c>
      <c r="J1" s="5" t="s">
        <v>9</v>
      </c>
      <c r="K1" s="1" t="s">
        <v>10</v>
      </c>
      <c r="L1" s="1" t="s">
        <v>11</v>
      </c>
      <c r="M1" s="1" t="s">
        <v>12</v>
      </c>
      <c r="N1" s="1" t="s">
        <v>13</v>
      </c>
      <c r="O1" s="1" t="s">
        <v>14</v>
      </c>
      <c r="P1" s="9" t="s">
        <v>15</v>
      </c>
      <c r="Q1" s="7" t="s">
        <v>17</v>
      </c>
      <c r="R1" s="7" t="s">
        <v>16</v>
      </c>
      <c r="S1" s="11" t="s">
        <v>1172</v>
      </c>
    </row>
    <row r="2" spans="1:19" x14ac:dyDescent="0.3">
      <c r="A2" s="10">
        <v>45745</v>
      </c>
      <c r="B2" t="s">
        <v>18</v>
      </c>
      <c r="C2" t="s">
        <v>1117</v>
      </c>
      <c r="D2" t="s">
        <v>1133</v>
      </c>
      <c r="E2" t="s">
        <v>1137</v>
      </c>
      <c r="F2" t="s">
        <v>1149</v>
      </c>
      <c r="G2" t="s">
        <v>1152</v>
      </c>
      <c r="H2">
        <v>3</v>
      </c>
      <c r="I2">
        <v>33320</v>
      </c>
      <c r="J2" s="6">
        <v>5</v>
      </c>
      <c r="K2">
        <v>31654</v>
      </c>
      <c r="L2">
        <v>94962</v>
      </c>
      <c r="M2">
        <v>1500</v>
      </c>
      <c r="N2" t="s">
        <v>1159</v>
      </c>
      <c r="O2" t="s">
        <v>1162</v>
      </c>
      <c r="Q2" t="str">
        <f t="shared" ref="Q2:Q65" si="0">IF(O2="delivered","excellent",IF(O2="in transit","okay",IF(O2="failed","no comment")))</f>
        <v>okay</v>
      </c>
      <c r="R2">
        <f>IF(Q2="excellent",3,IF(Q2="no comment",1,IF(Q2="okay",2)))</f>
        <v>2</v>
      </c>
      <c r="S2" s="6">
        <f>(IFERROR(DATEDIF(A2,P2,"d"),0))</f>
        <v>0</v>
      </c>
    </row>
    <row r="3" spans="1:19" x14ac:dyDescent="0.3">
      <c r="A3" s="10">
        <v>45785</v>
      </c>
      <c r="B3" t="s">
        <v>19</v>
      </c>
      <c r="C3" t="s">
        <v>1118</v>
      </c>
      <c r="D3" t="s">
        <v>1134</v>
      </c>
      <c r="E3" t="s">
        <v>1138</v>
      </c>
      <c r="F3" t="s">
        <v>1149</v>
      </c>
      <c r="G3" t="s">
        <v>1153</v>
      </c>
      <c r="H3">
        <v>3</v>
      </c>
      <c r="I3">
        <v>39875</v>
      </c>
      <c r="J3" s="6">
        <v>0</v>
      </c>
      <c r="K3">
        <v>39875</v>
      </c>
      <c r="L3">
        <v>119625</v>
      </c>
      <c r="M3">
        <v>2000</v>
      </c>
      <c r="N3" t="s">
        <v>1160</v>
      </c>
      <c r="O3" t="s">
        <v>1163</v>
      </c>
      <c r="Q3" t="str">
        <f t="shared" si="0"/>
        <v>no comment</v>
      </c>
      <c r="R3">
        <f t="shared" ref="R3:R66" si="1">IF(Q3="excellent",3,IF(Q3="no comment",1,IF(Q3="okay",2)))</f>
        <v>1</v>
      </c>
      <c r="S3" s="6">
        <f t="shared" ref="S3:S66" si="2">(IFERROR(DATEDIF(A3,P3,"d"),0))</f>
        <v>0</v>
      </c>
    </row>
    <row r="4" spans="1:19" x14ac:dyDescent="0.3">
      <c r="A4" s="10">
        <v>45729</v>
      </c>
      <c r="B4" t="s">
        <v>20</v>
      </c>
      <c r="C4" t="s">
        <v>1119</v>
      </c>
      <c r="D4" t="s">
        <v>1134</v>
      </c>
      <c r="E4" t="s">
        <v>1139</v>
      </c>
      <c r="F4" t="s">
        <v>1150</v>
      </c>
      <c r="G4" t="s">
        <v>1154</v>
      </c>
      <c r="H4">
        <v>2</v>
      </c>
      <c r="I4">
        <v>47070</v>
      </c>
      <c r="J4" s="6">
        <v>10</v>
      </c>
      <c r="K4">
        <v>42363</v>
      </c>
      <c r="L4">
        <v>84726</v>
      </c>
      <c r="M4">
        <v>1500</v>
      </c>
      <c r="N4" t="s">
        <v>1159</v>
      </c>
      <c r="O4" t="s">
        <v>1163</v>
      </c>
      <c r="Q4" t="str">
        <f t="shared" si="0"/>
        <v>no comment</v>
      </c>
      <c r="R4">
        <f t="shared" si="1"/>
        <v>1</v>
      </c>
      <c r="S4" s="6">
        <f t="shared" si="2"/>
        <v>0</v>
      </c>
    </row>
    <row r="5" spans="1:19" x14ac:dyDescent="0.3">
      <c r="A5" s="10">
        <v>45787</v>
      </c>
      <c r="B5" t="s">
        <v>21</v>
      </c>
      <c r="C5" t="s">
        <v>1120</v>
      </c>
      <c r="D5" t="s">
        <v>1135</v>
      </c>
      <c r="E5" t="s">
        <v>1139</v>
      </c>
      <c r="F5" t="s">
        <v>1150</v>
      </c>
      <c r="G5" t="s">
        <v>1154</v>
      </c>
      <c r="H5">
        <v>5</v>
      </c>
      <c r="I5">
        <v>54880</v>
      </c>
      <c r="J5" s="6">
        <v>5</v>
      </c>
      <c r="K5">
        <v>52136</v>
      </c>
      <c r="L5">
        <v>260680</v>
      </c>
      <c r="M5">
        <v>2000</v>
      </c>
      <c r="N5" t="s">
        <v>1161</v>
      </c>
      <c r="O5" t="s">
        <v>1162</v>
      </c>
      <c r="Q5" t="str">
        <f t="shared" si="0"/>
        <v>okay</v>
      </c>
      <c r="R5">
        <f t="shared" si="1"/>
        <v>2</v>
      </c>
      <c r="S5" s="6">
        <f t="shared" si="2"/>
        <v>0</v>
      </c>
    </row>
    <row r="6" spans="1:19" x14ac:dyDescent="0.3">
      <c r="A6" s="10">
        <v>45722</v>
      </c>
      <c r="B6" t="s">
        <v>22</v>
      </c>
      <c r="C6" t="s">
        <v>1120</v>
      </c>
      <c r="D6" t="s">
        <v>1135</v>
      </c>
      <c r="E6" t="s">
        <v>1140</v>
      </c>
      <c r="F6" t="s">
        <v>1150</v>
      </c>
      <c r="G6" t="s">
        <v>1154</v>
      </c>
      <c r="H6">
        <v>2</v>
      </c>
      <c r="I6">
        <v>52797</v>
      </c>
      <c r="J6" s="6">
        <v>15</v>
      </c>
      <c r="K6">
        <v>44877.45</v>
      </c>
      <c r="L6">
        <v>89754.9</v>
      </c>
      <c r="M6">
        <v>2000</v>
      </c>
      <c r="N6" t="s">
        <v>1160</v>
      </c>
      <c r="O6" t="s">
        <v>1164</v>
      </c>
      <c r="P6" s="10">
        <v>45726</v>
      </c>
      <c r="Q6" t="str">
        <f t="shared" si="0"/>
        <v>excellent</v>
      </c>
      <c r="R6">
        <f t="shared" si="1"/>
        <v>3</v>
      </c>
      <c r="S6" s="6">
        <f t="shared" si="2"/>
        <v>4</v>
      </c>
    </row>
    <row r="7" spans="1:19" x14ac:dyDescent="0.3">
      <c r="A7" s="10">
        <v>45701</v>
      </c>
      <c r="B7" t="s">
        <v>23</v>
      </c>
      <c r="C7" t="s">
        <v>1121</v>
      </c>
      <c r="D7" t="s">
        <v>1136</v>
      </c>
      <c r="E7" t="s">
        <v>1141</v>
      </c>
      <c r="F7" t="s">
        <v>1151</v>
      </c>
      <c r="G7" t="s">
        <v>1155</v>
      </c>
      <c r="H7">
        <v>1</v>
      </c>
      <c r="I7">
        <v>6189</v>
      </c>
      <c r="J7" s="6">
        <v>5</v>
      </c>
      <c r="K7">
        <v>5879.55</v>
      </c>
      <c r="L7">
        <v>5879.55</v>
      </c>
      <c r="M7">
        <v>2000</v>
      </c>
      <c r="N7" t="s">
        <v>1160</v>
      </c>
      <c r="O7" t="s">
        <v>1163</v>
      </c>
      <c r="Q7" t="str">
        <f t="shared" si="0"/>
        <v>no comment</v>
      </c>
      <c r="R7">
        <f t="shared" si="1"/>
        <v>1</v>
      </c>
      <c r="S7" s="6">
        <f t="shared" si="2"/>
        <v>0</v>
      </c>
    </row>
    <row r="8" spans="1:19" x14ac:dyDescent="0.3">
      <c r="A8" s="10">
        <v>45763</v>
      </c>
      <c r="B8" t="s">
        <v>24</v>
      </c>
      <c r="C8" t="s">
        <v>1119</v>
      </c>
      <c r="D8" t="s">
        <v>1134</v>
      </c>
      <c r="E8" t="s">
        <v>1142</v>
      </c>
      <c r="F8" t="s">
        <v>1150</v>
      </c>
      <c r="G8" t="s">
        <v>1156</v>
      </c>
      <c r="H8">
        <v>2</v>
      </c>
      <c r="I8">
        <v>67765</v>
      </c>
      <c r="J8" s="6">
        <v>20</v>
      </c>
      <c r="K8">
        <v>54212</v>
      </c>
      <c r="L8">
        <v>108424</v>
      </c>
      <c r="M8">
        <v>1500</v>
      </c>
      <c r="N8" t="s">
        <v>1160</v>
      </c>
      <c r="O8" t="s">
        <v>1164</v>
      </c>
      <c r="P8" s="10">
        <v>45774</v>
      </c>
      <c r="Q8" t="str">
        <f t="shared" si="0"/>
        <v>excellent</v>
      </c>
      <c r="R8">
        <f t="shared" si="1"/>
        <v>3</v>
      </c>
      <c r="S8" s="6">
        <f t="shared" si="2"/>
        <v>11</v>
      </c>
    </row>
    <row r="9" spans="1:19" x14ac:dyDescent="0.3">
      <c r="A9" s="10">
        <v>45664</v>
      </c>
      <c r="B9" t="s">
        <v>25</v>
      </c>
      <c r="C9" t="s">
        <v>1122</v>
      </c>
      <c r="D9" t="s">
        <v>1136</v>
      </c>
      <c r="E9" t="s">
        <v>1140</v>
      </c>
      <c r="F9" t="s">
        <v>1150</v>
      </c>
      <c r="G9" t="s">
        <v>1154</v>
      </c>
      <c r="H9">
        <v>1</v>
      </c>
      <c r="I9">
        <v>26589</v>
      </c>
      <c r="J9" s="6">
        <v>10</v>
      </c>
      <c r="K9">
        <v>23930.1</v>
      </c>
      <c r="L9">
        <v>23930.1</v>
      </c>
      <c r="M9">
        <v>1000</v>
      </c>
      <c r="N9" t="s">
        <v>1160</v>
      </c>
      <c r="O9" t="s">
        <v>1164</v>
      </c>
      <c r="P9" s="10">
        <v>45666</v>
      </c>
      <c r="Q9" t="str">
        <f t="shared" si="0"/>
        <v>excellent</v>
      </c>
      <c r="R9">
        <f t="shared" si="1"/>
        <v>3</v>
      </c>
      <c r="S9" s="6">
        <f t="shared" si="2"/>
        <v>2</v>
      </c>
    </row>
    <row r="10" spans="1:19" x14ac:dyDescent="0.3">
      <c r="A10" s="10">
        <v>45744</v>
      </c>
      <c r="B10" t="s">
        <v>26</v>
      </c>
      <c r="C10" t="s">
        <v>1123</v>
      </c>
      <c r="D10" t="s">
        <v>1135</v>
      </c>
      <c r="E10" t="s">
        <v>1143</v>
      </c>
      <c r="F10" t="s">
        <v>1151</v>
      </c>
      <c r="G10" t="s">
        <v>1157</v>
      </c>
      <c r="H10">
        <v>4</v>
      </c>
      <c r="I10">
        <v>65890</v>
      </c>
      <c r="J10" s="6">
        <v>0</v>
      </c>
      <c r="K10">
        <v>65890</v>
      </c>
      <c r="L10">
        <v>263560</v>
      </c>
      <c r="M10">
        <v>1500</v>
      </c>
      <c r="N10" t="s">
        <v>1160</v>
      </c>
      <c r="O10" t="s">
        <v>1162</v>
      </c>
      <c r="Q10" t="str">
        <f t="shared" si="0"/>
        <v>okay</v>
      </c>
      <c r="R10">
        <f t="shared" si="1"/>
        <v>2</v>
      </c>
      <c r="S10" s="6">
        <f t="shared" si="2"/>
        <v>0</v>
      </c>
    </row>
    <row r="11" spans="1:19" x14ac:dyDescent="0.3">
      <c r="A11" s="10">
        <v>45791</v>
      </c>
      <c r="B11" t="s">
        <v>27</v>
      </c>
      <c r="C11" t="s">
        <v>1124</v>
      </c>
      <c r="D11" t="s">
        <v>1135</v>
      </c>
      <c r="E11" t="s">
        <v>1144</v>
      </c>
      <c r="F11" t="s">
        <v>1151</v>
      </c>
      <c r="G11" t="s">
        <v>1157</v>
      </c>
      <c r="H11">
        <v>4</v>
      </c>
      <c r="I11">
        <v>11925</v>
      </c>
      <c r="J11" s="6">
        <v>10</v>
      </c>
      <c r="K11">
        <v>10732.5</v>
      </c>
      <c r="L11">
        <v>42930</v>
      </c>
      <c r="M11">
        <v>1000</v>
      </c>
      <c r="N11" t="s">
        <v>1159</v>
      </c>
      <c r="O11" t="s">
        <v>1163</v>
      </c>
      <c r="Q11" t="str">
        <f t="shared" si="0"/>
        <v>no comment</v>
      </c>
      <c r="R11">
        <f t="shared" si="1"/>
        <v>1</v>
      </c>
      <c r="S11" s="6">
        <f t="shared" si="2"/>
        <v>0</v>
      </c>
    </row>
    <row r="12" spans="1:19" x14ac:dyDescent="0.3">
      <c r="A12" s="10">
        <v>45695</v>
      </c>
      <c r="B12" t="s">
        <v>28</v>
      </c>
      <c r="C12" t="s">
        <v>1122</v>
      </c>
      <c r="D12" t="s">
        <v>1136</v>
      </c>
      <c r="E12" t="s">
        <v>1145</v>
      </c>
      <c r="F12" t="s">
        <v>1149</v>
      </c>
      <c r="G12" t="s">
        <v>1153</v>
      </c>
      <c r="H12">
        <v>4</v>
      </c>
      <c r="I12">
        <v>22224</v>
      </c>
      <c r="J12" s="6">
        <v>10</v>
      </c>
      <c r="K12">
        <v>20001.599999999999</v>
      </c>
      <c r="L12">
        <v>80006.399999999994</v>
      </c>
      <c r="M12">
        <v>1000</v>
      </c>
      <c r="N12" t="s">
        <v>1160</v>
      </c>
      <c r="O12" t="s">
        <v>1162</v>
      </c>
      <c r="Q12" t="str">
        <f t="shared" si="0"/>
        <v>okay</v>
      </c>
      <c r="R12">
        <f t="shared" si="1"/>
        <v>2</v>
      </c>
      <c r="S12" s="6">
        <f t="shared" si="2"/>
        <v>0</v>
      </c>
    </row>
    <row r="13" spans="1:19" x14ac:dyDescent="0.3">
      <c r="A13" s="10">
        <v>45690</v>
      </c>
      <c r="B13" t="s">
        <v>29</v>
      </c>
      <c r="C13" t="s">
        <v>1125</v>
      </c>
      <c r="D13" t="s">
        <v>1133</v>
      </c>
      <c r="E13" t="s">
        <v>1146</v>
      </c>
      <c r="F13" t="s">
        <v>1151</v>
      </c>
      <c r="G13" t="s">
        <v>1155</v>
      </c>
      <c r="H13">
        <v>1</v>
      </c>
      <c r="I13">
        <v>18244</v>
      </c>
      <c r="J13" s="6">
        <v>5</v>
      </c>
      <c r="K13">
        <v>17331.8</v>
      </c>
      <c r="L13">
        <v>17331.8</v>
      </c>
      <c r="M13">
        <v>1000</v>
      </c>
      <c r="N13" t="s">
        <v>1159</v>
      </c>
      <c r="O13" t="s">
        <v>1162</v>
      </c>
      <c r="Q13" t="str">
        <f t="shared" si="0"/>
        <v>okay</v>
      </c>
      <c r="R13">
        <f t="shared" si="1"/>
        <v>2</v>
      </c>
      <c r="S13" s="6">
        <f t="shared" si="2"/>
        <v>0</v>
      </c>
    </row>
    <row r="14" spans="1:19" x14ac:dyDescent="0.3">
      <c r="A14" s="10">
        <v>45738</v>
      </c>
      <c r="B14" t="s">
        <v>30</v>
      </c>
      <c r="C14" t="s">
        <v>1121</v>
      </c>
      <c r="D14" t="s">
        <v>1136</v>
      </c>
      <c r="E14" t="s">
        <v>1145</v>
      </c>
      <c r="F14" t="s">
        <v>1149</v>
      </c>
      <c r="G14" t="s">
        <v>1153</v>
      </c>
      <c r="H14">
        <v>4</v>
      </c>
      <c r="I14">
        <v>57645</v>
      </c>
      <c r="J14" s="6">
        <v>5</v>
      </c>
      <c r="K14">
        <v>54762.75</v>
      </c>
      <c r="L14">
        <v>219051</v>
      </c>
      <c r="M14">
        <v>2000</v>
      </c>
      <c r="N14" t="s">
        <v>1161</v>
      </c>
      <c r="O14" t="s">
        <v>1164</v>
      </c>
      <c r="P14" s="10">
        <v>45752</v>
      </c>
      <c r="Q14" t="str">
        <f t="shared" si="0"/>
        <v>excellent</v>
      </c>
      <c r="R14">
        <f t="shared" si="1"/>
        <v>3</v>
      </c>
      <c r="S14" s="6">
        <f t="shared" si="2"/>
        <v>14</v>
      </c>
    </row>
    <row r="15" spans="1:19" x14ac:dyDescent="0.3">
      <c r="A15" s="10">
        <v>45703</v>
      </c>
      <c r="B15" t="s">
        <v>31</v>
      </c>
      <c r="C15" t="s">
        <v>1124</v>
      </c>
      <c r="D15" t="s">
        <v>1135</v>
      </c>
      <c r="E15" t="s">
        <v>1146</v>
      </c>
      <c r="F15" t="s">
        <v>1151</v>
      </c>
      <c r="G15" t="s">
        <v>1155</v>
      </c>
      <c r="H15">
        <v>3</v>
      </c>
      <c r="I15">
        <v>45286</v>
      </c>
      <c r="J15" s="6">
        <v>20</v>
      </c>
      <c r="K15">
        <v>36228.800000000003</v>
      </c>
      <c r="L15">
        <v>108686.39999999999</v>
      </c>
      <c r="M15">
        <v>1000</v>
      </c>
      <c r="N15" t="s">
        <v>1161</v>
      </c>
      <c r="O15" s="8" t="s">
        <v>1164</v>
      </c>
      <c r="P15" s="10">
        <v>45712</v>
      </c>
      <c r="Q15" t="str">
        <f t="shared" si="0"/>
        <v>excellent</v>
      </c>
      <c r="R15">
        <f t="shared" si="1"/>
        <v>3</v>
      </c>
      <c r="S15" s="6">
        <f t="shared" si="2"/>
        <v>9</v>
      </c>
    </row>
    <row r="16" spans="1:19" x14ac:dyDescent="0.3">
      <c r="A16" s="10">
        <v>45732</v>
      </c>
      <c r="B16" t="s">
        <v>32</v>
      </c>
      <c r="C16" t="s">
        <v>1126</v>
      </c>
      <c r="D16" t="s">
        <v>1133</v>
      </c>
      <c r="E16" t="s">
        <v>1142</v>
      </c>
      <c r="F16" t="s">
        <v>1150</v>
      </c>
      <c r="G16" t="s">
        <v>1156</v>
      </c>
      <c r="H16">
        <v>1</v>
      </c>
      <c r="I16">
        <v>23864</v>
      </c>
      <c r="J16" s="6">
        <v>0</v>
      </c>
      <c r="K16">
        <v>23864</v>
      </c>
      <c r="L16">
        <v>23864</v>
      </c>
      <c r="M16">
        <v>1500</v>
      </c>
      <c r="N16" t="s">
        <v>1161</v>
      </c>
      <c r="O16" t="s">
        <v>1164</v>
      </c>
      <c r="P16" s="10">
        <v>45736</v>
      </c>
      <c r="Q16" t="str">
        <f t="shared" si="0"/>
        <v>excellent</v>
      </c>
      <c r="R16">
        <f t="shared" si="1"/>
        <v>3</v>
      </c>
      <c r="S16" s="6">
        <f t="shared" si="2"/>
        <v>4</v>
      </c>
    </row>
    <row r="17" spans="1:19" x14ac:dyDescent="0.3">
      <c r="A17" s="10">
        <v>45690</v>
      </c>
      <c r="B17" t="s">
        <v>33</v>
      </c>
      <c r="C17" t="s">
        <v>1126</v>
      </c>
      <c r="D17" t="s">
        <v>1133</v>
      </c>
      <c r="E17" t="s">
        <v>1144</v>
      </c>
      <c r="F17" t="s">
        <v>1151</v>
      </c>
      <c r="G17" t="s">
        <v>1157</v>
      </c>
      <c r="H17">
        <v>5</v>
      </c>
      <c r="I17">
        <v>67834</v>
      </c>
      <c r="J17" s="6">
        <v>15</v>
      </c>
      <c r="K17">
        <v>57658.9</v>
      </c>
      <c r="L17">
        <v>288294.5</v>
      </c>
      <c r="M17">
        <v>1500</v>
      </c>
      <c r="N17" t="s">
        <v>1161</v>
      </c>
      <c r="O17" t="s">
        <v>1163</v>
      </c>
      <c r="Q17" t="str">
        <f t="shared" si="0"/>
        <v>no comment</v>
      </c>
      <c r="R17">
        <f t="shared" si="1"/>
        <v>1</v>
      </c>
      <c r="S17" s="6">
        <f t="shared" si="2"/>
        <v>0</v>
      </c>
    </row>
    <row r="18" spans="1:19" x14ac:dyDescent="0.3">
      <c r="A18" s="10">
        <v>45702</v>
      </c>
      <c r="B18" t="s">
        <v>34</v>
      </c>
      <c r="C18" t="s">
        <v>1117</v>
      </c>
      <c r="D18" t="s">
        <v>1133</v>
      </c>
      <c r="E18" t="s">
        <v>1146</v>
      </c>
      <c r="F18" t="s">
        <v>1151</v>
      </c>
      <c r="G18" t="s">
        <v>1155</v>
      </c>
      <c r="H18">
        <v>3</v>
      </c>
      <c r="I18">
        <v>36610</v>
      </c>
      <c r="J18" s="6">
        <v>10</v>
      </c>
      <c r="K18">
        <v>32949</v>
      </c>
      <c r="L18">
        <v>98847</v>
      </c>
      <c r="M18">
        <v>2000</v>
      </c>
      <c r="N18" t="s">
        <v>1160</v>
      </c>
      <c r="O18" t="s">
        <v>1162</v>
      </c>
      <c r="Q18" t="str">
        <f t="shared" si="0"/>
        <v>okay</v>
      </c>
      <c r="R18">
        <f t="shared" si="1"/>
        <v>2</v>
      </c>
      <c r="S18" s="6">
        <f t="shared" si="2"/>
        <v>0</v>
      </c>
    </row>
    <row r="19" spans="1:19" x14ac:dyDescent="0.3">
      <c r="A19" s="10">
        <v>45681</v>
      </c>
      <c r="B19" t="s">
        <v>35</v>
      </c>
      <c r="C19" t="s">
        <v>1127</v>
      </c>
      <c r="D19" t="s">
        <v>1134</v>
      </c>
      <c r="E19" t="s">
        <v>1143</v>
      </c>
      <c r="F19" t="s">
        <v>1151</v>
      </c>
      <c r="G19" t="s">
        <v>1157</v>
      </c>
      <c r="H19">
        <v>4</v>
      </c>
      <c r="I19">
        <v>54312</v>
      </c>
      <c r="J19" s="6">
        <v>15</v>
      </c>
      <c r="K19">
        <v>46165.2</v>
      </c>
      <c r="L19">
        <v>184660.8</v>
      </c>
      <c r="M19">
        <v>1500</v>
      </c>
      <c r="N19" t="s">
        <v>1161</v>
      </c>
      <c r="O19" t="s">
        <v>1163</v>
      </c>
      <c r="Q19" t="str">
        <f t="shared" si="0"/>
        <v>no comment</v>
      </c>
      <c r="R19">
        <f t="shared" si="1"/>
        <v>1</v>
      </c>
      <c r="S19" s="6">
        <f t="shared" si="2"/>
        <v>0</v>
      </c>
    </row>
    <row r="20" spans="1:19" x14ac:dyDescent="0.3">
      <c r="A20" s="10">
        <v>45811</v>
      </c>
      <c r="B20" t="s">
        <v>36</v>
      </c>
      <c r="C20" t="s">
        <v>1122</v>
      </c>
      <c r="D20" t="s">
        <v>1136</v>
      </c>
      <c r="E20" t="s">
        <v>1147</v>
      </c>
      <c r="F20" t="s">
        <v>1150</v>
      </c>
      <c r="G20" t="s">
        <v>1156</v>
      </c>
      <c r="H20">
        <v>1</v>
      </c>
      <c r="I20">
        <v>20293</v>
      </c>
      <c r="J20" s="6">
        <v>5</v>
      </c>
      <c r="K20">
        <v>19278.349999999999</v>
      </c>
      <c r="L20">
        <v>19278.349999999999</v>
      </c>
      <c r="M20">
        <v>2000</v>
      </c>
      <c r="N20" t="s">
        <v>1161</v>
      </c>
      <c r="O20" t="s">
        <v>1162</v>
      </c>
      <c r="Q20" t="str">
        <f t="shared" si="0"/>
        <v>okay</v>
      </c>
      <c r="R20">
        <f t="shared" si="1"/>
        <v>2</v>
      </c>
      <c r="S20" s="6">
        <f t="shared" si="2"/>
        <v>0</v>
      </c>
    </row>
    <row r="21" spans="1:19" x14ac:dyDescent="0.3">
      <c r="A21" s="10">
        <v>45763</v>
      </c>
      <c r="B21" t="s">
        <v>37</v>
      </c>
      <c r="C21" t="s">
        <v>1118</v>
      </c>
      <c r="D21" t="s">
        <v>1134</v>
      </c>
      <c r="E21" t="s">
        <v>1148</v>
      </c>
      <c r="F21" t="s">
        <v>1149</v>
      </c>
      <c r="G21" t="s">
        <v>1152</v>
      </c>
      <c r="H21">
        <v>4</v>
      </c>
      <c r="I21">
        <v>34049</v>
      </c>
      <c r="J21" s="6">
        <v>15</v>
      </c>
      <c r="K21">
        <v>28941.65</v>
      </c>
      <c r="L21">
        <v>115766.6</v>
      </c>
      <c r="M21">
        <v>1000</v>
      </c>
      <c r="N21" t="s">
        <v>1159</v>
      </c>
      <c r="O21" t="s">
        <v>1162</v>
      </c>
      <c r="Q21" t="str">
        <f t="shared" si="0"/>
        <v>okay</v>
      </c>
      <c r="R21">
        <f t="shared" si="1"/>
        <v>2</v>
      </c>
      <c r="S21" s="6">
        <f t="shared" si="2"/>
        <v>0</v>
      </c>
    </row>
    <row r="22" spans="1:19" x14ac:dyDescent="0.3">
      <c r="A22" s="10">
        <v>45786</v>
      </c>
      <c r="B22" t="s">
        <v>38</v>
      </c>
      <c r="C22" t="s">
        <v>1126</v>
      </c>
      <c r="D22" t="s">
        <v>1133</v>
      </c>
      <c r="E22" t="s">
        <v>1141</v>
      </c>
      <c r="F22" t="s">
        <v>1151</v>
      </c>
      <c r="G22" t="s">
        <v>1155</v>
      </c>
      <c r="H22">
        <v>1</v>
      </c>
      <c r="I22">
        <v>32887</v>
      </c>
      <c r="J22" s="6">
        <v>15</v>
      </c>
      <c r="K22">
        <v>27953.95</v>
      </c>
      <c r="L22">
        <v>27953.95</v>
      </c>
      <c r="M22">
        <v>1500</v>
      </c>
      <c r="N22" t="s">
        <v>1159</v>
      </c>
      <c r="O22" t="s">
        <v>1164</v>
      </c>
      <c r="P22" s="10">
        <v>45799</v>
      </c>
      <c r="Q22" t="str">
        <f t="shared" si="0"/>
        <v>excellent</v>
      </c>
      <c r="R22">
        <f t="shared" si="1"/>
        <v>3</v>
      </c>
      <c r="S22" s="6">
        <f t="shared" si="2"/>
        <v>13</v>
      </c>
    </row>
    <row r="23" spans="1:19" x14ac:dyDescent="0.3">
      <c r="A23" s="10">
        <v>45741</v>
      </c>
      <c r="B23" t="s">
        <v>39</v>
      </c>
      <c r="C23" t="s">
        <v>1119</v>
      </c>
      <c r="D23" t="s">
        <v>1134</v>
      </c>
      <c r="E23" t="s">
        <v>1138</v>
      </c>
      <c r="F23" t="s">
        <v>1149</v>
      </c>
      <c r="G23" t="s">
        <v>1153</v>
      </c>
      <c r="H23">
        <v>5</v>
      </c>
      <c r="I23">
        <v>35966</v>
      </c>
      <c r="J23" s="6">
        <v>10</v>
      </c>
      <c r="K23">
        <v>32369.4</v>
      </c>
      <c r="L23">
        <v>161847</v>
      </c>
      <c r="M23">
        <v>1000</v>
      </c>
      <c r="N23" t="s">
        <v>1159</v>
      </c>
      <c r="O23" t="s">
        <v>1162</v>
      </c>
      <c r="Q23" t="str">
        <f t="shared" si="0"/>
        <v>okay</v>
      </c>
      <c r="R23">
        <f t="shared" si="1"/>
        <v>2</v>
      </c>
      <c r="S23" s="6">
        <f t="shared" si="2"/>
        <v>0</v>
      </c>
    </row>
    <row r="24" spans="1:19" x14ac:dyDescent="0.3">
      <c r="A24" s="10">
        <v>45719</v>
      </c>
      <c r="B24" t="s">
        <v>40</v>
      </c>
      <c r="C24" t="s">
        <v>1127</v>
      </c>
      <c r="D24" t="s">
        <v>1134</v>
      </c>
      <c r="E24" t="s">
        <v>1147</v>
      </c>
      <c r="F24" t="s">
        <v>1150</v>
      </c>
      <c r="G24" t="s">
        <v>1156</v>
      </c>
      <c r="H24">
        <v>5</v>
      </c>
      <c r="I24">
        <v>57029</v>
      </c>
      <c r="J24" s="6">
        <v>10</v>
      </c>
      <c r="K24">
        <v>51326.1</v>
      </c>
      <c r="L24">
        <v>256630.5</v>
      </c>
      <c r="M24">
        <v>1000</v>
      </c>
      <c r="N24" t="s">
        <v>1160</v>
      </c>
      <c r="O24" t="s">
        <v>1162</v>
      </c>
      <c r="Q24" t="str">
        <f t="shared" si="0"/>
        <v>okay</v>
      </c>
      <c r="R24">
        <f t="shared" si="1"/>
        <v>2</v>
      </c>
      <c r="S24" s="6">
        <f t="shared" si="2"/>
        <v>0</v>
      </c>
    </row>
    <row r="25" spans="1:19" x14ac:dyDescent="0.3">
      <c r="A25" s="10">
        <v>45677</v>
      </c>
      <c r="B25" t="s">
        <v>41</v>
      </c>
      <c r="C25" t="s">
        <v>1118</v>
      </c>
      <c r="D25" t="s">
        <v>1134</v>
      </c>
      <c r="E25" t="s">
        <v>1147</v>
      </c>
      <c r="F25" t="s">
        <v>1150</v>
      </c>
      <c r="G25" t="s">
        <v>1156</v>
      </c>
      <c r="H25">
        <v>3</v>
      </c>
      <c r="I25">
        <v>46639</v>
      </c>
      <c r="J25" s="6">
        <v>5</v>
      </c>
      <c r="K25">
        <v>44307.05</v>
      </c>
      <c r="L25">
        <v>132921.15</v>
      </c>
      <c r="M25">
        <v>2000</v>
      </c>
      <c r="N25" t="s">
        <v>1159</v>
      </c>
      <c r="O25" t="s">
        <v>1162</v>
      </c>
      <c r="Q25" t="str">
        <f t="shared" si="0"/>
        <v>okay</v>
      </c>
      <c r="R25">
        <f t="shared" si="1"/>
        <v>2</v>
      </c>
      <c r="S25" s="6">
        <f t="shared" si="2"/>
        <v>0</v>
      </c>
    </row>
    <row r="26" spans="1:19" x14ac:dyDescent="0.3">
      <c r="A26" s="10">
        <v>45831</v>
      </c>
      <c r="B26" t="s">
        <v>42</v>
      </c>
      <c r="C26" t="s">
        <v>1118</v>
      </c>
      <c r="D26" t="s">
        <v>1134</v>
      </c>
      <c r="E26" t="s">
        <v>1139</v>
      </c>
      <c r="F26" t="s">
        <v>1150</v>
      </c>
      <c r="G26" t="s">
        <v>1154</v>
      </c>
      <c r="H26">
        <v>2</v>
      </c>
      <c r="I26">
        <v>51438</v>
      </c>
      <c r="J26" s="6">
        <v>20</v>
      </c>
      <c r="K26">
        <v>41150.400000000001</v>
      </c>
      <c r="L26">
        <v>82300.800000000003</v>
      </c>
      <c r="M26">
        <v>2000</v>
      </c>
      <c r="N26" t="s">
        <v>1161</v>
      </c>
      <c r="O26" t="s">
        <v>1163</v>
      </c>
      <c r="Q26" t="str">
        <f t="shared" si="0"/>
        <v>no comment</v>
      </c>
      <c r="R26">
        <f t="shared" si="1"/>
        <v>1</v>
      </c>
      <c r="S26" s="6">
        <f t="shared" si="2"/>
        <v>0</v>
      </c>
    </row>
    <row r="27" spans="1:19" x14ac:dyDescent="0.3">
      <c r="A27" s="10">
        <v>45798</v>
      </c>
      <c r="B27" t="s">
        <v>43</v>
      </c>
      <c r="C27" t="s">
        <v>1127</v>
      </c>
      <c r="D27" t="s">
        <v>1134</v>
      </c>
      <c r="E27" t="s">
        <v>1145</v>
      </c>
      <c r="F27" t="s">
        <v>1149</v>
      </c>
      <c r="G27" t="s">
        <v>1153</v>
      </c>
      <c r="H27">
        <v>5</v>
      </c>
      <c r="I27">
        <v>14101</v>
      </c>
      <c r="J27" s="6">
        <v>15</v>
      </c>
      <c r="K27">
        <v>11985.85</v>
      </c>
      <c r="L27">
        <v>59929.25</v>
      </c>
      <c r="M27">
        <v>2000</v>
      </c>
      <c r="N27" t="s">
        <v>1160</v>
      </c>
      <c r="O27" t="s">
        <v>1164</v>
      </c>
      <c r="P27" s="10">
        <v>45803</v>
      </c>
      <c r="Q27" t="str">
        <f t="shared" si="0"/>
        <v>excellent</v>
      </c>
      <c r="R27">
        <f t="shared" si="1"/>
        <v>3</v>
      </c>
      <c r="S27" s="6">
        <f t="shared" si="2"/>
        <v>5</v>
      </c>
    </row>
    <row r="28" spans="1:19" x14ac:dyDescent="0.3">
      <c r="A28" s="10">
        <v>45834</v>
      </c>
      <c r="B28" t="s">
        <v>44</v>
      </c>
      <c r="C28" t="s">
        <v>1128</v>
      </c>
      <c r="D28" t="s">
        <v>1135</v>
      </c>
      <c r="E28" t="s">
        <v>1141</v>
      </c>
      <c r="F28" t="s">
        <v>1151</v>
      </c>
      <c r="G28" t="s">
        <v>1155</v>
      </c>
      <c r="H28">
        <v>5</v>
      </c>
      <c r="I28">
        <v>9665</v>
      </c>
      <c r="J28" s="6">
        <v>0</v>
      </c>
      <c r="K28">
        <v>9665</v>
      </c>
      <c r="L28">
        <v>48325</v>
      </c>
      <c r="M28">
        <v>1500</v>
      </c>
      <c r="N28" t="s">
        <v>1161</v>
      </c>
      <c r="O28" t="s">
        <v>1163</v>
      </c>
      <c r="Q28" t="str">
        <f t="shared" si="0"/>
        <v>no comment</v>
      </c>
      <c r="R28">
        <f t="shared" si="1"/>
        <v>1</v>
      </c>
      <c r="S28" s="6">
        <f t="shared" si="2"/>
        <v>0</v>
      </c>
    </row>
    <row r="29" spans="1:19" x14ac:dyDescent="0.3">
      <c r="A29" s="10">
        <v>45800</v>
      </c>
      <c r="B29" t="s">
        <v>45</v>
      </c>
      <c r="C29" t="s">
        <v>1129</v>
      </c>
      <c r="D29" t="s">
        <v>1133</v>
      </c>
      <c r="E29" t="s">
        <v>1138</v>
      </c>
      <c r="F29" t="s">
        <v>1149</v>
      </c>
      <c r="G29" t="s">
        <v>1153</v>
      </c>
      <c r="H29">
        <v>2</v>
      </c>
      <c r="I29">
        <v>31912</v>
      </c>
      <c r="J29" s="6">
        <v>15</v>
      </c>
      <c r="K29">
        <v>27125.200000000001</v>
      </c>
      <c r="L29">
        <v>54250.400000000001</v>
      </c>
      <c r="M29">
        <v>1000</v>
      </c>
      <c r="N29" t="s">
        <v>1160</v>
      </c>
      <c r="O29" t="s">
        <v>1162</v>
      </c>
      <c r="Q29" t="str">
        <f t="shared" si="0"/>
        <v>okay</v>
      </c>
      <c r="R29">
        <f t="shared" si="1"/>
        <v>2</v>
      </c>
      <c r="S29" s="6">
        <f t="shared" si="2"/>
        <v>0</v>
      </c>
    </row>
    <row r="30" spans="1:19" x14ac:dyDescent="0.3">
      <c r="A30" s="10">
        <v>45744</v>
      </c>
      <c r="B30" t="s">
        <v>46</v>
      </c>
      <c r="C30" t="s">
        <v>1130</v>
      </c>
      <c r="D30" t="s">
        <v>1136</v>
      </c>
      <c r="E30" t="s">
        <v>1140</v>
      </c>
      <c r="F30" t="s">
        <v>1150</v>
      </c>
      <c r="G30" t="s">
        <v>1154</v>
      </c>
      <c r="H30">
        <v>2</v>
      </c>
      <c r="I30">
        <v>25522</v>
      </c>
      <c r="J30" s="6">
        <v>5</v>
      </c>
      <c r="K30">
        <v>24245.9</v>
      </c>
      <c r="L30">
        <v>48491.8</v>
      </c>
      <c r="M30">
        <v>1500</v>
      </c>
      <c r="N30" t="s">
        <v>1159</v>
      </c>
      <c r="O30" t="s">
        <v>1163</v>
      </c>
      <c r="Q30" t="str">
        <f t="shared" si="0"/>
        <v>no comment</v>
      </c>
      <c r="R30">
        <f t="shared" si="1"/>
        <v>1</v>
      </c>
      <c r="S30" s="6">
        <f t="shared" si="2"/>
        <v>0</v>
      </c>
    </row>
    <row r="31" spans="1:19" x14ac:dyDescent="0.3">
      <c r="A31" s="10">
        <v>45779</v>
      </c>
      <c r="B31" t="s">
        <v>47</v>
      </c>
      <c r="C31" t="s">
        <v>1121</v>
      </c>
      <c r="D31" t="s">
        <v>1136</v>
      </c>
      <c r="E31" t="s">
        <v>1139</v>
      </c>
      <c r="F31" t="s">
        <v>1150</v>
      </c>
      <c r="G31" t="s">
        <v>1154</v>
      </c>
      <c r="H31">
        <v>1</v>
      </c>
      <c r="I31">
        <v>76929</v>
      </c>
      <c r="J31" s="6">
        <v>5</v>
      </c>
      <c r="K31">
        <v>73082.55</v>
      </c>
      <c r="L31">
        <v>73082.55</v>
      </c>
      <c r="M31">
        <v>2000</v>
      </c>
      <c r="N31" t="s">
        <v>1161</v>
      </c>
      <c r="O31" t="s">
        <v>1163</v>
      </c>
      <c r="Q31" t="str">
        <f t="shared" si="0"/>
        <v>no comment</v>
      </c>
      <c r="R31">
        <f t="shared" si="1"/>
        <v>1</v>
      </c>
      <c r="S31" s="6">
        <f t="shared" si="2"/>
        <v>0</v>
      </c>
    </row>
    <row r="32" spans="1:19" x14ac:dyDescent="0.3">
      <c r="A32" s="10">
        <v>45824</v>
      </c>
      <c r="B32" t="s">
        <v>48</v>
      </c>
      <c r="C32" t="s">
        <v>1123</v>
      </c>
      <c r="D32" t="s">
        <v>1135</v>
      </c>
      <c r="E32" t="s">
        <v>1141</v>
      </c>
      <c r="F32" t="s">
        <v>1151</v>
      </c>
      <c r="G32" t="s">
        <v>1155</v>
      </c>
      <c r="H32">
        <v>4</v>
      </c>
      <c r="I32">
        <v>77861</v>
      </c>
      <c r="J32" s="6">
        <v>0</v>
      </c>
      <c r="K32">
        <v>77861</v>
      </c>
      <c r="L32">
        <v>311444</v>
      </c>
      <c r="M32">
        <v>2000</v>
      </c>
      <c r="N32" t="s">
        <v>1159</v>
      </c>
      <c r="O32" t="s">
        <v>1164</v>
      </c>
      <c r="P32" s="10">
        <v>45827</v>
      </c>
      <c r="Q32" t="str">
        <f t="shared" si="0"/>
        <v>excellent</v>
      </c>
      <c r="R32">
        <f t="shared" si="1"/>
        <v>3</v>
      </c>
      <c r="S32" s="6">
        <f t="shared" si="2"/>
        <v>3</v>
      </c>
    </row>
    <row r="33" spans="1:19" x14ac:dyDescent="0.3">
      <c r="A33" s="10">
        <v>45727</v>
      </c>
      <c r="B33" t="s">
        <v>49</v>
      </c>
      <c r="C33" t="s">
        <v>1120</v>
      </c>
      <c r="D33" t="s">
        <v>1135</v>
      </c>
      <c r="E33" t="s">
        <v>1139</v>
      </c>
      <c r="F33" t="s">
        <v>1150</v>
      </c>
      <c r="G33" t="s">
        <v>1154</v>
      </c>
      <c r="H33">
        <v>2</v>
      </c>
      <c r="I33">
        <v>61728</v>
      </c>
      <c r="J33" s="6">
        <v>5</v>
      </c>
      <c r="K33">
        <v>58641.599999999999</v>
      </c>
      <c r="L33">
        <v>117283.2</v>
      </c>
      <c r="M33">
        <v>1000</v>
      </c>
      <c r="N33" t="s">
        <v>1159</v>
      </c>
      <c r="O33" t="s">
        <v>1162</v>
      </c>
      <c r="Q33" t="str">
        <f t="shared" si="0"/>
        <v>okay</v>
      </c>
      <c r="R33">
        <f t="shared" si="1"/>
        <v>2</v>
      </c>
      <c r="S33" s="6">
        <f t="shared" si="2"/>
        <v>0</v>
      </c>
    </row>
    <row r="34" spans="1:19" x14ac:dyDescent="0.3">
      <c r="A34" s="10">
        <v>45691</v>
      </c>
      <c r="B34" t="s">
        <v>50</v>
      </c>
      <c r="C34" t="s">
        <v>1131</v>
      </c>
      <c r="D34" t="s">
        <v>1136</v>
      </c>
      <c r="E34" t="s">
        <v>1139</v>
      </c>
      <c r="F34" t="s">
        <v>1150</v>
      </c>
      <c r="G34" t="s">
        <v>1154</v>
      </c>
      <c r="H34">
        <v>3</v>
      </c>
      <c r="I34">
        <v>5557</v>
      </c>
      <c r="J34" s="6">
        <v>0</v>
      </c>
      <c r="K34">
        <v>5557</v>
      </c>
      <c r="L34">
        <v>16671</v>
      </c>
      <c r="M34">
        <v>1500</v>
      </c>
      <c r="N34" t="s">
        <v>1159</v>
      </c>
      <c r="O34" t="s">
        <v>1164</v>
      </c>
      <c r="P34" s="10">
        <v>45696</v>
      </c>
      <c r="Q34" t="str">
        <f t="shared" si="0"/>
        <v>excellent</v>
      </c>
      <c r="R34">
        <f t="shared" si="1"/>
        <v>3</v>
      </c>
      <c r="S34" s="6">
        <f t="shared" si="2"/>
        <v>5</v>
      </c>
    </row>
    <row r="35" spans="1:19" x14ac:dyDescent="0.3">
      <c r="A35" s="10">
        <v>45836</v>
      </c>
      <c r="B35" t="s">
        <v>51</v>
      </c>
      <c r="C35" t="s">
        <v>1118</v>
      </c>
      <c r="D35" t="s">
        <v>1134</v>
      </c>
      <c r="E35" t="s">
        <v>1148</v>
      </c>
      <c r="F35" t="s">
        <v>1149</v>
      </c>
      <c r="G35" t="s">
        <v>1152</v>
      </c>
      <c r="H35">
        <v>1</v>
      </c>
      <c r="I35">
        <v>72388</v>
      </c>
      <c r="J35" s="6">
        <v>5</v>
      </c>
      <c r="K35">
        <v>68768.600000000006</v>
      </c>
      <c r="L35">
        <v>68768.600000000006</v>
      </c>
      <c r="M35">
        <v>2000</v>
      </c>
      <c r="N35" t="s">
        <v>1161</v>
      </c>
      <c r="O35" t="s">
        <v>1162</v>
      </c>
      <c r="Q35" t="str">
        <f t="shared" si="0"/>
        <v>okay</v>
      </c>
      <c r="R35">
        <f t="shared" si="1"/>
        <v>2</v>
      </c>
      <c r="S35" s="6">
        <f t="shared" si="2"/>
        <v>0</v>
      </c>
    </row>
    <row r="36" spans="1:19" x14ac:dyDescent="0.3">
      <c r="A36" s="10">
        <v>45699</v>
      </c>
      <c r="B36" t="s">
        <v>52</v>
      </c>
      <c r="C36" t="s">
        <v>1132</v>
      </c>
      <c r="D36" t="s">
        <v>1134</v>
      </c>
      <c r="E36" t="s">
        <v>1140</v>
      </c>
      <c r="F36" t="s">
        <v>1150</v>
      </c>
      <c r="G36" t="s">
        <v>1154</v>
      </c>
      <c r="H36">
        <v>2</v>
      </c>
      <c r="I36">
        <v>37848</v>
      </c>
      <c r="J36" s="6">
        <v>0</v>
      </c>
      <c r="K36">
        <v>37848</v>
      </c>
      <c r="L36">
        <v>75696</v>
      </c>
      <c r="M36">
        <v>1500</v>
      </c>
      <c r="N36" t="s">
        <v>1160</v>
      </c>
      <c r="O36" t="s">
        <v>1162</v>
      </c>
      <c r="Q36" t="str">
        <f t="shared" si="0"/>
        <v>okay</v>
      </c>
      <c r="R36">
        <f t="shared" si="1"/>
        <v>2</v>
      </c>
      <c r="S36" s="6">
        <f t="shared" si="2"/>
        <v>0</v>
      </c>
    </row>
    <row r="37" spans="1:19" x14ac:dyDescent="0.3">
      <c r="A37" s="10">
        <v>45748</v>
      </c>
      <c r="B37" t="s">
        <v>53</v>
      </c>
      <c r="C37" t="s">
        <v>1117</v>
      </c>
      <c r="D37" t="s">
        <v>1133</v>
      </c>
      <c r="E37" t="s">
        <v>1142</v>
      </c>
      <c r="F37" t="s">
        <v>1150</v>
      </c>
      <c r="G37" t="s">
        <v>1156</v>
      </c>
      <c r="H37">
        <v>5</v>
      </c>
      <c r="I37">
        <v>52938</v>
      </c>
      <c r="J37" s="6">
        <v>20</v>
      </c>
      <c r="K37">
        <v>42350.400000000001</v>
      </c>
      <c r="L37">
        <v>211752</v>
      </c>
      <c r="M37">
        <v>1500</v>
      </c>
      <c r="N37" t="s">
        <v>1159</v>
      </c>
      <c r="O37" t="s">
        <v>1164</v>
      </c>
      <c r="P37" s="10">
        <v>45762</v>
      </c>
      <c r="Q37" t="str">
        <f t="shared" si="0"/>
        <v>excellent</v>
      </c>
      <c r="R37">
        <f t="shared" si="1"/>
        <v>3</v>
      </c>
      <c r="S37" s="6">
        <f t="shared" si="2"/>
        <v>14</v>
      </c>
    </row>
    <row r="38" spans="1:19" x14ac:dyDescent="0.3">
      <c r="A38" s="10">
        <v>45721</v>
      </c>
      <c r="B38" t="s">
        <v>54</v>
      </c>
      <c r="C38" t="s">
        <v>1128</v>
      </c>
      <c r="D38" t="s">
        <v>1135</v>
      </c>
      <c r="E38" t="s">
        <v>1148</v>
      </c>
      <c r="F38" t="s">
        <v>1149</v>
      </c>
      <c r="G38" t="s">
        <v>1152</v>
      </c>
      <c r="H38">
        <v>2</v>
      </c>
      <c r="I38">
        <v>38753</v>
      </c>
      <c r="J38" s="6">
        <v>10</v>
      </c>
      <c r="K38">
        <v>34877.699999999997</v>
      </c>
      <c r="L38">
        <v>69755.399999999994</v>
      </c>
      <c r="M38">
        <v>1500</v>
      </c>
      <c r="N38" t="s">
        <v>1159</v>
      </c>
      <c r="O38" t="s">
        <v>1164</v>
      </c>
      <c r="P38" s="10">
        <v>45730</v>
      </c>
      <c r="Q38" t="str">
        <f t="shared" si="0"/>
        <v>excellent</v>
      </c>
      <c r="R38">
        <f t="shared" si="1"/>
        <v>3</v>
      </c>
      <c r="S38" s="6">
        <f t="shared" si="2"/>
        <v>9</v>
      </c>
    </row>
    <row r="39" spans="1:19" x14ac:dyDescent="0.3">
      <c r="A39" s="10">
        <v>45810</v>
      </c>
      <c r="B39" t="s">
        <v>55</v>
      </c>
      <c r="C39" t="s">
        <v>1117</v>
      </c>
      <c r="D39" t="s">
        <v>1133</v>
      </c>
      <c r="E39" t="s">
        <v>1137</v>
      </c>
      <c r="F39" t="s">
        <v>1149</v>
      </c>
      <c r="G39" t="s">
        <v>1152</v>
      </c>
      <c r="H39">
        <v>5</v>
      </c>
      <c r="I39">
        <v>77011</v>
      </c>
      <c r="J39" s="6">
        <v>0</v>
      </c>
      <c r="K39">
        <v>77011</v>
      </c>
      <c r="L39">
        <v>385055</v>
      </c>
      <c r="M39">
        <v>1000</v>
      </c>
      <c r="N39" t="s">
        <v>1161</v>
      </c>
      <c r="O39" t="s">
        <v>1163</v>
      </c>
      <c r="Q39" t="str">
        <f t="shared" si="0"/>
        <v>no comment</v>
      </c>
      <c r="R39">
        <f t="shared" si="1"/>
        <v>1</v>
      </c>
      <c r="S39" s="6">
        <f t="shared" si="2"/>
        <v>0</v>
      </c>
    </row>
    <row r="40" spans="1:19" x14ac:dyDescent="0.3">
      <c r="A40" s="10">
        <v>45665</v>
      </c>
      <c r="B40" t="s">
        <v>56</v>
      </c>
      <c r="C40" t="s">
        <v>1119</v>
      </c>
      <c r="D40" t="s">
        <v>1134</v>
      </c>
      <c r="E40" t="s">
        <v>1142</v>
      </c>
      <c r="F40" t="s">
        <v>1150</v>
      </c>
      <c r="G40" t="s">
        <v>1156</v>
      </c>
      <c r="H40">
        <v>2</v>
      </c>
      <c r="I40">
        <v>30642</v>
      </c>
      <c r="J40" s="6">
        <v>10</v>
      </c>
      <c r="K40">
        <v>27577.8</v>
      </c>
      <c r="L40">
        <v>55155.6</v>
      </c>
      <c r="M40">
        <v>1500</v>
      </c>
      <c r="N40" t="s">
        <v>1159</v>
      </c>
      <c r="O40" t="s">
        <v>1164</v>
      </c>
      <c r="P40" s="10">
        <v>45672</v>
      </c>
      <c r="Q40" t="str">
        <f t="shared" si="0"/>
        <v>excellent</v>
      </c>
      <c r="R40">
        <f t="shared" si="1"/>
        <v>3</v>
      </c>
      <c r="S40" s="6">
        <f t="shared" si="2"/>
        <v>7</v>
      </c>
    </row>
    <row r="41" spans="1:19" x14ac:dyDescent="0.3">
      <c r="A41" s="10">
        <v>45765</v>
      </c>
      <c r="B41" t="s">
        <v>57</v>
      </c>
      <c r="C41" t="s">
        <v>1126</v>
      </c>
      <c r="D41" t="s">
        <v>1133</v>
      </c>
      <c r="E41" t="s">
        <v>1140</v>
      </c>
      <c r="F41" t="s">
        <v>1150</v>
      </c>
      <c r="G41" t="s">
        <v>1154</v>
      </c>
      <c r="H41">
        <v>1</v>
      </c>
      <c r="I41">
        <v>11271</v>
      </c>
      <c r="J41" s="6">
        <v>5</v>
      </c>
      <c r="K41">
        <v>10707.45</v>
      </c>
      <c r="L41">
        <v>10707.45</v>
      </c>
      <c r="M41">
        <v>2000</v>
      </c>
      <c r="N41" t="s">
        <v>1160</v>
      </c>
      <c r="O41" t="s">
        <v>1162</v>
      </c>
      <c r="Q41" t="str">
        <f t="shared" si="0"/>
        <v>okay</v>
      </c>
      <c r="R41">
        <f t="shared" si="1"/>
        <v>2</v>
      </c>
      <c r="S41" s="6">
        <f t="shared" si="2"/>
        <v>0</v>
      </c>
    </row>
    <row r="42" spans="1:19" x14ac:dyDescent="0.3">
      <c r="A42" s="10">
        <v>45787</v>
      </c>
      <c r="B42" t="s">
        <v>58</v>
      </c>
      <c r="C42" t="s">
        <v>1125</v>
      </c>
      <c r="D42" t="s">
        <v>1133</v>
      </c>
      <c r="E42" t="s">
        <v>1142</v>
      </c>
      <c r="F42" t="s">
        <v>1150</v>
      </c>
      <c r="G42" t="s">
        <v>1156</v>
      </c>
      <c r="H42">
        <v>1</v>
      </c>
      <c r="I42">
        <v>52781</v>
      </c>
      <c r="J42" s="6">
        <v>20</v>
      </c>
      <c r="K42">
        <v>42224.800000000003</v>
      </c>
      <c r="L42">
        <v>42224.800000000003</v>
      </c>
      <c r="M42">
        <v>2000</v>
      </c>
      <c r="N42" t="s">
        <v>1160</v>
      </c>
      <c r="O42" t="s">
        <v>1162</v>
      </c>
      <c r="Q42" t="str">
        <f t="shared" si="0"/>
        <v>okay</v>
      </c>
      <c r="R42">
        <f t="shared" si="1"/>
        <v>2</v>
      </c>
      <c r="S42" s="6">
        <f t="shared" si="2"/>
        <v>0</v>
      </c>
    </row>
    <row r="43" spans="1:19" x14ac:dyDescent="0.3">
      <c r="A43" s="10">
        <v>45732</v>
      </c>
      <c r="B43" t="s">
        <v>59</v>
      </c>
      <c r="C43" t="s">
        <v>1128</v>
      </c>
      <c r="D43" t="s">
        <v>1135</v>
      </c>
      <c r="E43" t="s">
        <v>1147</v>
      </c>
      <c r="F43" t="s">
        <v>1150</v>
      </c>
      <c r="G43" t="s">
        <v>1156</v>
      </c>
      <c r="H43">
        <v>5</v>
      </c>
      <c r="I43">
        <v>42505</v>
      </c>
      <c r="J43" s="6">
        <v>5</v>
      </c>
      <c r="K43">
        <v>40379.75</v>
      </c>
      <c r="L43">
        <v>201898.75</v>
      </c>
      <c r="M43">
        <v>1000</v>
      </c>
      <c r="N43" t="s">
        <v>1159</v>
      </c>
      <c r="O43" t="s">
        <v>1164</v>
      </c>
      <c r="P43" s="10">
        <v>45746</v>
      </c>
      <c r="Q43" t="str">
        <f t="shared" si="0"/>
        <v>excellent</v>
      </c>
      <c r="R43">
        <f t="shared" si="1"/>
        <v>3</v>
      </c>
      <c r="S43" s="6">
        <f t="shared" si="2"/>
        <v>14</v>
      </c>
    </row>
    <row r="44" spans="1:19" x14ac:dyDescent="0.3">
      <c r="A44" s="10">
        <v>45697</v>
      </c>
      <c r="B44" t="s">
        <v>60</v>
      </c>
      <c r="C44" t="s">
        <v>1120</v>
      </c>
      <c r="D44" t="s">
        <v>1135</v>
      </c>
      <c r="E44" t="s">
        <v>1148</v>
      </c>
      <c r="F44" t="s">
        <v>1149</v>
      </c>
      <c r="G44" t="s">
        <v>1152</v>
      </c>
      <c r="H44">
        <v>3</v>
      </c>
      <c r="I44">
        <v>11864</v>
      </c>
      <c r="J44" s="6">
        <v>10</v>
      </c>
      <c r="K44">
        <v>10677.6</v>
      </c>
      <c r="L44">
        <v>32032.799999999999</v>
      </c>
      <c r="M44">
        <v>1000</v>
      </c>
      <c r="N44" t="s">
        <v>1159</v>
      </c>
      <c r="O44" t="s">
        <v>1162</v>
      </c>
      <c r="Q44" t="str">
        <f t="shared" si="0"/>
        <v>okay</v>
      </c>
      <c r="R44">
        <f t="shared" si="1"/>
        <v>2</v>
      </c>
      <c r="S44" s="6">
        <f t="shared" si="2"/>
        <v>0</v>
      </c>
    </row>
    <row r="45" spans="1:19" x14ac:dyDescent="0.3">
      <c r="A45" s="10">
        <v>45664</v>
      </c>
      <c r="B45" t="s">
        <v>61</v>
      </c>
      <c r="C45" t="s">
        <v>1118</v>
      </c>
      <c r="D45" t="s">
        <v>1134</v>
      </c>
      <c r="E45" t="s">
        <v>1138</v>
      </c>
      <c r="F45" t="s">
        <v>1149</v>
      </c>
      <c r="G45" t="s">
        <v>1153</v>
      </c>
      <c r="H45">
        <v>1</v>
      </c>
      <c r="I45">
        <v>59318</v>
      </c>
      <c r="J45" s="6">
        <v>0</v>
      </c>
      <c r="K45">
        <v>59318</v>
      </c>
      <c r="L45">
        <v>59318</v>
      </c>
      <c r="M45">
        <v>1000</v>
      </c>
      <c r="N45" t="s">
        <v>1159</v>
      </c>
      <c r="O45" t="s">
        <v>1164</v>
      </c>
      <c r="P45" s="10">
        <v>45676</v>
      </c>
      <c r="Q45" t="str">
        <f t="shared" si="0"/>
        <v>excellent</v>
      </c>
      <c r="R45">
        <f t="shared" si="1"/>
        <v>3</v>
      </c>
      <c r="S45" s="6">
        <f t="shared" si="2"/>
        <v>12</v>
      </c>
    </row>
    <row r="46" spans="1:19" x14ac:dyDescent="0.3">
      <c r="A46" s="10">
        <v>45672</v>
      </c>
      <c r="B46" t="s">
        <v>62</v>
      </c>
      <c r="C46" t="s">
        <v>1129</v>
      </c>
      <c r="D46" t="s">
        <v>1133</v>
      </c>
      <c r="E46" t="s">
        <v>1145</v>
      </c>
      <c r="F46" t="s">
        <v>1149</v>
      </c>
      <c r="G46" t="s">
        <v>1153</v>
      </c>
      <c r="H46">
        <v>4</v>
      </c>
      <c r="I46">
        <v>9701</v>
      </c>
      <c r="J46" s="6">
        <v>20</v>
      </c>
      <c r="K46">
        <v>7760.8</v>
      </c>
      <c r="L46">
        <v>31043.200000000001</v>
      </c>
      <c r="M46">
        <v>1500</v>
      </c>
      <c r="N46" t="s">
        <v>1161</v>
      </c>
      <c r="O46" t="s">
        <v>1163</v>
      </c>
      <c r="Q46" t="str">
        <f t="shared" si="0"/>
        <v>no comment</v>
      </c>
      <c r="R46">
        <f t="shared" si="1"/>
        <v>1</v>
      </c>
      <c r="S46" s="6">
        <f t="shared" si="2"/>
        <v>0</v>
      </c>
    </row>
    <row r="47" spans="1:19" x14ac:dyDescent="0.3">
      <c r="A47" s="10">
        <v>45700</v>
      </c>
      <c r="B47" t="s">
        <v>63</v>
      </c>
      <c r="C47" t="s">
        <v>1122</v>
      </c>
      <c r="D47" t="s">
        <v>1136</v>
      </c>
      <c r="E47" t="s">
        <v>1144</v>
      </c>
      <c r="F47" t="s">
        <v>1151</v>
      </c>
      <c r="G47" t="s">
        <v>1157</v>
      </c>
      <c r="H47">
        <v>3</v>
      </c>
      <c r="I47">
        <v>48321</v>
      </c>
      <c r="J47" s="6">
        <v>0</v>
      </c>
      <c r="K47">
        <v>48321</v>
      </c>
      <c r="L47">
        <v>144963</v>
      </c>
      <c r="M47">
        <v>2000</v>
      </c>
      <c r="N47" t="s">
        <v>1159</v>
      </c>
      <c r="O47" t="s">
        <v>1162</v>
      </c>
      <c r="Q47" t="str">
        <f t="shared" si="0"/>
        <v>okay</v>
      </c>
      <c r="R47">
        <f t="shared" si="1"/>
        <v>2</v>
      </c>
      <c r="S47" s="6">
        <f t="shared" si="2"/>
        <v>0</v>
      </c>
    </row>
    <row r="48" spans="1:19" x14ac:dyDescent="0.3">
      <c r="A48" s="10">
        <v>45701</v>
      </c>
      <c r="B48" t="s">
        <v>64</v>
      </c>
      <c r="C48" t="s">
        <v>1124</v>
      </c>
      <c r="D48" t="s">
        <v>1135</v>
      </c>
      <c r="E48" t="s">
        <v>1137</v>
      </c>
      <c r="F48" t="s">
        <v>1149</v>
      </c>
      <c r="G48" t="s">
        <v>1152</v>
      </c>
      <c r="H48">
        <v>4</v>
      </c>
      <c r="I48">
        <v>78762</v>
      </c>
      <c r="J48" s="6">
        <v>10</v>
      </c>
      <c r="K48">
        <v>70885.8</v>
      </c>
      <c r="L48">
        <v>283543.2</v>
      </c>
      <c r="M48">
        <v>1000</v>
      </c>
      <c r="N48" t="s">
        <v>1160</v>
      </c>
      <c r="O48" t="s">
        <v>1164</v>
      </c>
      <c r="P48" s="10">
        <v>45706</v>
      </c>
      <c r="Q48" t="str">
        <f t="shared" si="0"/>
        <v>excellent</v>
      </c>
      <c r="R48">
        <f t="shared" si="1"/>
        <v>3</v>
      </c>
      <c r="S48" s="6">
        <f t="shared" si="2"/>
        <v>5</v>
      </c>
    </row>
    <row r="49" spans="1:19" x14ac:dyDescent="0.3">
      <c r="A49" s="10">
        <v>45826</v>
      </c>
      <c r="B49" t="s">
        <v>65</v>
      </c>
      <c r="C49" t="s">
        <v>1127</v>
      </c>
      <c r="D49" t="s">
        <v>1134</v>
      </c>
      <c r="E49" t="s">
        <v>1144</v>
      </c>
      <c r="F49" t="s">
        <v>1151</v>
      </c>
      <c r="G49" t="s">
        <v>1157</v>
      </c>
      <c r="H49">
        <v>4</v>
      </c>
      <c r="I49">
        <v>59466</v>
      </c>
      <c r="J49" s="6">
        <v>10</v>
      </c>
      <c r="K49">
        <v>53519.4</v>
      </c>
      <c r="L49">
        <v>214077.6</v>
      </c>
      <c r="M49">
        <v>1000</v>
      </c>
      <c r="N49" t="s">
        <v>1160</v>
      </c>
      <c r="O49" t="s">
        <v>1163</v>
      </c>
      <c r="Q49" t="str">
        <f t="shared" si="0"/>
        <v>no comment</v>
      </c>
      <c r="R49">
        <f t="shared" si="1"/>
        <v>1</v>
      </c>
      <c r="S49" s="6">
        <f t="shared" si="2"/>
        <v>0</v>
      </c>
    </row>
    <row r="50" spans="1:19" x14ac:dyDescent="0.3">
      <c r="A50" s="10">
        <v>45664</v>
      </c>
      <c r="B50" t="s">
        <v>66</v>
      </c>
      <c r="C50" t="s">
        <v>1129</v>
      </c>
      <c r="D50" t="s">
        <v>1133</v>
      </c>
      <c r="E50" t="s">
        <v>1142</v>
      </c>
      <c r="F50" t="s">
        <v>1150</v>
      </c>
      <c r="G50" t="s">
        <v>1156</v>
      </c>
      <c r="H50">
        <v>3</v>
      </c>
      <c r="I50">
        <v>26849</v>
      </c>
      <c r="J50" s="6">
        <v>5</v>
      </c>
      <c r="K50">
        <v>25506.55</v>
      </c>
      <c r="L50">
        <v>76519.649999999994</v>
      </c>
      <c r="M50">
        <v>1500</v>
      </c>
      <c r="N50" t="s">
        <v>1160</v>
      </c>
      <c r="O50" t="s">
        <v>1164</v>
      </c>
      <c r="P50" s="10">
        <v>45677</v>
      </c>
      <c r="Q50" t="str">
        <f t="shared" si="0"/>
        <v>excellent</v>
      </c>
      <c r="R50">
        <f t="shared" si="1"/>
        <v>3</v>
      </c>
      <c r="S50" s="6">
        <f t="shared" si="2"/>
        <v>13</v>
      </c>
    </row>
    <row r="51" spans="1:19" x14ac:dyDescent="0.3">
      <c r="A51" s="10">
        <v>45724</v>
      </c>
      <c r="B51" t="s">
        <v>67</v>
      </c>
      <c r="C51" t="s">
        <v>1123</v>
      </c>
      <c r="D51" t="s">
        <v>1135</v>
      </c>
      <c r="E51" t="s">
        <v>1148</v>
      </c>
      <c r="F51" t="s">
        <v>1149</v>
      </c>
      <c r="G51" t="s">
        <v>1152</v>
      </c>
      <c r="H51">
        <v>4</v>
      </c>
      <c r="I51">
        <v>13202</v>
      </c>
      <c r="J51" s="6">
        <v>15</v>
      </c>
      <c r="K51">
        <v>11221.7</v>
      </c>
      <c r="L51">
        <v>44886.8</v>
      </c>
      <c r="M51">
        <v>2000</v>
      </c>
      <c r="N51" t="s">
        <v>1161</v>
      </c>
      <c r="O51" t="s">
        <v>1163</v>
      </c>
      <c r="Q51" t="str">
        <f t="shared" si="0"/>
        <v>no comment</v>
      </c>
      <c r="R51">
        <f t="shared" si="1"/>
        <v>1</v>
      </c>
      <c r="S51" s="6">
        <f t="shared" si="2"/>
        <v>0</v>
      </c>
    </row>
    <row r="52" spans="1:19" x14ac:dyDescent="0.3">
      <c r="A52" s="10">
        <v>45726</v>
      </c>
      <c r="B52" t="s">
        <v>68</v>
      </c>
      <c r="C52" t="s">
        <v>1132</v>
      </c>
      <c r="D52" t="s">
        <v>1134</v>
      </c>
      <c r="E52" t="s">
        <v>1144</v>
      </c>
      <c r="F52" t="s">
        <v>1151</v>
      </c>
      <c r="G52" t="s">
        <v>1157</v>
      </c>
      <c r="H52">
        <v>5</v>
      </c>
      <c r="I52">
        <v>24749</v>
      </c>
      <c r="J52" s="6">
        <v>10</v>
      </c>
      <c r="K52">
        <v>22274.1</v>
      </c>
      <c r="L52">
        <v>111370.5</v>
      </c>
      <c r="M52">
        <v>1000</v>
      </c>
      <c r="N52" t="s">
        <v>1159</v>
      </c>
      <c r="O52" t="s">
        <v>1163</v>
      </c>
      <c r="Q52" t="str">
        <f t="shared" si="0"/>
        <v>no comment</v>
      </c>
      <c r="R52">
        <f t="shared" si="1"/>
        <v>1</v>
      </c>
      <c r="S52" s="6">
        <f t="shared" si="2"/>
        <v>0</v>
      </c>
    </row>
    <row r="53" spans="1:19" x14ac:dyDescent="0.3">
      <c r="A53" s="10">
        <v>45718</v>
      </c>
      <c r="B53" t="s">
        <v>69</v>
      </c>
      <c r="C53" t="s">
        <v>1129</v>
      </c>
      <c r="D53" t="s">
        <v>1133</v>
      </c>
      <c r="E53" t="s">
        <v>1137</v>
      </c>
      <c r="F53" t="s">
        <v>1149</v>
      </c>
      <c r="G53" t="s">
        <v>1152</v>
      </c>
      <c r="H53">
        <v>2</v>
      </c>
      <c r="I53">
        <v>24801</v>
      </c>
      <c r="J53" s="6">
        <v>5</v>
      </c>
      <c r="K53">
        <v>23560.95</v>
      </c>
      <c r="L53">
        <v>47121.9</v>
      </c>
      <c r="M53">
        <v>1000</v>
      </c>
      <c r="N53" t="s">
        <v>1160</v>
      </c>
      <c r="O53" t="s">
        <v>1164</v>
      </c>
      <c r="P53" s="10">
        <v>45721</v>
      </c>
      <c r="Q53" t="str">
        <f t="shared" si="0"/>
        <v>excellent</v>
      </c>
      <c r="R53">
        <f t="shared" si="1"/>
        <v>3</v>
      </c>
      <c r="S53" s="6">
        <f t="shared" si="2"/>
        <v>3</v>
      </c>
    </row>
    <row r="54" spans="1:19" x14ac:dyDescent="0.3">
      <c r="A54" s="10">
        <v>45716</v>
      </c>
      <c r="B54" t="s">
        <v>70</v>
      </c>
      <c r="C54" t="s">
        <v>1118</v>
      </c>
      <c r="D54" t="s">
        <v>1134</v>
      </c>
      <c r="E54" t="s">
        <v>1139</v>
      </c>
      <c r="F54" t="s">
        <v>1150</v>
      </c>
      <c r="G54" t="s">
        <v>1154</v>
      </c>
      <c r="H54">
        <v>2</v>
      </c>
      <c r="I54">
        <v>10536</v>
      </c>
      <c r="J54" s="6">
        <v>5</v>
      </c>
      <c r="K54">
        <v>10009.200000000001</v>
      </c>
      <c r="L54">
        <v>20018.400000000001</v>
      </c>
      <c r="M54">
        <v>1000</v>
      </c>
      <c r="N54" t="s">
        <v>1159</v>
      </c>
      <c r="O54" t="s">
        <v>1164</v>
      </c>
      <c r="P54" s="10">
        <v>45727</v>
      </c>
      <c r="Q54" t="str">
        <f t="shared" si="0"/>
        <v>excellent</v>
      </c>
      <c r="R54">
        <f t="shared" si="1"/>
        <v>3</v>
      </c>
      <c r="S54" s="6">
        <f t="shared" si="2"/>
        <v>11</v>
      </c>
    </row>
    <row r="55" spans="1:19" x14ac:dyDescent="0.3">
      <c r="A55" s="10">
        <v>45686</v>
      </c>
      <c r="B55" t="s">
        <v>71</v>
      </c>
      <c r="C55" t="s">
        <v>1130</v>
      </c>
      <c r="D55" t="s">
        <v>1136</v>
      </c>
      <c r="E55" t="s">
        <v>1141</v>
      </c>
      <c r="F55" t="s">
        <v>1151</v>
      </c>
      <c r="G55" t="s">
        <v>1155</v>
      </c>
      <c r="H55">
        <v>4</v>
      </c>
      <c r="I55">
        <v>36210</v>
      </c>
      <c r="J55" s="6">
        <v>20</v>
      </c>
      <c r="K55">
        <v>28968</v>
      </c>
      <c r="L55">
        <v>115872</v>
      </c>
      <c r="M55">
        <v>1000</v>
      </c>
      <c r="N55" t="s">
        <v>1160</v>
      </c>
      <c r="O55" t="s">
        <v>1162</v>
      </c>
      <c r="Q55" t="str">
        <f t="shared" si="0"/>
        <v>okay</v>
      </c>
      <c r="R55">
        <f t="shared" si="1"/>
        <v>2</v>
      </c>
      <c r="S55" s="6">
        <f t="shared" si="2"/>
        <v>0</v>
      </c>
    </row>
    <row r="56" spans="1:19" x14ac:dyDescent="0.3">
      <c r="A56" s="10">
        <v>45700</v>
      </c>
      <c r="B56" t="s">
        <v>72</v>
      </c>
      <c r="C56" t="s">
        <v>1129</v>
      </c>
      <c r="D56" t="s">
        <v>1133</v>
      </c>
      <c r="E56" t="s">
        <v>1140</v>
      </c>
      <c r="F56" t="s">
        <v>1150</v>
      </c>
      <c r="G56" t="s">
        <v>1154</v>
      </c>
      <c r="H56">
        <v>2</v>
      </c>
      <c r="I56">
        <v>63636</v>
      </c>
      <c r="J56" s="6">
        <v>0</v>
      </c>
      <c r="K56">
        <v>63636</v>
      </c>
      <c r="L56">
        <v>127272</v>
      </c>
      <c r="M56">
        <v>2000</v>
      </c>
      <c r="N56" t="s">
        <v>1161</v>
      </c>
      <c r="O56" t="s">
        <v>1162</v>
      </c>
      <c r="Q56" t="str">
        <f t="shared" si="0"/>
        <v>okay</v>
      </c>
      <c r="R56">
        <f t="shared" si="1"/>
        <v>2</v>
      </c>
      <c r="S56" s="6">
        <f t="shared" si="2"/>
        <v>0</v>
      </c>
    </row>
    <row r="57" spans="1:19" x14ac:dyDescent="0.3">
      <c r="A57" s="10">
        <v>45717</v>
      </c>
      <c r="B57" t="s">
        <v>73</v>
      </c>
      <c r="C57" t="s">
        <v>1127</v>
      </c>
      <c r="D57" t="s">
        <v>1134</v>
      </c>
      <c r="E57" t="s">
        <v>1143</v>
      </c>
      <c r="F57" t="s">
        <v>1151</v>
      </c>
      <c r="G57" t="s">
        <v>1157</v>
      </c>
      <c r="H57">
        <v>3</v>
      </c>
      <c r="I57">
        <v>42561</v>
      </c>
      <c r="J57" s="6">
        <v>10</v>
      </c>
      <c r="K57">
        <v>38304.9</v>
      </c>
      <c r="L57">
        <v>114914.7</v>
      </c>
      <c r="M57">
        <v>1500</v>
      </c>
      <c r="N57" t="s">
        <v>1160</v>
      </c>
      <c r="O57" t="s">
        <v>1162</v>
      </c>
      <c r="Q57" t="str">
        <f t="shared" si="0"/>
        <v>okay</v>
      </c>
      <c r="R57">
        <f t="shared" si="1"/>
        <v>2</v>
      </c>
      <c r="S57" s="6">
        <f t="shared" si="2"/>
        <v>0</v>
      </c>
    </row>
    <row r="58" spans="1:19" x14ac:dyDescent="0.3">
      <c r="A58" s="10">
        <v>45690</v>
      </c>
      <c r="B58" t="s">
        <v>74</v>
      </c>
      <c r="C58" t="s">
        <v>1130</v>
      </c>
      <c r="D58" t="s">
        <v>1136</v>
      </c>
      <c r="E58" t="s">
        <v>1139</v>
      </c>
      <c r="F58" t="s">
        <v>1150</v>
      </c>
      <c r="G58" t="s">
        <v>1154</v>
      </c>
      <c r="H58">
        <v>3</v>
      </c>
      <c r="I58">
        <v>9091</v>
      </c>
      <c r="J58" s="6">
        <v>0</v>
      </c>
      <c r="K58">
        <v>9091</v>
      </c>
      <c r="L58">
        <v>27273</v>
      </c>
      <c r="M58">
        <v>1500</v>
      </c>
      <c r="N58" t="s">
        <v>1161</v>
      </c>
      <c r="O58" t="s">
        <v>1164</v>
      </c>
      <c r="P58" s="10">
        <v>45697</v>
      </c>
      <c r="Q58" t="str">
        <f t="shared" si="0"/>
        <v>excellent</v>
      </c>
      <c r="R58">
        <f t="shared" si="1"/>
        <v>3</v>
      </c>
      <c r="S58" s="6">
        <f t="shared" si="2"/>
        <v>7</v>
      </c>
    </row>
    <row r="59" spans="1:19" x14ac:dyDescent="0.3">
      <c r="A59" s="10">
        <v>45741</v>
      </c>
      <c r="B59" t="s">
        <v>75</v>
      </c>
      <c r="C59" t="s">
        <v>1125</v>
      </c>
      <c r="D59" t="s">
        <v>1133</v>
      </c>
      <c r="E59" t="s">
        <v>1140</v>
      </c>
      <c r="F59" t="s">
        <v>1150</v>
      </c>
      <c r="G59" t="s">
        <v>1154</v>
      </c>
      <c r="H59">
        <v>1</v>
      </c>
      <c r="I59">
        <v>55615</v>
      </c>
      <c r="J59" s="6">
        <v>15</v>
      </c>
      <c r="K59">
        <v>47272.75</v>
      </c>
      <c r="L59">
        <v>47272.75</v>
      </c>
      <c r="M59">
        <v>1000</v>
      </c>
      <c r="N59" t="s">
        <v>1161</v>
      </c>
      <c r="O59" t="s">
        <v>1163</v>
      </c>
      <c r="Q59" t="str">
        <f t="shared" si="0"/>
        <v>no comment</v>
      </c>
      <c r="R59">
        <f t="shared" si="1"/>
        <v>1</v>
      </c>
      <c r="S59" s="6">
        <f t="shared" si="2"/>
        <v>0</v>
      </c>
    </row>
    <row r="60" spans="1:19" x14ac:dyDescent="0.3">
      <c r="A60" s="10">
        <v>45708</v>
      </c>
      <c r="B60" t="s">
        <v>76</v>
      </c>
      <c r="C60" t="s">
        <v>1119</v>
      </c>
      <c r="D60" t="s">
        <v>1134</v>
      </c>
      <c r="E60" t="s">
        <v>1147</v>
      </c>
      <c r="F60" t="s">
        <v>1150</v>
      </c>
      <c r="G60" t="s">
        <v>1156</v>
      </c>
      <c r="H60">
        <v>3</v>
      </c>
      <c r="I60">
        <v>34955</v>
      </c>
      <c r="J60" s="6">
        <v>15</v>
      </c>
      <c r="K60">
        <v>29711.75</v>
      </c>
      <c r="L60">
        <v>89135.25</v>
      </c>
      <c r="M60">
        <v>2000</v>
      </c>
      <c r="N60" t="s">
        <v>1161</v>
      </c>
      <c r="O60" t="s">
        <v>1162</v>
      </c>
      <c r="Q60" t="str">
        <f t="shared" si="0"/>
        <v>okay</v>
      </c>
      <c r="R60">
        <f t="shared" si="1"/>
        <v>2</v>
      </c>
      <c r="S60" s="6">
        <f t="shared" si="2"/>
        <v>0</v>
      </c>
    </row>
    <row r="61" spans="1:19" x14ac:dyDescent="0.3">
      <c r="A61" s="10">
        <v>45795</v>
      </c>
      <c r="B61" t="s">
        <v>77</v>
      </c>
      <c r="C61" t="s">
        <v>1126</v>
      </c>
      <c r="D61" t="s">
        <v>1133</v>
      </c>
      <c r="E61" t="s">
        <v>1146</v>
      </c>
      <c r="F61" t="s">
        <v>1151</v>
      </c>
      <c r="G61" t="s">
        <v>1155</v>
      </c>
      <c r="H61">
        <v>4</v>
      </c>
      <c r="I61">
        <v>74426</v>
      </c>
      <c r="J61" s="6">
        <v>0</v>
      </c>
      <c r="K61">
        <v>74426</v>
      </c>
      <c r="L61">
        <v>297704</v>
      </c>
      <c r="M61">
        <v>2000</v>
      </c>
      <c r="N61" t="s">
        <v>1161</v>
      </c>
      <c r="O61" t="s">
        <v>1163</v>
      </c>
      <c r="Q61" t="str">
        <f t="shared" si="0"/>
        <v>no comment</v>
      </c>
      <c r="R61">
        <f t="shared" si="1"/>
        <v>1</v>
      </c>
      <c r="S61" s="6">
        <f t="shared" si="2"/>
        <v>0</v>
      </c>
    </row>
    <row r="62" spans="1:19" x14ac:dyDescent="0.3">
      <c r="A62" s="10">
        <v>45713</v>
      </c>
      <c r="B62" t="s">
        <v>78</v>
      </c>
      <c r="C62" t="s">
        <v>1121</v>
      </c>
      <c r="D62" t="s">
        <v>1136</v>
      </c>
      <c r="E62" t="s">
        <v>1138</v>
      </c>
      <c r="F62" t="s">
        <v>1149</v>
      </c>
      <c r="G62" t="s">
        <v>1153</v>
      </c>
      <c r="H62">
        <v>4</v>
      </c>
      <c r="I62">
        <v>50874</v>
      </c>
      <c r="J62" s="6">
        <v>20</v>
      </c>
      <c r="K62">
        <v>40699.199999999997</v>
      </c>
      <c r="L62">
        <v>162796.79999999999</v>
      </c>
      <c r="M62">
        <v>1500</v>
      </c>
      <c r="N62" t="s">
        <v>1160</v>
      </c>
      <c r="O62" t="s">
        <v>1164</v>
      </c>
      <c r="P62" s="10">
        <v>45718</v>
      </c>
      <c r="Q62" t="str">
        <f t="shared" si="0"/>
        <v>excellent</v>
      </c>
      <c r="R62">
        <f t="shared" si="1"/>
        <v>3</v>
      </c>
      <c r="S62" s="6">
        <f t="shared" si="2"/>
        <v>5</v>
      </c>
    </row>
    <row r="63" spans="1:19" x14ac:dyDescent="0.3">
      <c r="A63" s="10">
        <v>45835</v>
      </c>
      <c r="B63" t="s">
        <v>79</v>
      </c>
      <c r="C63" t="s">
        <v>1130</v>
      </c>
      <c r="D63" t="s">
        <v>1136</v>
      </c>
      <c r="E63" t="s">
        <v>1144</v>
      </c>
      <c r="F63" t="s">
        <v>1151</v>
      </c>
      <c r="G63" t="s">
        <v>1157</v>
      </c>
      <c r="H63">
        <v>5</v>
      </c>
      <c r="I63">
        <v>41340</v>
      </c>
      <c r="J63" s="6">
        <v>5</v>
      </c>
      <c r="K63">
        <v>39273</v>
      </c>
      <c r="L63">
        <v>196365</v>
      </c>
      <c r="M63">
        <v>1500</v>
      </c>
      <c r="N63" t="s">
        <v>1159</v>
      </c>
      <c r="O63" t="s">
        <v>1162</v>
      </c>
      <c r="Q63" t="str">
        <f t="shared" si="0"/>
        <v>okay</v>
      </c>
      <c r="R63">
        <f t="shared" si="1"/>
        <v>2</v>
      </c>
      <c r="S63" s="6">
        <f t="shared" si="2"/>
        <v>0</v>
      </c>
    </row>
    <row r="64" spans="1:19" x14ac:dyDescent="0.3">
      <c r="A64" s="10">
        <v>45794</v>
      </c>
      <c r="B64" t="s">
        <v>80</v>
      </c>
      <c r="C64" t="s">
        <v>1127</v>
      </c>
      <c r="D64" t="s">
        <v>1134</v>
      </c>
      <c r="E64" t="s">
        <v>1139</v>
      </c>
      <c r="F64" t="s">
        <v>1150</v>
      </c>
      <c r="G64" t="s">
        <v>1154</v>
      </c>
      <c r="H64">
        <v>4</v>
      </c>
      <c r="I64">
        <v>59410</v>
      </c>
      <c r="J64" s="6">
        <v>20</v>
      </c>
      <c r="K64">
        <v>47528</v>
      </c>
      <c r="L64">
        <v>190112</v>
      </c>
      <c r="M64">
        <v>2000</v>
      </c>
      <c r="N64" t="s">
        <v>1159</v>
      </c>
      <c r="O64" t="s">
        <v>1162</v>
      </c>
      <c r="Q64" t="str">
        <f t="shared" si="0"/>
        <v>okay</v>
      </c>
      <c r="R64">
        <f t="shared" si="1"/>
        <v>2</v>
      </c>
      <c r="S64" s="6">
        <f t="shared" si="2"/>
        <v>0</v>
      </c>
    </row>
    <row r="65" spans="1:19" x14ac:dyDescent="0.3">
      <c r="A65" s="10">
        <v>45830</v>
      </c>
      <c r="B65" t="s">
        <v>81</v>
      </c>
      <c r="C65" t="s">
        <v>1124</v>
      </c>
      <c r="D65" t="s">
        <v>1135</v>
      </c>
      <c r="E65" t="s">
        <v>1144</v>
      </c>
      <c r="F65" t="s">
        <v>1151</v>
      </c>
      <c r="G65" t="s">
        <v>1157</v>
      </c>
      <c r="H65">
        <v>3</v>
      </c>
      <c r="I65">
        <v>42696</v>
      </c>
      <c r="J65" s="6">
        <v>5</v>
      </c>
      <c r="K65">
        <v>40561.199999999997</v>
      </c>
      <c r="L65">
        <v>121683.6</v>
      </c>
      <c r="M65">
        <v>2000</v>
      </c>
      <c r="N65" t="s">
        <v>1160</v>
      </c>
      <c r="O65" t="s">
        <v>1163</v>
      </c>
      <c r="Q65" t="str">
        <f t="shared" si="0"/>
        <v>no comment</v>
      </c>
      <c r="R65">
        <f t="shared" si="1"/>
        <v>1</v>
      </c>
      <c r="S65" s="6">
        <f t="shared" si="2"/>
        <v>0</v>
      </c>
    </row>
    <row r="66" spans="1:19" x14ac:dyDescent="0.3">
      <c r="A66" s="10">
        <v>45711</v>
      </c>
      <c r="B66" t="s">
        <v>82</v>
      </c>
      <c r="C66" t="s">
        <v>1127</v>
      </c>
      <c r="D66" t="s">
        <v>1134</v>
      </c>
      <c r="E66" t="s">
        <v>1145</v>
      </c>
      <c r="F66" t="s">
        <v>1149</v>
      </c>
      <c r="G66" t="s">
        <v>1153</v>
      </c>
      <c r="H66">
        <v>4</v>
      </c>
      <c r="I66">
        <v>30071</v>
      </c>
      <c r="J66" s="6">
        <v>10</v>
      </c>
      <c r="K66">
        <v>27063.9</v>
      </c>
      <c r="L66">
        <v>108255.6</v>
      </c>
      <c r="M66">
        <v>1000</v>
      </c>
      <c r="N66" t="s">
        <v>1159</v>
      </c>
      <c r="O66" t="s">
        <v>1163</v>
      </c>
      <c r="Q66" t="str">
        <f t="shared" ref="Q66:Q129" si="3">IF(O66="delivered","excellent",IF(O66="in transit","okay",IF(O66="failed","no comment")))</f>
        <v>no comment</v>
      </c>
      <c r="R66">
        <f t="shared" si="1"/>
        <v>1</v>
      </c>
      <c r="S66" s="6">
        <f t="shared" si="2"/>
        <v>0</v>
      </c>
    </row>
    <row r="67" spans="1:19" x14ac:dyDescent="0.3">
      <c r="A67" s="10">
        <v>45697</v>
      </c>
      <c r="B67" t="s">
        <v>83</v>
      </c>
      <c r="C67" t="s">
        <v>1123</v>
      </c>
      <c r="D67" t="s">
        <v>1135</v>
      </c>
      <c r="E67" t="s">
        <v>1146</v>
      </c>
      <c r="F67" t="s">
        <v>1151</v>
      </c>
      <c r="G67" t="s">
        <v>1155</v>
      </c>
      <c r="H67">
        <v>4</v>
      </c>
      <c r="I67">
        <v>58742</v>
      </c>
      <c r="J67" s="6">
        <v>5</v>
      </c>
      <c r="K67">
        <v>55804.9</v>
      </c>
      <c r="L67">
        <v>223219.6</v>
      </c>
      <c r="M67">
        <v>1000</v>
      </c>
      <c r="N67" t="s">
        <v>1160</v>
      </c>
      <c r="O67" t="s">
        <v>1163</v>
      </c>
      <c r="Q67" t="str">
        <f t="shared" si="3"/>
        <v>no comment</v>
      </c>
      <c r="R67">
        <f t="shared" ref="R67:R130" si="4">IF(Q67="excellent",3,IF(Q67="no comment",1,IF(Q67="okay",2)))</f>
        <v>1</v>
      </c>
      <c r="S67" s="6">
        <f t="shared" ref="S67:S130" si="5">(IFERROR(DATEDIF(A67,P67,"d"),0))</f>
        <v>0</v>
      </c>
    </row>
    <row r="68" spans="1:19" x14ac:dyDescent="0.3">
      <c r="A68" s="10">
        <v>45803</v>
      </c>
      <c r="B68" t="s">
        <v>84</v>
      </c>
      <c r="C68" t="s">
        <v>1125</v>
      </c>
      <c r="D68" t="s">
        <v>1133</v>
      </c>
      <c r="E68" t="s">
        <v>1138</v>
      </c>
      <c r="F68" t="s">
        <v>1149</v>
      </c>
      <c r="G68" t="s">
        <v>1153</v>
      </c>
      <c r="H68">
        <v>3</v>
      </c>
      <c r="I68">
        <v>4142</v>
      </c>
      <c r="J68" s="6">
        <v>5</v>
      </c>
      <c r="K68">
        <v>3934.9</v>
      </c>
      <c r="L68">
        <v>11804.7</v>
      </c>
      <c r="M68">
        <v>1000</v>
      </c>
      <c r="N68" t="s">
        <v>1160</v>
      </c>
      <c r="O68" t="s">
        <v>1162</v>
      </c>
      <c r="Q68" t="str">
        <f t="shared" si="3"/>
        <v>okay</v>
      </c>
      <c r="R68">
        <f t="shared" si="4"/>
        <v>2</v>
      </c>
      <c r="S68" s="6">
        <f t="shared" si="5"/>
        <v>0</v>
      </c>
    </row>
    <row r="69" spans="1:19" x14ac:dyDescent="0.3">
      <c r="A69" s="10">
        <v>45810</v>
      </c>
      <c r="B69" t="s">
        <v>85</v>
      </c>
      <c r="C69" t="s">
        <v>1123</v>
      </c>
      <c r="D69" t="s">
        <v>1135</v>
      </c>
      <c r="E69" t="s">
        <v>1141</v>
      </c>
      <c r="F69" t="s">
        <v>1151</v>
      </c>
      <c r="G69" t="s">
        <v>1155</v>
      </c>
      <c r="H69">
        <v>1</v>
      </c>
      <c r="I69">
        <v>73253</v>
      </c>
      <c r="J69" s="6">
        <v>15</v>
      </c>
      <c r="K69">
        <v>62265.05</v>
      </c>
      <c r="L69">
        <v>62265.05</v>
      </c>
      <c r="M69">
        <v>1000</v>
      </c>
      <c r="N69" t="s">
        <v>1159</v>
      </c>
      <c r="O69" t="s">
        <v>1162</v>
      </c>
      <c r="Q69" t="str">
        <f t="shared" si="3"/>
        <v>okay</v>
      </c>
      <c r="R69">
        <f t="shared" si="4"/>
        <v>2</v>
      </c>
      <c r="S69" s="6">
        <f t="shared" si="5"/>
        <v>0</v>
      </c>
    </row>
    <row r="70" spans="1:19" x14ac:dyDescent="0.3">
      <c r="A70" s="10">
        <v>45778</v>
      </c>
      <c r="B70" t="s">
        <v>86</v>
      </c>
      <c r="C70" t="s">
        <v>1125</v>
      </c>
      <c r="D70" t="s">
        <v>1133</v>
      </c>
      <c r="E70" t="s">
        <v>1147</v>
      </c>
      <c r="F70" t="s">
        <v>1150</v>
      </c>
      <c r="G70" t="s">
        <v>1156</v>
      </c>
      <c r="H70">
        <v>5</v>
      </c>
      <c r="I70">
        <v>70328</v>
      </c>
      <c r="J70" s="6">
        <v>5</v>
      </c>
      <c r="K70">
        <v>66811.600000000006</v>
      </c>
      <c r="L70">
        <v>334058</v>
      </c>
      <c r="M70">
        <v>2000</v>
      </c>
      <c r="N70" t="s">
        <v>1161</v>
      </c>
      <c r="O70" t="s">
        <v>1162</v>
      </c>
      <c r="Q70" t="str">
        <f t="shared" si="3"/>
        <v>okay</v>
      </c>
      <c r="R70">
        <f t="shared" si="4"/>
        <v>2</v>
      </c>
      <c r="S70" s="6">
        <f t="shared" si="5"/>
        <v>0</v>
      </c>
    </row>
    <row r="71" spans="1:19" x14ac:dyDescent="0.3">
      <c r="A71" s="10">
        <v>45830</v>
      </c>
      <c r="B71" t="s">
        <v>87</v>
      </c>
      <c r="C71" t="s">
        <v>1117</v>
      </c>
      <c r="D71" t="s">
        <v>1133</v>
      </c>
      <c r="E71" t="s">
        <v>1147</v>
      </c>
      <c r="F71" t="s">
        <v>1150</v>
      </c>
      <c r="G71" t="s">
        <v>1156</v>
      </c>
      <c r="H71">
        <v>2</v>
      </c>
      <c r="I71">
        <v>8445</v>
      </c>
      <c r="J71" s="6">
        <v>20</v>
      </c>
      <c r="K71">
        <v>6756</v>
      </c>
      <c r="L71">
        <v>13512</v>
      </c>
      <c r="M71">
        <v>1500</v>
      </c>
      <c r="N71" t="s">
        <v>1161</v>
      </c>
      <c r="O71" t="s">
        <v>1162</v>
      </c>
      <c r="Q71" t="str">
        <f t="shared" si="3"/>
        <v>okay</v>
      </c>
      <c r="R71">
        <f t="shared" si="4"/>
        <v>2</v>
      </c>
      <c r="S71" s="6">
        <f t="shared" si="5"/>
        <v>0</v>
      </c>
    </row>
    <row r="72" spans="1:19" x14ac:dyDescent="0.3">
      <c r="A72" s="10">
        <v>45658</v>
      </c>
      <c r="B72" t="s">
        <v>88</v>
      </c>
      <c r="C72" t="s">
        <v>1126</v>
      </c>
      <c r="D72" t="s">
        <v>1133</v>
      </c>
      <c r="E72" t="s">
        <v>1137</v>
      </c>
      <c r="F72" t="s">
        <v>1149</v>
      </c>
      <c r="G72" t="s">
        <v>1152</v>
      </c>
      <c r="H72">
        <v>1</v>
      </c>
      <c r="I72">
        <v>63557</v>
      </c>
      <c r="J72" s="6">
        <v>5</v>
      </c>
      <c r="K72">
        <v>60379.15</v>
      </c>
      <c r="L72">
        <v>60379.15</v>
      </c>
      <c r="M72">
        <v>2000</v>
      </c>
      <c r="N72" t="s">
        <v>1159</v>
      </c>
      <c r="O72" t="s">
        <v>1162</v>
      </c>
      <c r="Q72" t="str">
        <f t="shared" si="3"/>
        <v>okay</v>
      </c>
      <c r="R72">
        <f t="shared" si="4"/>
        <v>2</v>
      </c>
      <c r="S72" s="6">
        <f t="shared" si="5"/>
        <v>0</v>
      </c>
    </row>
    <row r="73" spans="1:19" x14ac:dyDescent="0.3">
      <c r="A73" s="10">
        <v>45725</v>
      </c>
      <c r="B73" t="s">
        <v>89</v>
      </c>
      <c r="C73" t="s">
        <v>1119</v>
      </c>
      <c r="D73" t="s">
        <v>1134</v>
      </c>
      <c r="E73" t="s">
        <v>1147</v>
      </c>
      <c r="F73" t="s">
        <v>1150</v>
      </c>
      <c r="G73" t="s">
        <v>1156</v>
      </c>
      <c r="H73">
        <v>4</v>
      </c>
      <c r="I73">
        <v>76775</v>
      </c>
      <c r="J73" s="6">
        <v>5</v>
      </c>
      <c r="K73">
        <v>72936.25</v>
      </c>
      <c r="L73">
        <v>291745</v>
      </c>
      <c r="M73">
        <v>1000</v>
      </c>
      <c r="N73" t="s">
        <v>1159</v>
      </c>
      <c r="O73" t="s">
        <v>1164</v>
      </c>
      <c r="P73" s="10">
        <v>45727</v>
      </c>
      <c r="Q73" t="str">
        <f t="shared" si="3"/>
        <v>excellent</v>
      </c>
      <c r="R73">
        <f t="shared" si="4"/>
        <v>3</v>
      </c>
      <c r="S73" s="6">
        <f t="shared" si="5"/>
        <v>2</v>
      </c>
    </row>
    <row r="74" spans="1:19" x14ac:dyDescent="0.3">
      <c r="A74" s="10">
        <v>45775</v>
      </c>
      <c r="B74" t="s">
        <v>90</v>
      </c>
      <c r="C74" t="s">
        <v>1128</v>
      </c>
      <c r="D74" t="s">
        <v>1135</v>
      </c>
      <c r="E74" t="s">
        <v>1145</v>
      </c>
      <c r="F74" t="s">
        <v>1149</v>
      </c>
      <c r="G74" t="s">
        <v>1153</v>
      </c>
      <c r="H74">
        <v>4</v>
      </c>
      <c r="I74">
        <v>21118</v>
      </c>
      <c r="J74" s="6">
        <v>10</v>
      </c>
      <c r="K74">
        <v>19006.2</v>
      </c>
      <c r="L74">
        <v>76024.800000000003</v>
      </c>
      <c r="M74">
        <v>1500</v>
      </c>
      <c r="N74" t="s">
        <v>1159</v>
      </c>
      <c r="O74" t="s">
        <v>1164</v>
      </c>
      <c r="P74" s="10">
        <v>45784</v>
      </c>
      <c r="Q74" t="str">
        <f t="shared" si="3"/>
        <v>excellent</v>
      </c>
      <c r="R74">
        <f t="shared" si="4"/>
        <v>3</v>
      </c>
      <c r="S74" s="6">
        <f t="shared" si="5"/>
        <v>9</v>
      </c>
    </row>
    <row r="75" spans="1:19" x14ac:dyDescent="0.3">
      <c r="A75" s="10">
        <v>45723</v>
      </c>
      <c r="B75" t="s">
        <v>91</v>
      </c>
      <c r="C75" t="s">
        <v>1128</v>
      </c>
      <c r="D75" t="s">
        <v>1135</v>
      </c>
      <c r="E75" t="s">
        <v>1137</v>
      </c>
      <c r="F75" t="s">
        <v>1149</v>
      </c>
      <c r="G75" t="s">
        <v>1152</v>
      </c>
      <c r="H75">
        <v>3</v>
      </c>
      <c r="I75">
        <v>61019</v>
      </c>
      <c r="J75" s="6">
        <v>20</v>
      </c>
      <c r="K75">
        <v>48815.199999999997</v>
      </c>
      <c r="L75">
        <v>146445.6</v>
      </c>
      <c r="M75">
        <v>1000</v>
      </c>
      <c r="N75" t="s">
        <v>1159</v>
      </c>
      <c r="O75" t="s">
        <v>1162</v>
      </c>
      <c r="Q75" t="str">
        <f t="shared" si="3"/>
        <v>okay</v>
      </c>
      <c r="R75">
        <f t="shared" si="4"/>
        <v>2</v>
      </c>
      <c r="S75" s="6">
        <f t="shared" si="5"/>
        <v>0</v>
      </c>
    </row>
    <row r="76" spans="1:19" x14ac:dyDescent="0.3">
      <c r="A76" s="10">
        <v>45683</v>
      </c>
      <c r="B76" t="s">
        <v>92</v>
      </c>
      <c r="C76" t="s">
        <v>1121</v>
      </c>
      <c r="D76" t="s">
        <v>1136</v>
      </c>
      <c r="E76" t="s">
        <v>1148</v>
      </c>
      <c r="F76" t="s">
        <v>1149</v>
      </c>
      <c r="G76" t="s">
        <v>1152</v>
      </c>
      <c r="H76">
        <v>5</v>
      </c>
      <c r="I76">
        <v>43698</v>
      </c>
      <c r="J76" s="6">
        <v>0</v>
      </c>
      <c r="K76">
        <v>43698</v>
      </c>
      <c r="L76">
        <v>218490</v>
      </c>
      <c r="M76">
        <v>2000</v>
      </c>
      <c r="N76" t="s">
        <v>1159</v>
      </c>
      <c r="O76" t="s">
        <v>1163</v>
      </c>
      <c r="Q76" t="str">
        <f t="shared" si="3"/>
        <v>no comment</v>
      </c>
      <c r="R76">
        <f t="shared" si="4"/>
        <v>1</v>
      </c>
      <c r="S76" s="6">
        <f t="shared" si="5"/>
        <v>0</v>
      </c>
    </row>
    <row r="77" spans="1:19" x14ac:dyDescent="0.3">
      <c r="A77" s="10">
        <v>45731</v>
      </c>
      <c r="B77" t="s">
        <v>93</v>
      </c>
      <c r="C77" t="s">
        <v>1122</v>
      </c>
      <c r="D77" t="s">
        <v>1136</v>
      </c>
      <c r="E77" t="s">
        <v>1146</v>
      </c>
      <c r="F77" t="s">
        <v>1151</v>
      </c>
      <c r="G77" t="s">
        <v>1155</v>
      </c>
      <c r="H77">
        <v>3</v>
      </c>
      <c r="I77">
        <v>43832</v>
      </c>
      <c r="J77" s="6">
        <v>15</v>
      </c>
      <c r="K77">
        <v>37257.199999999997</v>
      </c>
      <c r="L77">
        <v>111771.6</v>
      </c>
      <c r="M77">
        <v>2000</v>
      </c>
      <c r="N77" t="s">
        <v>1160</v>
      </c>
      <c r="O77" t="s">
        <v>1163</v>
      </c>
      <c r="Q77" t="str">
        <f t="shared" si="3"/>
        <v>no comment</v>
      </c>
      <c r="R77">
        <f t="shared" si="4"/>
        <v>1</v>
      </c>
      <c r="S77" s="6">
        <f t="shared" si="5"/>
        <v>0</v>
      </c>
    </row>
    <row r="78" spans="1:19" x14ac:dyDescent="0.3">
      <c r="A78" s="10">
        <v>45732</v>
      </c>
      <c r="B78" t="s">
        <v>94</v>
      </c>
      <c r="C78" t="s">
        <v>1123</v>
      </c>
      <c r="D78" t="s">
        <v>1135</v>
      </c>
      <c r="E78" t="s">
        <v>1144</v>
      </c>
      <c r="F78" t="s">
        <v>1151</v>
      </c>
      <c r="G78" t="s">
        <v>1157</v>
      </c>
      <c r="H78">
        <v>2</v>
      </c>
      <c r="I78">
        <v>15517</v>
      </c>
      <c r="J78" s="6">
        <v>0</v>
      </c>
      <c r="K78">
        <v>15517</v>
      </c>
      <c r="L78">
        <v>31034</v>
      </c>
      <c r="M78">
        <v>2000</v>
      </c>
      <c r="N78" t="s">
        <v>1161</v>
      </c>
      <c r="O78" t="s">
        <v>1163</v>
      </c>
      <c r="Q78" t="str">
        <f t="shared" si="3"/>
        <v>no comment</v>
      </c>
      <c r="R78">
        <f t="shared" si="4"/>
        <v>1</v>
      </c>
      <c r="S78" s="6">
        <f t="shared" si="5"/>
        <v>0</v>
      </c>
    </row>
    <row r="79" spans="1:19" x14ac:dyDescent="0.3">
      <c r="A79" s="10">
        <v>45819</v>
      </c>
      <c r="B79" t="s">
        <v>95</v>
      </c>
      <c r="C79" t="s">
        <v>1123</v>
      </c>
      <c r="D79" t="s">
        <v>1135</v>
      </c>
      <c r="E79" t="s">
        <v>1143</v>
      </c>
      <c r="F79" t="s">
        <v>1151</v>
      </c>
      <c r="G79" t="s">
        <v>1157</v>
      </c>
      <c r="H79">
        <v>1</v>
      </c>
      <c r="I79">
        <v>55607</v>
      </c>
      <c r="J79" s="6">
        <v>5</v>
      </c>
      <c r="K79">
        <v>52826.65</v>
      </c>
      <c r="L79">
        <v>52826.65</v>
      </c>
      <c r="M79">
        <v>2000</v>
      </c>
      <c r="N79" t="s">
        <v>1159</v>
      </c>
      <c r="O79" t="s">
        <v>1163</v>
      </c>
      <c r="Q79" t="str">
        <f t="shared" si="3"/>
        <v>no comment</v>
      </c>
      <c r="R79">
        <f t="shared" si="4"/>
        <v>1</v>
      </c>
      <c r="S79" s="6">
        <f t="shared" si="5"/>
        <v>0</v>
      </c>
    </row>
    <row r="80" spans="1:19" x14ac:dyDescent="0.3">
      <c r="A80" s="10">
        <v>45659</v>
      </c>
      <c r="B80" t="s">
        <v>96</v>
      </c>
      <c r="C80" t="s">
        <v>1124</v>
      </c>
      <c r="D80" t="s">
        <v>1135</v>
      </c>
      <c r="E80" t="s">
        <v>1148</v>
      </c>
      <c r="F80" t="s">
        <v>1149</v>
      </c>
      <c r="G80" t="s">
        <v>1152</v>
      </c>
      <c r="H80">
        <v>2</v>
      </c>
      <c r="I80">
        <v>37799</v>
      </c>
      <c r="J80" s="6">
        <v>15</v>
      </c>
      <c r="K80">
        <v>32129.15</v>
      </c>
      <c r="L80">
        <v>64258.3</v>
      </c>
      <c r="M80">
        <v>1000</v>
      </c>
      <c r="N80" t="s">
        <v>1161</v>
      </c>
      <c r="O80" t="s">
        <v>1164</v>
      </c>
      <c r="P80" s="10">
        <v>45672</v>
      </c>
      <c r="Q80" t="str">
        <f t="shared" si="3"/>
        <v>excellent</v>
      </c>
      <c r="R80">
        <f t="shared" si="4"/>
        <v>3</v>
      </c>
      <c r="S80" s="6">
        <f t="shared" si="5"/>
        <v>13</v>
      </c>
    </row>
    <row r="81" spans="1:19" x14ac:dyDescent="0.3">
      <c r="A81" s="10">
        <v>45771</v>
      </c>
      <c r="B81" t="s">
        <v>97</v>
      </c>
      <c r="C81" t="s">
        <v>1119</v>
      </c>
      <c r="D81" t="s">
        <v>1134</v>
      </c>
      <c r="E81" t="s">
        <v>1145</v>
      </c>
      <c r="F81" t="s">
        <v>1149</v>
      </c>
      <c r="G81" t="s">
        <v>1153</v>
      </c>
      <c r="H81">
        <v>5</v>
      </c>
      <c r="I81">
        <v>17368</v>
      </c>
      <c r="J81" s="6">
        <v>20</v>
      </c>
      <c r="K81">
        <v>13894.4</v>
      </c>
      <c r="L81">
        <v>69472</v>
      </c>
      <c r="M81">
        <v>2000</v>
      </c>
      <c r="N81" t="s">
        <v>1160</v>
      </c>
      <c r="O81" t="s">
        <v>1164</v>
      </c>
      <c r="P81" s="10">
        <v>45782</v>
      </c>
      <c r="Q81" t="str">
        <f t="shared" si="3"/>
        <v>excellent</v>
      </c>
      <c r="R81">
        <f t="shared" si="4"/>
        <v>3</v>
      </c>
      <c r="S81" s="6">
        <f t="shared" si="5"/>
        <v>11</v>
      </c>
    </row>
    <row r="82" spans="1:19" x14ac:dyDescent="0.3">
      <c r="A82" s="10">
        <v>45747</v>
      </c>
      <c r="B82" t="s">
        <v>98</v>
      </c>
      <c r="C82" t="s">
        <v>1122</v>
      </c>
      <c r="D82" t="s">
        <v>1136</v>
      </c>
      <c r="E82" t="s">
        <v>1142</v>
      </c>
      <c r="F82" t="s">
        <v>1150</v>
      </c>
      <c r="G82" t="s">
        <v>1156</v>
      </c>
      <c r="H82">
        <v>1</v>
      </c>
      <c r="I82">
        <v>74610</v>
      </c>
      <c r="J82" s="6">
        <v>10</v>
      </c>
      <c r="K82">
        <v>67149</v>
      </c>
      <c r="L82">
        <v>67149</v>
      </c>
      <c r="M82">
        <v>1500</v>
      </c>
      <c r="N82" t="s">
        <v>1161</v>
      </c>
      <c r="O82" t="s">
        <v>1164</v>
      </c>
      <c r="P82" s="10">
        <v>45755</v>
      </c>
      <c r="Q82" t="str">
        <f t="shared" si="3"/>
        <v>excellent</v>
      </c>
      <c r="R82">
        <f t="shared" si="4"/>
        <v>3</v>
      </c>
      <c r="S82" s="6">
        <f t="shared" si="5"/>
        <v>8</v>
      </c>
    </row>
    <row r="83" spans="1:19" x14ac:dyDescent="0.3">
      <c r="A83" s="10">
        <v>45818</v>
      </c>
      <c r="B83" t="s">
        <v>99</v>
      </c>
      <c r="C83" t="s">
        <v>1127</v>
      </c>
      <c r="D83" t="s">
        <v>1134</v>
      </c>
      <c r="E83" t="s">
        <v>1144</v>
      </c>
      <c r="F83" t="s">
        <v>1151</v>
      </c>
      <c r="G83" t="s">
        <v>1157</v>
      </c>
      <c r="H83">
        <v>5</v>
      </c>
      <c r="I83">
        <v>47655</v>
      </c>
      <c r="J83" s="6">
        <v>10</v>
      </c>
      <c r="K83">
        <v>42889.5</v>
      </c>
      <c r="L83">
        <v>214447.5</v>
      </c>
      <c r="M83">
        <v>1500</v>
      </c>
      <c r="N83" t="s">
        <v>1159</v>
      </c>
      <c r="O83" t="s">
        <v>1164</v>
      </c>
      <c r="P83" s="10">
        <v>45825</v>
      </c>
      <c r="Q83" t="str">
        <f t="shared" si="3"/>
        <v>excellent</v>
      </c>
      <c r="R83">
        <f t="shared" si="4"/>
        <v>3</v>
      </c>
      <c r="S83" s="6">
        <f t="shared" si="5"/>
        <v>7</v>
      </c>
    </row>
    <row r="84" spans="1:19" x14ac:dyDescent="0.3">
      <c r="A84" s="10">
        <v>45692</v>
      </c>
      <c r="B84" t="s">
        <v>100</v>
      </c>
      <c r="C84" t="s">
        <v>1120</v>
      </c>
      <c r="D84" t="s">
        <v>1135</v>
      </c>
      <c r="E84" t="s">
        <v>1148</v>
      </c>
      <c r="F84" t="s">
        <v>1149</v>
      </c>
      <c r="G84" t="s">
        <v>1152</v>
      </c>
      <c r="H84">
        <v>3</v>
      </c>
      <c r="I84">
        <v>47100</v>
      </c>
      <c r="J84" s="6">
        <v>0</v>
      </c>
      <c r="K84">
        <v>47100</v>
      </c>
      <c r="L84">
        <v>141300</v>
      </c>
      <c r="M84">
        <v>1000</v>
      </c>
      <c r="N84" t="s">
        <v>1161</v>
      </c>
      <c r="O84" t="s">
        <v>1164</v>
      </c>
      <c r="P84" s="10">
        <v>45705</v>
      </c>
      <c r="Q84" t="str">
        <f t="shared" si="3"/>
        <v>excellent</v>
      </c>
      <c r="R84">
        <f t="shared" si="4"/>
        <v>3</v>
      </c>
      <c r="S84" s="6">
        <f t="shared" si="5"/>
        <v>13</v>
      </c>
    </row>
    <row r="85" spans="1:19" x14ac:dyDescent="0.3">
      <c r="A85" s="10">
        <v>45812</v>
      </c>
      <c r="B85" t="s">
        <v>101</v>
      </c>
      <c r="C85" t="s">
        <v>1121</v>
      </c>
      <c r="D85" t="s">
        <v>1136</v>
      </c>
      <c r="E85" t="s">
        <v>1148</v>
      </c>
      <c r="F85" t="s">
        <v>1149</v>
      </c>
      <c r="G85" t="s">
        <v>1152</v>
      </c>
      <c r="H85">
        <v>4</v>
      </c>
      <c r="I85">
        <v>58202</v>
      </c>
      <c r="J85" s="6">
        <v>5</v>
      </c>
      <c r="K85">
        <v>55291.9</v>
      </c>
      <c r="L85">
        <v>221167.6</v>
      </c>
      <c r="M85">
        <v>1000</v>
      </c>
      <c r="N85" t="s">
        <v>1161</v>
      </c>
      <c r="O85" t="s">
        <v>1163</v>
      </c>
      <c r="Q85" t="str">
        <f t="shared" si="3"/>
        <v>no comment</v>
      </c>
      <c r="R85">
        <f t="shared" si="4"/>
        <v>1</v>
      </c>
      <c r="S85" s="6">
        <f t="shared" si="5"/>
        <v>0</v>
      </c>
    </row>
    <row r="86" spans="1:19" x14ac:dyDescent="0.3">
      <c r="A86" s="10">
        <v>45800</v>
      </c>
      <c r="B86" t="s">
        <v>102</v>
      </c>
      <c r="C86" t="s">
        <v>1120</v>
      </c>
      <c r="D86" t="s">
        <v>1135</v>
      </c>
      <c r="E86" t="s">
        <v>1142</v>
      </c>
      <c r="F86" t="s">
        <v>1150</v>
      </c>
      <c r="G86" t="s">
        <v>1156</v>
      </c>
      <c r="H86">
        <v>1</v>
      </c>
      <c r="I86">
        <v>70506</v>
      </c>
      <c r="J86" s="6">
        <v>10</v>
      </c>
      <c r="K86">
        <v>63455.4</v>
      </c>
      <c r="L86">
        <v>63455.4</v>
      </c>
      <c r="M86">
        <v>2000</v>
      </c>
      <c r="N86" t="s">
        <v>1161</v>
      </c>
      <c r="O86" t="s">
        <v>1163</v>
      </c>
      <c r="Q86" t="str">
        <f t="shared" si="3"/>
        <v>no comment</v>
      </c>
      <c r="R86">
        <f t="shared" si="4"/>
        <v>1</v>
      </c>
      <c r="S86" s="6">
        <f t="shared" si="5"/>
        <v>0</v>
      </c>
    </row>
    <row r="87" spans="1:19" x14ac:dyDescent="0.3">
      <c r="A87" s="10">
        <v>45832</v>
      </c>
      <c r="B87" t="s">
        <v>103</v>
      </c>
      <c r="C87" t="s">
        <v>1122</v>
      </c>
      <c r="D87" t="s">
        <v>1136</v>
      </c>
      <c r="E87" t="s">
        <v>1147</v>
      </c>
      <c r="F87" t="s">
        <v>1150</v>
      </c>
      <c r="G87" t="s">
        <v>1156</v>
      </c>
      <c r="H87">
        <v>5</v>
      </c>
      <c r="I87">
        <v>3528</v>
      </c>
      <c r="J87" s="6">
        <v>10</v>
      </c>
      <c r="K87">
        <v>3175.2</v>
      </c>
      <c r="L87">
        <v>15876</v>
      </c>
      <c r="M87">
        <v>2000</v>
      </c>
      <c r="N87" t="s">
        <v>1159</v>
      </c>
      <c r="O87" t="s">
        <v>1162</v>
      </c>
      <c r="Q87" t="str">
        <f t="shared" si="3"/>
        <v>okay</v>
      </c>
      <c r="R87">
        <f t="shared" si="4"/>
        <v>2</v>
      </c>
      <c r="S87" s="6">
        <f t="shared" si="5"/>
        <v>0</v>
      </c>
    </row>
    <row r="88" spans="1:19" x14ac:dyDescent="0.3">
      <c r="A88" s="10">
        <v>45767</v>
      </c>
      <c r="B88" t="s">
        <v>104</v>
      </c>
      <c r="C88" t="s">
        <v>1120</v>
      </c>
      <c r="D88" t="s">
        <v>1135</v>
      </c>
      <c r="E88" t="s">
        <v>1137</v>
      </c>
      <c r="F88" t="s">
        <v>1149</v>
      </c>
      <c r="G88" t="s">
        <v>1152</v>
      </c>
      <c r="H88">
        <v>1</v>
      </c>
      <c r="I88">
        <v>37968</v>
      </c>
      <c r="J88" s="6">
        <v>15</v>
      </c>
      <c r="K88">
        <v>32272.799999999999</v>
      </c>
      <c r="L88">
        <v>32272.799999999999</v>
      </c>
      <c r="M88">
        <v>2000</v>
      </c>
      <c r="N88" t="s">
        <v>1160</v>
      </c>
      <c r="O88" t="s">
        <v>1162</v>
      </c>
      <c r="Q88" t="str">
        <f t="shared" si="3"/>
        <v>okay</v>
      </c>
      <c r="R88">
        <f t="shared" si="4"/>
        <v>2</v>
      </c>
      <c r="S88" s="6">
        <f t="shared" si="5"/>
        <v>0</v>
      </c>
    </row>
    <row r="89" spans="1:19" x14ac:dyDescent="0.3">
      <c r="A89" s="10">
        <v>45714</v>
      </c>
      <c r="B89" t="s">
        <v>105</v>
      </c>
      <c r="C89" t="s">
        <v>1131</v>
      </c>
      <c r="D89" t="s">
        <v>1136</v>
      </c>
      <c r="E89" t="s">
        <v>1148</v>
      </c>
      <c r="F89" t="s">
        <v>1149</v>
      </c>
      <c r="G89" t="s">
        <v>1152</v>
      </c>
      <c r="H89">
        <v>1</v>
      </c>
      <c r="I89">
        <v>63117</v>
      </c>
      <c r="J89" s="6">
        <v>0</v>
      </c>
      <c r="K89">
        <v>63117</v>
      </c>
      <c r="L89">
        <v>63117</v>
      </c>
      <c r="M89">
        <v>2000</v>
      </c>
      <c r="N89" t="s">
        <v>1161</v>
      </c>
      <c r="O89" t="s">
        <v>1164</v>
      </c>
      <c r="P89" s="10">
        <v>45718</v>
      </c>
      <c r="Q89" t="str">
        <f t="shared" si="3"/>
        <v>excellent</v>
      </c>
      <c r="R89">
        <f t="shared" si="4"/>
        <v>3</v>
      </c>
      <c r="S89" s="6">
        <f t="shared" si="5"/>
        <v>4</v>
      </c>
    </row>
    <row r="90" spans="1:19" x14ac:dyDescent="0.3">
      <c r="A90" s="10">
        <v>45722</v>
      </c>
      <c r="B90" t="s">
        <v>106</v>
      </c>
      <c r="C90" t="s">
        <v>1117</v>
      </c>
      <c r="D90" t="s">
        <v>1133</v>
      </c>
      <c r="E90" t="s">
        <v>1137</v>
      </c>
      <c r="F90" t="s">
        <v>1149</v>
      </c>
      <c r="G90" t="s">
        <v>1152</v>
      </c>
      <c r="H90">
        <v>2</v>
      </c>
      <c r="I90">
        <v>68377</v>
      </c>
      <c r="J90" s="6">
        <v>5</v>
      </c>
      <c r="K90">
        <v>64958.15</v>
      </c>
      <c r="L90">
        <v>129916.3</v>
      </c>
      <c r="M90">
        <v>1500</v>
      </c>
      <c r="N90" t="s">
        <v>1160</v>
      </c>
      <c r="O90" t="s">
        <v>1163</v>
      </c>
      <c r="Q90" t="str">
        <f t="shared" si="3"/>
        <v>no comment</v>
      </c>
      <c r="R90">
        <f t="shared" si="4"/>
        <v>1</v>
      </c>
      <c r="S90" s="6">
        <f t="shared" si="5"/>
        <v>0</v>
      </c>
    </row>
    <row r="91" spans="1:19" x14ac:dyDescent="0.3">
      <c r="A91" s="10">
        <v>45760</v>
      </c>
      <c r="B91" t="s">
        <v>107</v>
      </c>
      <c r="C91" t="s">
        <v>1128</v>
      </c>
      <c r="D91" t="s">
        <v>1135</v>
      </c>
      <c r="E91" t="s">
        <v>1141</v>
      </c>
      <c r="F91" t="s">
        <v>1151</v>
      </c>
      <c r="G91" t="s">
        <v>1155</v>
      </c>
      <c r="H91">
        <v>1</v>
      </c>
      <c r="I91">
        <v>40867</v>
      </c>
      <c r="J91" s="6">
        <v>15</v>
      </c>
      <c r="K91">
        <v>34736.949999999997</v>
      </c>
      <c r="L91">
        <v>34736.949999999997</v>
      </c>
      <c r="M91">
        <v>1000</v>
      </c>
      <c r="N91" t="s">
        <v>1161</v>
      </c>
      <c r="O91" t="s">
        <v>1162</v>
      </c>
      <c r="Q91" t="str">
        <f t="shared" si="3"/>
        <v>okay</v>
      </c>
      <c r="R91">
        <f t="shared" si="4"/>
        <v>2</v>
      </c>
      <c r="S91" s="6">
        <f t="shared" si="5"/>
        <v>0</v>
      </c>
    </row>
    <row r="92" spans="1:19" x14ac:dyDescent="0.3">
      <c r="A92" s="10">
        <v>45704</v>
      </c>
      <c r="B92" t="s">
        <v>108</v>
      </c>
      <c r="C92" t="s">
        <v>1126</v>
      </c>
      <c r="D92" t="s">
        <v>1133</v>
      </c>
      <c r="E92" t="s">
        <v>1140</v>
      </c>
      <c r="F92" t="s">
        <v>1150</v>
      </c>
      <c r="G92" t="s">
        <v>1154</v>
      </c>
      <c r="H92">
        <v>1</v>
      </c>
      <c r="I92">
        <v>48352</v>
      </c>
      <c r="J92" s="6">
        <v>0</v>
      </c>
      <c r="K92">
        <v>48352</v>
      </c>
      <c r="L92">
        <v>48352</v>
      </c>
      <c r="M92">
        <v>1000</v>
      </c>
      <c r="N92" t="s">
        <v>1160</v>
      </c>
      <c r="O92" t="s">
        <v>1164</v>
      </c>
      <c r="P92" s="10">
        <v>45714</v>
      </c>
      <c r="Q92" t="str">
        <f t="shared" si="3"/>
        <v>excellent</v>
      </c>
      <c r="R92">
        <f t="shared" si="4"/>
        <v>3</v>
      </c>
      <c r="S92" s="6">
        <f t="shared" si="5"/>
        <v>10</v>
      </c>
    </row>
    <row r="93" spans="1:19" x14ac:dyDescent="0.3">
      <c r="A93" s="10">
        <v>45742</v>
      </c>
      <c r="B93" t="s">
        <v>109</v>
      </c>
      <c r="C93" t="s">
        <v>1121</v>
      </c>
      <c r="D93" t="s">
        <v>1136</v>
      </c>
      <c r="E93" t="s">
        <v>1138</v>
      </c>
      <c r="F93" t="s">
        <v>1149</v>
      </c>
      <c r="G93" t="s">
        <v>1153</v>
      </c>
      <c r="H93">
        <v>4</v>
      </c>
      <c r="I93">
        <v>17077</v>
      </c>
      <c r="J93" s="6">
        <v>10</v>
      </c>
      <c r="K93">
        <v>15369.3</v>
      </c>
      <c r="L93">
        <v>61477.2</v>
      </c>
      <c r="M93">
        <v>2000</v>
      </c>
      <c r="N93" t="s">
        <v>1161</v>
      </c>
      <c r="O93" t="s">
        <v>1162</v>
      </c>
      <c r="Q93" t="str">
        <f t="shared" si="3"/>
        <v>okay</v>
      </c>
      <c r="R93">
        <f t="shared" si="4"/>
        <v>2</v>
      </c>
      <c r="S93" s="6">
        <f t="shared" si="5"/>
        <v>0</v>
      </c>
    </row>
    <row r="94" spans="1:19" x14ac:dyDescent="0.3">
      <c r="A94" s="10">
        <v>45689</v>
      </c>
      <c r="B94" t="s">
        <v>110</v>
      </c>
      <c r="C94" t="s">
        <v>1128</v>
      </c>
      <c r="D94" t="s">
        <v>1135</v>
      </c>
      <c r="E94" t="s">
        <v>1138</v>
      </c>
      <c r="F94" t="s">
        <v>1149</v>
      </c>
      <c r="G94" t="s">
        <v>1153</v>
      </c>
      <c r="H94">
        <v>1</v>
      </c>
      <c r="I94">
        <v>50394</v>
      </c>
      <c r="J94" s="6">
        <v>20</v>
      </c>
      <c r="K94">
        <v>40315.199999999997</v>
      </c>
      <c r="L94">
        <v>40315.199999999997</v>
      </c>
      <c r="M94">
        <v>1000</v>
      </c>
      <c r="N94" t="s">
        <v>1160</v>
      </c>
      <c r="O94" t="s">
        <v>1162</v>
      </c>
      <c r="Q94" t="str">
        <f t="shared" si="3"/>
        <v>okay</v>
      </c>
      <c r="R94">
        <f t="shared" si="4"/>
        <v>2</v>
      </c>
      <c r="S94" s="6">
        <f t="shared" si="5"/>
        <v>0</v>
      </c>
    </row>
    <row r="95" spans="1:19" x14ac:dyDescent="0.3">
      <c r="A95" s="10">
        <v>45832</v>
      </c>
      <c r="B95" t="s">
        <v>111</v>
      </c>
      <c r="C95" t="s">
        <v>1118</v>
      </c>
      <c r="D95" t="s">
        <v>1134</v>
      </c>
      <c r="E95" t="s">
        <v>1138</v>
      </c>
      <c r="F95" t="s">
        <v>1149</v>
      </c>
      <c r="G95" t="s">
        <v>1153</v>
      </c>
      <c r="H95">
        <v>2</v>
      </c>
      <c r="I95">
        <v>11523</v>
      </c>
      <c r="J95" s="6">
        <v>20</v>
      </c>
      <c r="K95">
        <v>9218.4</v>
      </c>
      <c r="L95">
        <v>18436.8</v>
      </c>
      <c r="M95">
        <v>1500</v>
      </c>
      <c r="N95" t="s">
        <v>1159</v>
      </c>
      <c r="O95" t="s">
        <v>1162</v>
      </c>
      <c r="Q95" t="str">
        <f t="shared" si="3"/>
        <v>okay</v>
      </c>
      <c r="R95">
        <f t="shared" si="4"/>
        <v>2</v>
      </c>
      <c r="S95" s="6">
        <f t="shared" si="5"/>
        <v>0</v>
      </c>
    </row>
    <row r="96" spans="1:19" x14ac:dyDescent="0.3">
      <c r="A96" s="10">
        <v>45737</v>
      </c>
      <c r="B96" t="s">
        <v>112</v>
      </c>
      <c r="C96" t="s">
        <v>1128</v>
      </c>
      <c r="D96" t="s">
        <v>1135</v>
      </c>
      <c r="E96" t="s">
        <v>1139</v>
      </c>
      <c r="F96" t="s">
        <v>1150</v>
      </c>
      <c r="G96" t="s">
        <v>1154</v>
      </c>
      <c r="H96">
        <v>3</v>
      </c>
      <c r="I96">
        <v>59317</v>
      </c>
      <c r="J96" s="6">
        <v>15</v>
      </c>
      <c r="K96">
        <v>50419.45</v>
      </c>
      <c r="L96">
        <v>151258.35</v>
      </c>
      <c r="M96">
        <v>1000</v>
      </c>
      <c r="N96" t="s">
        <v>1161</v>
      </c>
      <c r="O96" t="s">
        <v>1162</v>
      </c>
      <c r="Q96" t="str">
        <f t="shared" si="3"/>
        <v>okay</v>
      </c>
      <c r="R96">
        <f t="shared" si="4"/>
        <v>2</v>
      </c>
      <c r="S96" s="6">
        <f t="shared" si="5"/>
        <v>0</v>
      </c>
    </row>
    <row r="97" spans="1:19" x14ac:dyDescent="0.3">
      <c r="A97" s="10">
        <v>45763</v>
      </c>
      <c r="B97" t="s">
        <v>113</v>
      </c>
      <c r="C97" t="s">
        <v>1117</v>
      </c>
      <c r="D97" t="s">
        <v>1133</v>
      </c>
      <c r="E97" t="s">
        <v>1147</v>
      </c>
      <c r="F97" t="s">
        <v>1150</v>
      </c>
      <c r="G97" t="s">
        <v>1156</v>
      </c>
      <c r="H97">
        <v>4</v>
      </c>
      <c r="I97">
        <v>55787</v>
      </c>
      <c r="J97" s="6">
        <v>10</v>
      </c>
      <c r="K97">
        <v>50208.3</v>
      </c>
      <c r="L97">
        <v>200833.2</v>
      </c>
      <c r="M97">
        <v>2000</v>
      </c>
      <c r="N97" t="s">
        <v>1161</v>
      </c>
      <c r="O97" t="s">
        <v>1162</v>
      </c>
      <c r="Q97" t="str">
        <f t="shared" si="3"/>
        <v>okay</v>
      </c>
      <c r="R97">
        <f t="shared" si="4"/>
        <v>2</v>
      </c>
      <c r="S97" s="6">
        <f t="shared" si="5"/>
        <v>0</v>
      </c>
    </row>
    <row r="98" spans="1:19" x14ac:dyDescent="0.3">
      <c r="A98" s="10">
        <v>45664</v>
      </c>
      <c r="B98" t="s">
        <v>114</v>
      </c>
      <c r="C98" t="s">
        <v>1132</v>
      </c>
      <c r="D98" t="s">
        <v>1134</v>
      </c>
      <c r="E98" t="s">
        <v>1140</v>
      </c>
      <c r="F98" t="s">
        <v>1150</v>
      </c>
      <c r="G98" t="s">
        <v>1154</v>
      </c>
      <c r="H98">
        <v>2</v>
      </c>
      <c r="I98">
        <v>76958</v>
      </c>
      <c r="J98" s="6">
        <v>15</v>
      </c>
      <c r="K98">
        <v>65414.3</v>
      </c>
      <c r="L98">
        <v>130828.6</v>
      </c>
      <c r="M98">
        <v>1000</v>
      </c>
      <c r="N98" t="s">
        <v>1159</v>
      </c>
      <c r="O98" t="s">
        <v>1163</v>
      </c>
      <c r="Q98" t="str">
        <f t="shared" si="3"/>
        <v>no comment</v>
      </c>
      <c r="R98">
        <f t="shared" si="4"/>
        <v>1</v>
      </c>
      <c r="S98" s="6">
        <f t="shared" si="5"/>
        <v>0</v>
      </c>
    </row>
    <row r="99" spans="1:19" x14ac:dyDescent="0.3">
      <c r="A99" s="10">
        <v>45815</v>
      </c>
      <c r="B99" t="s">
        <v>115</v>
      </c>
      <c r="C99" t="s">
        <v>1117</v>
      </c>
      <c r="D99" t="s">
        <v>1133</v>
      </c>
      <c r="E99" t="s">
        <v>1148</v>
      </c>
      <c r="F99" t="s">
        <v>1149</v>
      </c>
      <c r="G99" t="s">
        <v>1152</v>
      </c>
      <c r="H99">
        <v>4</v>
      </c>
      <c r="I99">
        <v>17372</v>
      </c>
      <c r="J99" s="6">
        <v>10</v>
      </c>
      <c r="K99">
        <v>15634.8</v>
      </c>
      <c r="L99">
        <v>62539.199999999997</v>
      </c>
      <c r="M99">
        <v>2000</v>
      </c>
      <c r="N99" t="s">
        <v>1159</v>
      </c>
      <c r="O99" t="s">
        <v>1164</v>
      </c>
      <c r="P99" s="10">
        <v>45817</v>
      </c>
      <c r="Q99" t="str">
        <f t="shared" si="3"/>
        <v>excellent</v>
      </c>
      <c r="R99">
        <f t="shared" si="4"/>
        <v>3</v>
      </c>
      <c r="S99" s="6">
        <f t="shared" si="5"/>
        <v>2</v>
      </c>
    </row>
    <row r="100" spans="1:19" x14ac:dyDescent="0.3">
      <c r="A100" s="10">
        <v>45803</v>
      </c>
      <c r="B100" t="s">
        <v>116</v>
      </c>
      <c r="C100" t="s">
        <v>1127</v>
      </c>
      <c r="D100" t="s">
        <v>1134</v>
      </c>
      <c r="E100" t="s">
        <v>1138</v>
      </c>
      <c r="F100" t="s">
        <v>1149</v>
      </c>
      <c r="G100" t="s">
        <v>1153</v>
      </c>
      <c r="H100">
        <v>3</v>
      </c>
      <c r="I100">
        <v>69102</v>
      </c>
      <c r="J100" s="6">
        <v>10</v>
      </c>
      <c r="K100">
        <v>62191.8</v>
      </c>
      <c r="L100">
        <v>186575.4</v>
      </c>
      <c r="M100">
        <v>1500</v>
      </c>
      <c r="N100" t="s">
        <v>1160</v>
      </c>
      <c r="O100" t="s">
        <v>1163</v>
      </c>
      <c r="Q100" t="str">
        <f t="shared" si="3"/>
        <v>no comment</v>
      </c>
      <c r="R100">
        <f t="shared" si="4"/>
        <v>1</v>
      </c>
      <c r="S100" s="6">
        <f t="shared" si="5"/>
        <v>0</v>
      </c>
    </row>
    <row r="101" spans="1:19" x14ac:dyDescent="0.3">
      <c r="A101" s="10">
        <v>45689</v>
      </c>
      <c r="B101" t="s">
        <v>117</v>
      </c>
      <c r="C101" t="s">
        <v>1131</v>
      </c>
      <c r="D101" t="s">
        <v>1136</v>
      </c>
      <c r="E101" t="s">
        <v>1142</v>
      </c>
      <c r="F101" t="s">
        <v>1150</v>
      </c>
      <c r="G101" t="s">
        <v>1156</v>
      </c>
      <c r="H101">
        <v>5</v>
      </c>
      <c r="I101">
        <v>31030</v>
      </c>
      <c r="J101" s="6">
        <v>5</v>
      </c>
      <c r="K101">
        <v>29478.5</v>
      </c>
      <c r="L101">
        <v>147392.5</v>
      </c>
      <c r="M101">
        <v>1500</v>
      </c>
      <c r="N101" t="s">
        <v>1161</v>
      </c>
      <c r="O101" t="s">
        <v>1162</v>
      </c>
      <c r="Q101" t="str">
        <f t="shared" si="3"/>
        <v>okay</v>
      </c>
      <c r="R101">
        <f t="shared" si="4"/>
        <v>2</v>
      </c>
      <c r="S101" s="6">
        <f t="shared" si="5"/>
        <v>0</v>
      </c>
    </row>
    <row r="102" spans="1:19" x14ac:dyDescent="0.3">
      <c r="A102" s="10">
        <v>45759</v>
      </c>
      <c r="B102" t="s">
        <v>118</v>
      </c>
      <c r="C102" t="s">
        <v>1131</v>
      </c>
      <c r="D102" t="s">
        <v>1136</v>
      </c>
      <c r="E102" t="s">
        <v>1147</v>
      </c>
      <c r="F102" t="s">
        <v>1150</v>
      </c>
      <c r="G102" t="s">
        <v>1156</v>
      </c>
      <c r="H102">
        <v>3</v>
      </c>
      <c r="I102">
        <v>45672</v>
      </c>
      <c r="J102" s="6">
        <v>15</v>
      </c>
      <c r="K102">
        <v>38821.199999999997</v>
      </c>
      <c r="L102">
        <v>116463.6</v>
      </c>
      <c r="M102">
        <v>1000</v>
      </c>
      <c r="N102" t="s">
        <v>1159</v>
      </c>
      <c r="O102" t="s">
        <v>1164</v>
      </c>
      <c r="P102" s="10">
        <v>45772</v>
      </c>
      <c r="Q102" t="str">
        <f t="shared" si="3"/>
        <v>excellent</v>
      </c>
      <c r="R102">
        <f t="shared" si="4"/>
        <v>3</v>
      </c>
      <c r="S102" s="6">
        <f t="shared" si="5"/>
        <v>13</v>
      </c>
    </row>
    <row r="103" spans="1:19" x14ac:dyDescent="0.3">
      <c r="A103" s="10">
        <v>45703</v>
      </c>
      <c r="B103" t="s">
        <v>119</v>
      </c>
      <c r="C103" t="s">
        <v>1126</v>
      </c>
      <c r="D103" t="s">
        <v>1133</v>
      </c>
      <c r="E103" t="s">
        <v>1141</v>
      </c>
      <c r="F103" t="s">
        <v>1151</v>
      </c>
      <c r="G103" t="s">
        <v>1155</v>
      </c>
      <c r="H103">
        <v>2</v>
      </c>
      <c r="I103">
        <v>60744</v>
      </c>
      <c r="J103" s="6">
        <v>15</v>
      </c>
      <c r="K103">
        <v>51632.4</v>
      </c>
      <c r="L103">
        <v>103264.8</v>
      </c>
      <c r="M103">
        <v>1000</v>
      </c>
      <c r="N103" t="s">
        <v>1159</v>
      </c>
      <c r="O103" t="s">
        <v>1164</v>
      </c>
      <c r="P103" s="10">
        <v>45716</v>
      </c>
      <c r="Q103" t="str">
        <f t="shared" si="3"/>
        <v>excellent</v>
      </c>
      <c r="R103">
        <f t="shared" si="4"/>
        <v>3</v>
      </c>
      <c r="S103" s="6">
        <f t="shared" si="5"/>
        <v>13</v>
      </c>
    </row>
    <row r="104" spans="1:19" x14ac:dyDescent="0.3">
      <c r="A104" s="10">
        <v>45800</v>
      </c>
      <c r="B104" t="s">
        <v>120</v>
      </c>
      <c r="C104" t="s">
        <v>1124</v>
      </c>
      <c r="D104" t="s">
        <v>1135</v>
      </c>
      <c r="E104" t="s">
        <v>1139</v>
      </c>
      <c r="F104" t="s">
        <v>1150</v>
      </c>
      <c r="G104" t="s">
        <v>1154</v>
      </c>
      <c r="H104">
        <v>3</v>
      </c>
      <c r="I104">
        <v>76241</v>
      </c>
      <c r="J104" s="6">
        <v>5</v>
      </c>
      <c r="K104">
        <v>72428.95</v>
      </c>
      <c r="L104">
        <v>217286.85</v>
      </c>
      <c r="M104">
        <v>2000</v>
      </c>
      <c r="N104" t="s">
        <v>1160</v>
      </c>
      <c r="O104" t="s">
        <v>1162</v>
      </c>
      <c r="Q104" t="str">
        <f t="shared" si="3"/>
        <v>okay</v>
      </c>
      <c r="R104">
        <f t="shared" si="4"/>
        <v>2</v>
      </c>
      <c r="S104" s="6">
        <f t="shared" si="5"/>
        <v>0</v>
      </c>
    </row>
    <row r="105" spans="1:19" x14ac:dyDescent="0.3">
      <c r="A105" s="10">
        <v>45730</v>
      </c>
      <c r="B105" t="s">
        <v>121</v>
      </c>
      <c r="C105" t="s">
        <v>1128</v>
      </c>
      <c r="D105" t="s">
        <v>1135</v>
      </c>
      <c r="E105" t="s">
        <v>1142</v>
      </c>
      <c r="F105" t="s">
        <v>1150</v>
      </c>
      <c r="G105" t="s">
        <v>1156</v>
      </c>
      <c r="H105">
        <v>2</v>
      </c>
      <c r="I105">
        <v>24981</v>
      </c>
      <c r="J105" s="6">
        <v>10</v>
      </c>
      <c r="K105">
        <v>22482.9</v>
      </c>
      <c r="L105">
        <v>44965.8</v>
      </c>
      <c r="M105">
        <v>1500</v>
      </c>
      <c r="N105" t="s">
        <v>1159</v>
      </c>
      <c r="O105" t="s">
        <v>1164</v>
      </c>
      <c r="P105" s="10">
        <v>45740</v>
      </c>
      <c r="Q105" t="str">
        <f t="shared" si="3"/>
        <v>excellent</v>
      </c>
      <c r="R105">
        <f t="shared" si="4"/>
        <v>3</v>
      </c>
      <c r="S105" s="6">
        <f t="shared" si="5"/>
        <v>10</v>
      </c>
    </row>
    <row r="106" spans="1:19" x14ac:dyDescent="0.3">
      <c r="A106" s="10">
        <v>45731</v>
      </c>
      <c r="B106" t="s">
        <v>122</v>
      </c>
      <c r="C106" t="s">
        <v>1123</v>
      </c>
      <c r="D106" t="s">
        <v>1135</v>
      </c>
      <c r="E106" t="s">
        <v>1137</v>
      </c>
      <c r="F106" t="s">
        <v>1149</v>
      </c>
      <c r="G106" t="s">
        <v>1152</v>
      </c>
      <c r="H106">
        <v>3</v>
      </c>
      <c r="I106">
        <v>63174</v>
      </c>
      <c r="J106" s="6">
        <v>0</v>
      </c>
      <c r="K106">
        <v>63174</v>
      </c>
      <c r="L106">
        <v>189522</v>
      </c>
      <c r="M106">
        <v>1000</v>
      </c>
      <c r="N106" t="s">
        <v>1159</v>
      </c>
      <c r="O106" t="s">
        <v>1163</v>
      </c>
      <c r="Q106" t="str">
        <f t="shared" si="3"/>
        <v>no comment</v>
      </c>
      <c r="R106">
        <f t="shared" si="4"/>
        <v>1</v>
      </c>
      <c r="S106" s="6">
        <f t="shared" si="5"/>
        <v>0</v>
      </c>
    </row>
    <row r="107" spans="1:19" x14ac:dyDescent="0.3">
      <c r="A107" s="10">
        <v>45768</v>
      </c>
      <c r="B107" t="s">
        <v>123</v>
      </c>
      <c r="C107" t="s">
        <v>1124</v>
      </c>
      <c r="D107" t="s">
        <v>1135</v>
      </c>
      <c r="E107" t="s">
        <v>1142</v>
      </c>
      <c r="F107" t="s">
        <v>1150</v>
      </c>
      <c r="G107" t="s">
        <v>1156</v>
      </c>
      <c r="H107">
        <v>5</v>
      </c>
      <c r="I107">
        <v>56919</v>
      </c>
      <c r="J107" s="6">
        <v>10</v>
      </c>
      <c r="K107">
        <v>51227.1</v>
      </c>
      <c r="L107">
        <v>256135.5</v>
      </c>
      <c r="M107">
        <v>1000</v>
      </c>
      <c r="N107" t="s">
        <v>1159</v>
      </c>
      <c r="O107" t="s">
        <v>1162</v>
      </c>
      <c r="Q107" t="str">
        <f t="shared" si="3"/>
        <v>okay</v>
      </c>
      <c r="R107">
        <f t="shared" si="4"/>
        <v>2</v>
      </c>
      <c r="S107" s="6">
        <f t="shared" si="5"/>
        <v>0</v>
      </c>
    </row>
    <row r="108" spans="1:19" x14ac:dyDescent="0.3">
      <c r="A108" s="10">
        <v>45710</v>
      </c>
      <c r="B108" t="s">
        <v>124</v>
      </c>
      <c r="C108" t="s">
        <v>1123</v>
      </c>
      <c r="D108" t="s">
        <v>1135</v>
      </c>
      <c r="E108" t="s">
        <v>1148</v>
      </c>
      <c r="F108" t="s">
        <v>1149</v>
      </c>
      <c r="G108" t="s">
        <v>1152</v>
      </c>
      <c r="H108">
        <v>5</v>
      </c>
      <c r="I108">
        <v>71167</v>
      </c>
      <c r="J108" s="6">
        <v>15</v>
      </c>
      <c r="K108">
        <v>60491.95</v>
      </c>
      <c r="L108">
        <v>302459.75</v>
      </c>
      <c r="M108">
        <v>1000</v>
      </c>
      <c r="N108" t="s">
        <v>1161</v>
      </c>
      <c r="O108" t="s">
        <v>1164</v>
      </c>
      <c r="P108" s="10">
        <v>45721</v>
      </c>
      <c r="Q108" t="str">
        <f t="shared" si="3"/>
        <v>excellent</v>
      </c>
      <c r="R108">
        <f t="shared" si="4"/>
        <v>3</v>
      </c>
      <c r="S108" s="6">
        <f t="shared" si="5"/>
        <v>11</v>
      </c>
    </row>
    <row r="109" spans="1:19" x14ac:dyDescent="0.3">
      <c r="A109" s="10">
        <v>45802</v>
      </c>
      <c r="B109" t="s">
        <v>125</v>
      </c>
      <c r="C109" t="s">
        <v>1118</v>
      </c>
      <c r="D109" t="s">
        <v>1134</v>
      </c>
      <c r="E109" t="s">
        <v>1139</v>
      </c>
      <c r="F109" t="s">
        <v>1150</v>
      </c>
      <c r="G109" t="s">
        <v>1154</v>
      </c>
      <c r="H109">
        <v>4</v>
      </c>
      <c r="I109">
        <v>27834</v>
      </c>
      <c r="J109" s="6">
        <v>0</v>
      </c>
      <c r="K109">
        <v>27834</v>
      </c>
      <c r="L109">
        <v>111336</v>
      </c>
      <c r="M109">
        <v>1000</v>
      </c>
      <c r="N109" t="s">
        <v>1161</v>
      </c>
      <c r="O109" t="s">
        <v>1164</v>
      </c>
      <c r="P109" s="10">
        <v>45810</v>
      </c>
      <c r="Q109" t="str">
        <f t="shared" si="3"/>
        <v>excellent</v>
      </c>
      <c r="R109">
        <f t="shared" si="4"/>
        <v>3</v>
      </c>
      <c r="S109" s="6">
        <f t="shared" si="5"/>
        <v>8</v>
      </c>
    </row>
    <row r="110" spans="1:19" x14ac:dyDescent="0.3">
      <c r="A110" s="10">
        <v>45727</v>
      </c>
      <c r="B110" t="s">
        <v>126</v>
      </c>
      <c r="C110" t="s">
        <v>1128</v>
      </c>
      <c r="D110" t="s">
        <v>1135</v>
      </c>
      <c r="E110" t="s">
        <v>1145</v>
      </c>
      <c r="F110" t="s">
        <v>1149</v>
      </c>
      <c r="G110" t="s">
        <v>1153</v>
      </c>
      <c r="H110">
        <v>4</v>
      </c>
      <c r="I110">
        <v>37741</v>
      </c>
      <c r="J110" s="6">
        <v>20</v>
      </c>
      <c r="K110">
        <v>30192.799999999999</v>
      </c>
      <c r="L110">
        <v>120771.2</v>
      </c>
      <c r="M110">
        <v>2000</v>
      </c>
      <c r="N110" t="s">
        <v>1159</v>
      </c>
      <c r="O110" t="s">
        <v>1164</v>
      </c>
      <c r="P110" s="10">
        <v>45734</v>
      </c>
      <c r="Q110" t="str">
        <f t="shared" si="3"/>
        <v>excellent</v>
      </c>
      <c r="R110">
        <f t="shared" si="4"/>
        <v>3</v>
      </c>
      <c r="S110" s="6">
        <f t="shared" si="5"/>
        <v>7</v>
      </c>
    </row>
    <row r="111" spans="1:19" x14ac:dyDescent="0.3">
      <c r="A111" s="10">
        <v>45718</v>
      </c>
      <c r="B111" t="s">
        <v>127</v>
      </c>
      <c r="C111" t="s">
        <v>1125</v>
      </c>
      <c r="D111" t="s">
        <v>1133</v>
      </c>
      <c r="E111" t="s">
        <v>1148</v>
      </c>
      <c r="F111" t="s">
        <v>1149</v>
      </c>
      <c r="G111" t="s">
        <v>1152</v>
      </c>
      <c r="H111">
        <v>3</v>
      </c>
      <c r="I111">
        <v>60200</v>
      </c>
      <c r="J111" s="6">
        <v>15</v>
      </c>
      <c r="K111">
        <v>51170</v>
      </c>
      <c r="L111">
        <v>153510</v>
      </c>
      <c r="M111">
        <v>1500</v>
      </c>
      <c r="N111" t="s">
        <v>1160</v>
      </c>
      <c r="O111" t="s">
        <v>1162</v>
      </c>
      <c r="Q111" t="str">
        <f t="shared" si="3"/>
        <v>okay</v>
      </c>
      <c r="R111">
        <f t="shared" si="4"/>
        <v>2</v>
      </c>
      <c r="S111" s="6">
        <f t="shared" si="5"/>
        <v>0</v>
      </c>
    </row>
    <row r="112" spans="1:19" x14ac:dyDescent="0.3">
      <c r="A112" s="10">
        <v>45825</v>
      </c>
      <c r="B112" t="s">
        <v>128</v>
      </c>
      <c r="C112" t="s">
        <v>1130</v>
      </c>
      <c r="D112" t="s">
        <v>1136</v>
      </c>
      <c r="E112" t="s">
        <v>1143</v>
      </c>
      <c r="F112" t="s">
        <v>1151</v>
      </c>
      <c r="G112" t="s">
        <v>1157</v>
      </c>
      <c r="H112">
        <v>4</v>
      </c>
      <c r="I112">
        <v>36197</v>
      </c>
      <c r="J112" s="6">
        <v>15</v>
      </c>
      <c r="K112">
        <v>30767.45</v>
      </c>
      <c r="L112">
        <v>123069.8</v>
      </c>
      <c r="M112">
        <v>1500</v>
      </c>
      <c r="N112" t="s">
        <v>1160</v>
      </c>
      <c r="O112" t="s">
        <v>1164</v>
      </c>
      <c r="P112" s="10">
        <v>45834</v>
      </c>
      <c r="Q112" t="str">
        <f t="shared" si="3"/>
        <v>excellent</v>
      </c>
      <c r="R112">
        <f t="shared" si="4"/>
        <v>3</v>
      </c>
      <c r="S112" s="6">
        <f t="shared" si="5"/>
        <v>9</v>
      </c>
    </row>
    <row r="113" spans="1:19" x14ac:dyDescent="0.3">
      <c r="A113" s="10">
        <v>45792</v>
      </c>
      <c r="B113" t="s">
        <v>129</v>
      </c>
      <c r="C113" t="s">
        <v>1131</v>
      </c>
      <c r="D113" t="s">
        <v>1136</v>
      </c>
      <c r="E113" t="s">
        <v>1138</v>
      </c>
      <c r="F113" t="s">
        <v>1149</v>
      </c>
      <c r="G113" t="s">
        <v>1153</v>
      </c>
      <c r="H113">
        <v>3</v>
      </c>
      <c r="I113">
        <v>75778</v>
      </c>
      <c r="J113" s="6">
        <v>5</v>
      </c>
      <c r="K113">
        <v>71989.100000000006</v>
      </c>
      <c r="L113">
        <v>215967.3</v>
      </c>
      <c r="M113">
        <v>2000</v>
      </c>
      <c r="N113" t="s">
        <v>1159</v>
      </c>
      <c r="O113" t="s">
        <v>1162</v>
      </c>
      <c r="Q113" t="str">
        <f t="shared" si="3"/>
        <v>okay</v>
      </c>
      <c r="R113">
        <f t="shared" si="4"/>
        <v>2</v>
      </c>
      <c r="S113" s="6">
        <f t="shared" si="5"/>
        <v>0</v>
      </c>
    </row>
    <row r="114" spans="1:19" x14ac:dyDescent="0.3">
      <c r="A114" s="10">
        <v>45788</v>
      </c>
      <c r="B114" t="s">
        <v>130</v>
      </c>
      <c r="C114" t="s">
        <v>1132</v>
      </c>
      <c r="D114" t="s">
        <v>1134</v>
      </c>
      <c r="E114" t="s">
        <v>1137</v>
      </c>
      <c r="F114" t="s">
        <v>1149</v>
      </c>
      <c r="G114" t="s">
        <v>1152</v>
      </c>
      <c r="H114">
        <v>5</v>
      </c>
      <c r="I114">
        <v>31815</v>
      </c>
      <c r="J114" s="6">
        <v>20</v>
      </c>
      <c r="K114">
        <v>25452</v>
      </c>
      <c r="L114">
        <v>127260</v>
      </c>
      <c r="M114">
        <v>1000</v>
      </c>
      <c r="N114" t="s">
        <v>1160</v>
      </c>
      <c r="O114" t="s">
        <v>1162</v>
      </c>
      <c r="Q114" t="str">
        <f t="shared" si="3"/>
        <v>okay</v>
      </c>
      <c r="R114">
        <f t="shared" si="4"/>
        <v>2</v>
      </c>
      <c r="S114" s="6">
        <f t="shared" si="5"/>
        <v>0</v>
      </c>
    </row>
    <row r="115" spans="1:19" x14ac:dyDescent="0.3">
      <c r="A115" s="10">
        <v>45758</v>
      </c>
      <c r="B115" t="s">
        <v>131</v>
      </c>
      <c r="C115" t="s">
        <v>1127</v>
      </c>
      <c r="D115" t="s">
        <v>1134</v>
      </c>
      <c r="E115" t="s">
        <v>1141</v>
      </c>
      <c r="F115" t="s">
        <v>1151</v>
      </c>
      <c r="G115" t="s">
        <v>1155</v>
      </c>
      <c r="H115">
        <v>5</v>
      </c>
      <c r="I115">
        <v>36831</v>
      </c>
      <c r="J115" s="6">
        <v>10</v>
      </c>
      <c r="K115">
        <v>33147.9</v>
      </c>
      <c r="L115">
        <v>165739.5</v>
      </c>
      <c r="M115">
        <v>1500</v>
      </c>
      <c r="N115" t="s">
        <v>1160</v>
      </c>
      <c r="O115" t="s">
        <v>1162</v>
      </c>
      <c r="Q115" t="str">
        <f t="shared" si="3"/>
        <v>okay</v>
      </c>
      <c r="R115">
        <f t="shared" si="4"/>
        <v>2</v>
      </c>
      <c r="S115" s="6">
        <f t="shared" si="5"/>
        <v>0</v>
      </c>
    </row>
    <row r="116" spans="1:19" x14ac:dyDescent="0.3">
      <c r="A116" s="10">
        <v>45734</v>
      </c>
      <c r="B116" t="s">
        <v>132</v>
      </c>
      <c r="C116" t="s">
        <v>1131</v>
      </c>
      <c r="D116" t="s">
        <v>1136</v>
      </c>
      <c r="E116" t="s">
        <v>1146</v>
      </c>
      <c r="F116" t="s">
        <v>1151</v>
      </c>
      <c r="G116" t="s">
        <v>1155</v>
      </c>
      <c r="H116">
        <v>4</v>
      </c>
      <c r="I116">
        <v>35322</v>
      </c>
      <c r="J116" s="6">
        <v>20</v>
      </c>
      <c r="K116">
        <v>28257.599999999999</v>
      </c>
      <c r="L116">
        <v>113030.39999999999</v>
      </c>
      <c r="M116">
        <v>1500</v>
      </c>
      <c r="N116" t="s">
        <v>1161</v>
      </c>
      <c r="O116" t="s">
        <v>1163</v>
      </c>
      <c r="Q116" t="str">
        <f t="shared" si="3"/>
        <v>no comment</v>
      </c>
      <c r="R116">
        <f t="shared" si="4"/>
        <v>1</v>
      </c>
      <c r="S116" s="6">
        <f t="shared" si="5"/>
        <v>0</v>
      </c>
    </row>
    <row r="117" spans="1:19" x14ac:dyDescent="0.3">
      <c r="A117" s="10">
        <v>45674</v>
      </c>
      <c r="B117" t="s">
        <v>133</v>
      </c>
      <c r="C117" t="s">
        <v>1129</v>
      </c>
      <c r="D117" t="s">
        <v>1133</v>
      </c>
      <c r="E117" t="s">
        <v>1147</v>
      </c>
      <c r="F117" t="s">
        <v>1150</v>
      </c>
      <c r="G117" t="s">
        <v>1156</v>
      </c>
      <c r="H117">
        <v>4</v>
      </c>
      <c r="I117">
        <v>20624</v>
      </c>
      <c r="J117" s="6">
        <v>10</v>
      </c>
      <c r="K117">
        <v>18561.599999999999</v>
      </c>
      <c r="L117">
        <v>74246.399999999994</v>
      </c>
      <c r="M117">
        <v>2000</v>
      </c>
      <c r="N117" t="s">
        <v>1160</v>
      </c>
      <c r="O117" t="s">
        <v>1163</v>
      </c>
      <c r="Q117" t="str">
        <f t="shared" si="3"/>
        <v>no comment</v>
      </c>
      <c r="R117">
        <f t="shared" si="4"/>
        <v>1</v>
      </c>
      <c r="S117" s="6">
        <f t="shared" si="5"/>
        <v>0</v>
      </c>
    </row>
    <row r="118" spans="1:19" x14ac:dyDescent="0.3">
      <c r="A118" s="10">
        <v>45777</v>
      </c>
      <c r="B118" t="s">
        <v>134</v>
      </c>
      <c r="C118" t="s">
        <v>1132</v>
      </c>
      <c r="D118" t="s">
        <v>1134</v>
      </c>
      <c r="E118" t="s">
        <v>1140</v>
      </c>
      <c r="F118" t="s">
        <v>1150</v>
      </c>
      <c r="G118" t="s">
        <v>1154</v>
      </c>
      <c r="H118">
        <v>3</v>
      </c>
      <c r="I118">
        <v>63437</v>
      </c>
      <c r="J118" s="6">
        <v>15</v>
      </c>
      <c r="K118">
        <v>53921.45</v>
      </c>
      <c r="L118">
        <v>161764.35</v>
      </c>
      <c r="M118">
        <v>1000</v>
      </c>
      <c r="N118" t="s">
        <v>1161</v>
      </c>
      <c r="O118" t="s">
        <v>1162</v>
      </c>
      <c r="Q118" t="str">
        <f t="shared" si="3"/>
        <v>okay</v>
      </c>
      <c r="R118">
        <f t="shared" si="4"/>
        <v>2</v>
      </c>
      <c r="S118" s="6">
        <f t="shared" si="5"/>
        <v>0</v>
      </c>
    </row>
    <row r="119" spans="1:19" x14ac:dyDescent="0.3">
      <c r="A119" s="10">
        <v>45798</v>
      </c>
      <c r="B119" t="s">
        <v>135</v>
      </c>
      <c r="C119" t="s">
        <v>1117</v>
      </c>
      <c r="D119" t="s">
        <v>1133</v>
      </c>
      <c r="E119" t="s">
        <v>1145</v>
      </c>
      <c r="F119" t="s">
        <v>1149</v>
      </c>
      <c r="G119" t="s">
        <v>1153</v>
      </c>
      <c r="H119">
        <v>5</v>
      </c>
      <c r="I119">
        <v>23718</v>
      </c>
      <c r="J119" s="6">
        <v>15</v>
      </c>
      <c r="K119">
        <v>20160.3</v>
      </c>
      <c r="L119">
        <v>100801.5</v>
      </c>
      <c r="M119">
        <v>1500</v>
      </c>
      <c r="N119" t="s">
        <v>1161</v>
      </c>
      <c r="O119" t="s">
        <v>1162</v>
      </c>
      <c r="Q119" t="str">
        <f t="shared" si="3"/>
        <v>okay</v>
      </c>
      <c r="R119">
        <f t="shared" si="4"/>
        <v>2</v>
      </c>
      <c r="S119" s="6">
        <f t="shared" si="5"/>
        <v>0</v>
      </c>
    </row>
    <row r="120" spans="1:19" x14ac:dyDescent="0.3">
      <c r="A120" s="10">
        <v>45762</v>
      </c>
      <c r="B120" t="s">
        <v>136</v>
      </c>
      <c r="C120" t="s">
        <v>1129</v>
      </c>
      <c r="D120" t="s">
        <v>1133</v>
      </c>
      <c r="E120" t="s">
        <v>1141</v>
      </c>
      <c r="F120" t="s">
        <v>1151</v>
      </c>
      <c r="G120" t="s">
        <v>1155</v>
      </c>
      <c r="H120">
        <v>2</v>
      </c>
      <c r="I120">
        <v>77478</v>
      </c>
      <c r="J120" s="6">
        <v>0</v>
      </c>
      <c r="K120">
        <v>77478</v>
      </c>
      <c r="L120">
        <v>154956</v>
      </c>
      <c r="M120">
        <v>1000</v>
      </c>
      <c r="N120" t="s">
        <v>1161</v>
      </c>
      <c r="O120" t="s">
        <v>1163</v>
      </c>
      <c r="Q120" t="str">
        <f t="shared" si="3"/>
        <v>no comment</v>
      </c>
      <c r="R120">
        <f t="shared" si="4"/>
        <v>1</v>
      </c>
      <c r="S120" s="6">
        <f t="shared" si="5"/>
        <v>0</v>
      </c>
    </row>
    <row r="121" spans="1:19" x14ac:dyDescent="0.3">
      <c r="A121" s="10">
        <v>45817</v>
      </c>
      <c r="B121" t="s">
        <v>137</v>
      </c>
      <c r="C121" t="s">
        <v>1125</v>
      </c>
      <c r="D121" t="s">
        <v>1133</v>
      </c>
      <c r="E121" t="s">
        <v>1137</v>
      </c>
      <c r="F121" t="s">
        <v>1149</v>
      </c>
      <c r="G121" t="s">
        <v>1152</v>
      </c>
      <c r="H121">
        <v>2</v>
      </c>
      <c r="I121">
        <v>31352</v>
      </c>
      <c r="J121" s="6">
        <v>10</v>
      </c>
      <c r="K121">
        <v>28216.799999999999</v>
      </c>
      <c r="L121">
        <v>56433.599999999999</v>
      </c>
      <c r="M121">
        <v>1500</v>
      </c>
      <c r="N121" t="s">
        <v>1159</v>
      </c>
      <c r="O121" t="s">
        <v>1163</v>
      </c>
      <c r="Q121" t="str">
        <f t="shared" si="3"/>
        <v>no comment</v>
      </c>
      <c r="R121">
        <f t="shared" si="4"/>
        <v>1</v>
      </c>
      <c r="S121" s="6">
        <f t="shared" si="5"/>
        <v>0</v>
      </c>
    </row>
    <row r="122" spans="1:19" x14ac:dyDescent="0.3">
      <c r="A122" s="10">
        <v>45685</v>
      </c>
      <c r="B122" t="s">
        <v>138</v>
      </c>
      <c r="C122" t="s">
        <v>1128</v>
      </c>
      <c r="D122" t="s">
        <v>1135</v>
      </c>
      <c r="E122" t="s">
        <v>1144</v>
      </c>
      <c r="F122" t="s">
        <v>1151</v>
      </c>
      <c r="G122" t="s">
        <v>1157</v>
      </c>
      <c r="H122">
        <v>1</v>
      </c>
      <c r="I122">
        <v>53647</v>
      </c>
      <c r="J122" s="6">
        <v>10</v>
      </c>
      <c r="K122">
        <v>45599.95</v>
      </c>
      <c r="L122">
        <v>45599.95</v>
      </c>
      <c r="M122">
        <v>2000</v>
      </c>
      <c r="N122" t="s">
        <v>1161</v>
      </c>
      <c r="O122" t="s">
        <v>1164</v>
      </c>
      <c r="P122" s="10">
        <v>45693</v>
      </c>
      <c r="Q122" t="str">
        <f t="shared" si="3"/>
        <v>excellent</v>
      </c>
      <c r="R122">
        <f t="shared" si="4"/>
        <v>3</v>
      </c>
      <c r="S122" s="6">
        <f t="shared" si="5"/>
        <v>8</v>
      </c>
    </row>
    <row r="123" spans="1:19" x14ac:dyDescent="0.3">
      <c r="A123" s="10">
        <v>45814</v>
      </c>
      <c r="B123" t="s">
        <v>139</v>
      </c>
      <c r="C123" t="s">
        <v>1122</v>
      </c>
      <c r="D123" t="s">
        <v>1136</v>
      </c>
      <c r="E123" t="s">
        <v>1138</v>
      </c>
      <c r="F123" t="s">
        <v>1149</v>
      </c>
      <c r="G123" t="s">
        <v>1153</v>
      </c>
      <c r="H123">
        <v>3</v>
      </c>
      <c r="I123">
        <v>15220</v>
      </c>
      <c r="J123" s="6">
        <v>15</v>
      </c>
      <c r="K123">
        <v>12937</v>
      </c>
      <c r="L123">
        <v>38811</v>
      </c>
      <c r="M123">
        <v>1500</v>
      </c>
      <c r="N123" t="s">
        <v>1160</v>
      </c>
      <c r="O123" t="s">
        <v>1163</v>
      </c>
      <c r="Q123" t="str">
        <f t="shared" si="3"/>
        <v>no comment</v>
      </c>
      <c r="R123">
        <f t="shared" si="4"/>
        <v>1</v>
      </c>
      <c r="S123" s="6">
        <f t="shared" si="5"/>
        <v>0</v>
      </c>
    </row>
    <row r="124" spans="1:19" x14ac:dyDescent="0.3">
      <c r="A124" s="10">
        <v>45809</v>
      </c>
      <c r="B124" t="s">
        <v>140</v>
      </c>
      <c r="C124" t="s">
        <v>1122</v>
      </c>
      <c r="D124" t="s">
        <v>1136</v>
      </c>
      <c r="E124" t="s">
        <v>1141</v>
      </c>
      <c r="F124" t="s">
        <v>1151</v>
      </c>
      <c r="G124" t="s">
        <v>1155</v>
      </c>
      <c r="H124">
        <v>5</v>
      </c>
      <c r="I124">
        <v>24167</v>
      </c>
      <c r="J124" s="6">
        <v>20</v>
      </c>
      <c r="K124">
        <v>19333.599999999999</v>
      </c>
      <c r="L124">
        <v>96668</v>
      </c>
      <c r="M124">
        <v>2000</v>
      </c>
      <c r="N124" t="s">
        <v>1159</v>
      </c>
      <c r="O124" t="s">
        <v>1162</v>
      </c>
      <c r="Q124" t="str">
        <f t="shared" si="3"/>
        <v>okay</v>
      </c>
      <c r="R124">
        <f t="shared" si="4"/>
        <v>2</v>
      </c>
      <c r="S124" s="6">
        <f t="shared" si="5"/>
        <v>0</v>
      </c>
    </row>
    <row r="125" spans="1:19" x14ac:dyDescent="0.3">
      <c r="A125" s="10">
        <v>45799</v>
      </c>
      <c r="B125" t="s">
        <v>141</v>
      </c>
      <c r="C125" t="s">
        <v>1126</v>
      </c>
      <c r="D125" t="s">
        <v>1133</v>
      </c>
      <c r="E125" t="s">
        <v>1139</v>
      </c>
      <c r="F125" t="s">
        <v>1150</v>
      </c>
      <c r="G125" t="s">
        <v>1154</v>
      </c>
      <c r="H125">
        <v>1</v>
      </c>
      <c r="I125">
        <v>38882</v>
      </c>
      <c r="J125" s="6">
        <v>0</v>
      </c>
      <c r="K125">
        <v>38882</v>
      </c>
      <c r="L125">
        <v>38882</v>
      </c>
      <c r="M125">
        <v>1000</v>
      </c>
      <c r="N125" t="s">
        <v>1160</v>
      </c>
      <c r="O125" t="s">
        <v>1162</v>
      </c>
      <c r="Q125" t="str">
        <f t="shared" si="3"/>
        <v>okay</v>
      </c>
      <c r="R125">
        <f t="shared" si="4"/>
        <v>2</v>
      </c>
      <c r="S125" s="6">
        <f t="shared" si="5"/>
        <v>0</v>
      </c>
    </row>
    <row r="126" spans="1:19" x14ac:dyDescent="0.3">
      <c r="A126" s="10">
        <v>45660</v>
      </c>
      <c r="B126" t="s">
        <v>142</v>
      </c>
      <c r="C126" t="s">
        <v>1131</v>
      </c>
      <c r="D126" t="s">
        <v>1136</v>
      </c>
      <c r="E126" t="s">
        <v>1147</v>
      </c>
      <c r="F126" t="s">
        <v>1150</v>
      </c>
      <c r="G126" t="s">
        <v>1156</v>
      </c>
      <c r="H126">
        <v>2</v>
      </c>
      <c r="I126">
        <v>37530</v>
      </c>
      <c r="J126" s="6">
        <v>5</v>
      </c>
      <c r="K126">
        <v>35653.5</v>
      </c>
      <c r="L126">
        <v>71307</v>
      </c>
      <c r="M126">
        <v>1000</v>
      </c>
      <c r="N126" t="s">
        <v>1159</v>
      </c>
      <c r="O126" t="s">
        <v>1164</v>
      </c>
      <c r="P126" s="10">
        <v>45667</v>
      </c>
      <c r="Q126" t="str">
        <f t="shared" si="3"/>
        <v>excellent</v>
      </c>
      <c r="R126">
        <f t="shared" si="4"/>
        <v>3</v>
      </c>
      <c r="S126" s="6">
        <f t="shared" si="5"/>
        <v>7</v>
      </c>
    </row>
    <row r="127" spans="1:19" x14ac:dyDescent="0.3">
      <c r="A127" s="10">
        <v>45800</v>
      </c>
      <c r="B127" t="s">
        <v>143</v>
      </c>
      <c r="C127" t="s">
        <v>1123</v>
      </c>
      <c r="D127" t="s">
        <v>1135</v>
      </c>
      <c r="E127" t="s">
        <v>1145</v>
      </c>
      <c r="F127" t="s">
        <v>1149</v>
      </c>
      <c r="G127" t="s">
        <v>1153</v>
      </c>
      <c r="H127">
        <v>1</v>
      </c>
      <c r="I127">
        <v>7037</v>
      </c>
      <c r="J127" s="6">
        <v>15</v>
      </c>
      <c r="K127">
        <v>5981.45</v>
      </c>
      <c r="L127">
        <v>5981.45</v>
      </c>
      <c r="M127">
        <v>2000</v>
      </c>
      <c r="N127" t="s">
        <v>1159</v>
      </c>
      <c r="O127" t="s">
        <v>1162</v>
      </c>
      <c r="Q127" t="str">
        <f t="shared" si="3"/>
        <v>okay</v>
      </c>
      <c r="R127">
        <f t="shared" si="4"/>
        <v>2</v>
      </c>
      <c r="S127" s="6">
        <f t="shared" si="5"/>
        <v>0</v>
      </c>
    </row>
    <row r="128" spans="1:19" x14ac:dyDescent="0.3">
      <c r="A128" s="10">
        <v>45775</v>
      </c>
      <c r="B128" t="s">
        <v>144</v>
      </c>
      <c r="C128" t="s">
        <v>1128</v>
      </c>
      <c r="D128" t="s">
        <v>1135</v>
      </c>
      <c r="E128" t="s">
        <v>1138</v>
      </c>
      <c r="F128" t="s">
        <v>1149</v>
      </c>
      <c r="G128" t="s">
        <v>1153</v>
      </c>
      <c r="H128">
        <v>4</v>
      </c>
      <c r="I128">
        <v>24762</v>
      </c>
      <c r="J128" s="6">
        <v>20</v>
      </c>
      <c r="K128">
        <v>19809.599999999999</v>
      </c>
      <c r="L128">
        <v>79238.399999999994</v>
      </c>
      <c r="M128">
        <v>1500</v>
      </c>
      <c r="N128" t="s">
        <v>1161</v>
      </c>
      <c r="O128" t="s">
        <v>1164</v>
      </c>
      <c r="P128" s="10">
        <v>45781</v>
      </c>
      <c r="Q128" t="str">
        <f t="shared" si="3"/>
        <v>excellent</v>
      </c>
      <c r="R128">
        <f t="shared" si="4"/>
        <v>3</v>
      </c>
      <c r="S128" s="6">
        <f t="shared" si="5"/>
        <v>6</v>
      </c>
    </row>
    <row r="129" spans="1:19" x14ac:dyDescent="0.3">
      <c r="A129" s="10">
        <v>45713</v>
      </c>
      <c r="B129" t="s">
        <v>145</v>
      </c>
      <c r="C129" t="s">
        <v>1120</v>
      </c>
      <c r="D129" t="s">
        <v>1135</v>
      </c>
      <c r="E129" t="s">
        <v>1141</v>
      </c>
      <c r="F129" t="s">
        <v>1151</v>
      </c>
      <c r="G129" t="s">
        <v>1155</v>
      </c>
      <c r="H129">
        <v>1</v>
      </c>
      <c r="I129">
        <v>57360</v>
      </c>
      <c r="J129" s="6">
        <v>5</v>
      </c>
      <c r="K129">
        <v>54492</v>
      </c>
      <c r="L129">
        <v>54492</v>
      </c>
      <c r="M129">
        <v>1500</v>
      </c>
      <c r="N129" t="s">
        <v>1160</v>
      </c>
      <c r="O129" t="s">
        <v>1164</v>
      </c>
      <c r="P129" s="10">
        <v>45720</v>
      </c>
      <c r="Q129" t="str">
        <f t="shared" si="3"/>
        <v>excellent</v>
      </c>
      <c r="R129">
        <f t="shared" si="4"/>
        <v>3</v>
      </c>
      <c r="S129" s="6">
        <f t="shared" si="5"/>
        <v>7</v>
      </c>
    </row>
    <row r="130" spans="1:19" x14ac:dyDescent="0.3">
      <c r="A130" s="10">
        <v>45748</v>
      </c>
      <c r="B130" t="s">
        <v>146</v>
      </c>
      <c r="C130" t="s">
        <v>1126</v>
      </c>
      <c r="D130" t="s">
        <v>1133</v>
      </c>
      <c r="E130" t="s">
        <v>1144</v>
      </c>
      <c r="F130" t="s">
        <v>1151</v>
      </c>
      <c r="G130" t="s">
        <v>1157</v>
      </c>
      <c r="H130">
        <v>2</v>
      </c>
      <c r="I130">
        <v>13653</v>
      </c>
      <c r="J130" s="6">
        <v>15</v>
      </c>
      <c r="K130">
        <v>11605.05</v>
      </c>
      <c r="L130">
        <v>23210.1</v>
      </c>
      <c r="M130">
        <v>2000</v>
      </c>
      <c r="N130" t="s">
        <v>1160</v>
      </c>
      <c r="O130" t="s">
        <v>1164</v>
      </c>
      <c r="P130" s="10">
        <v>45752</v>
      </c>
      <c r="Q130" t="str">
        <f t="shared" ref="Q130:Q193" si="6">IF(O130="delivered","excellent",IF(O130="in transit","okay",IF(O130="failed","no comment")))</f>
        <v>excellent</v>
      </c>
      <c r="R130">
        <f t="shared" si="4"/>
        <v>3</v>
      </c>
      <c r="S130" s="6">
        <f t="shared" si="5"/>
        <v>4</v>
      </c>
    </row>
    <row r="131" spans="1:19" x14ac:dyDescent="0.3">
      <c r="A131" s="10">
        <v>45819</v>
      </c>
      <c r="B131" t="s">
        <v>147</v>
      </c>
      <c r="C131" t="s">
        <v>1132</v>
      </c>
      <c r="D131" t="s">
        <v>1134</v>
      </c>
      <c r="E131" t="s">
        <v>1137</v>
      </c>
      <c r="F131" t="s">
        <v>1149</v>
      </c>
      <c r="G131" t="s">
        <v>1152</v>
      </c>
      <c r="H131">
        <v>2</v>
      </c>
      <c r="I131">
        <v>56812</v>
      </c>
      <c r="J131" s="6">
        <v>0</v>
      </c>
      <c r="K131">
        <v>56812</v>
      </c>
      <c r="L131">
        <v>113624</v>
      </c>
      <c r="M131">
        <v>1500</v>
      </c>
      <c r="N131" t="s">
        <v>1161</v>
      </c>
      <c r="O131" t="s">
        <v>1164</v>
      </c>
      <c r="P131" s="10">
        <v>45822</v>
      </c>
      <c r="Q131" t="str">
        <f t="shared" si="6"/>
        <v>excellent</v>
      </c>
      <c r="R131">
        <f t="shared" ref="R131:R194" si="7">IF(Q131="excellent",3,IF(Q131="no comment",1,IF(Q131="okay",2)))</f>
        <v>3</v>
      </c>
      <c r="S131" s="6">
        <f t="shared" ref="S131:S194" si="8">(IFERROR(DATEDIF(A131,P131,"d"),0))</f>
        <v>3</v>
      </c>
    </row>
    <row r="132" spans="1:19" x14ac:dyDescent="0.3">
      <c r="A132" s="10">
        <v>45798</v>
      </c>
      <c r="B132" t="s">
        <v>148</v>
      </c>
      <c r="C132" t="s">
        <v>1121</v>
      </c>
      <c r="D132" t="s">
        <v>1136</v>
      </c>
      <c r="E132" t="s">
        <v>1145</v>
      </c>
      <c r="F132" t="s">
        <v>1149</v>
      </c>
      <c r="G132" t="s">
        <v>1153</v>
      </c>
      <c r="H132">
        <v>1</v>
      </c>
      <c r="I132">
        <v>60646</v>
      </c>
      <c r="J132" s="6">
        <v>20</v>
      </c>
      <c r="K132">
        <v>48516.800000000003</v>
      </c>
      <c r="L132">
        <v>48516.800000000003</v>
      </c>
      <c r="M132">
        <v>1500</v>
      </c>
      <c r="N132" t="s">
        <v>1160</v>
      </c>
      <c r="O132" t="s">
        <v>1163</v>
      </c>
      <c r="Q132" t="str">
        <f t="shared" si="6"/>
        <v>no comment</v>
      </c>
      <c r="R132">
        <f t="shared" si="7"/>
        <v>1</v>
      </c>
      <c r="S132" s="6">
        <f t="shared" si="8"/>
        <v>0</v>
      </c>
    </row>
    <row r="133" spans="1:19" x14ac:dyDescent="0.3">
      <c r="A133" s="10">
        <v>45707</v>
      </c>
      <c r="B133" t="s">
        <v>149</v>
      </c>
      <c r="C133" t="s">
        <v>1126</v>
      </c>
      <c r="D133" t="s">
        <v>1133</v>
      </c>
      <c r="E133" t="s">
        <v>1139</v>
      </c>
      <c r="F133" t="s">
        <v>1150</v>
      </c>
      <c r="G133" t="s">
        <v>1154</v>
      </c>
      <c r="H133">
        <v>1</v>
      </c>
      <c r="I133">
        <v>46080</v>
      </c>
      <c r="J133" s="6">
        <v>0</v>
      </c>
      <c r="K133">
        <v>46080</v>
      </c>
      <c r="L133">
        <v>46080</v>
      </c>
      <c r="M133">
        <v>1000</v>
      </c>
      <c r="N133" t="s">
        <v>1161</v>
      </c>
      <c r="O133" t="s">
        <v>1162</v>
      </c>
      <c r="Q133" t="str">
        <f t="shared" si="6"/>
        <v>okay</v>
      </c>
      <c r="R133">
        <f t="shared" si="7"/>
        <v>2</v>
      </c>
      <c r="S133" s="6">
        <f t="shared" si="8"/>
        <v>0</v>
      </c>
    </row>
    <row r="134" spans="1:19" x14ac:dyDescent="0.3">
      <c r="A134" s="10">
        <v>45658</v>
      </c>
      <c r="B134" t="s">
        <v>150</v>
      </c>
      <c r="C134" t="s">
        <v>1119</v>
      </c>
      <c r="D134" t="s">
        <v>1134</v>
      </c>
      <c r="E134" t="s">
        <v>1147</v>
      </c>
      <c r="F134" t="s">
        <v>1150</v>
      </c>
      <c r="G134" t="s">
        <v>1156</v>
      </c>
      <c r="H134">
        <v>4</v>
      </c>
      <c r="I134">
        <v>24135</v>
      </c>
      <c r="J134" s="6">
        <v>5</v>
      </c>
      <c r="K134">
        <v>22928.25</v>
      </c>
      <c r="L134">
        <v>91713</v>
      </c>
      <c r="M134">
        <v>2000</v>
      </c>
      <c r="N134" t="s">
        <v>1159</v>
      </c>
      <c r="O134" t="s">
        <v>1162</v>
      </c>
      <c r="Q134" t="str">
        <f t="shared" si="6"/>
        <v>okay</v>
      </c>
      <c r="R134">
        <f t="shared" si="7"/>
        <v>2</v>
      </c>
      <c r="S134" s="6">
        <f t="shared" si="8"/>
        <v>0</v>
      </c>
    </row>
    <row r="135" spans="1:19" x14ac:dyDescent="0.3">
      <c r="A135" s="10">
        <v>45676</v>
      </c>
      <c r="B135" t="s">
        <v>151</v>
      </c>
      <c r="C135" t="s">
        <v>1126</v>
      </c>
      <c r="D135" t="s">
        <v>1133</v>
      </c>
      <c r="E135" t="s">
        <v>1140</v>
      </c>
      <c r="F135" t="s">
        <v>1150</v>
      </c>
      <c r="G135" t="s">
        <v>1154</v>
      </c>
      <c r="H135">
        <v>2</v>
      </c>
      <c r="I135">
        <v>60917</v>
      </c>
      <c r="J135" s="6">
        <v>20</v>
      </c>
      <c r="K135">
        <v>48733.599999999999</v>
      </c>
      <c r="L135">
        <v>97467.199999999997</v>
      </c>
      <c r="M135">
        <v>1500</v>
      </c>
      <c r="N135" t="s">
        <v>1160</v>
      </c>
      <c r="O135" t="s">
        <v>1163</v>
      </c>
      <c r="Q135" t="str">
        <f t="shared" si="6"/>
        <v>no comment</v>
      </c>
      <c r="R135">
        <f t="shared" si="7"/>
        <v>1</v>
      </c>
      <c r="S135" s="6">
        <f t="shared" si="8"/>
        <v>0</v>
      </c>
    </row>
    <row r="136" spans="1:19" x14ac:dyDescent="0.3">
      <c r="A136" s="10">
        <v>45748</v>
      </c>
      <c r="B136" t="s">
        <v>152</v>
      </c>
      <c r="C136" t="s">
        <v>1118</v>
      </c>
      <c r="D136" t="s">
        <v>1134</v>
      </c>
      <c r="E136" t="s">
        <v>1138</v>
      </c>
      <c r="F136" t="s">
        <v>1149</v>
      </c>
      <c r="G136" t="s">
        <v>1153</v>
      </c>
      <c r="H136">
        <v>2</v>
      </c>
      <c r="I136">
        <v>31522</v>
      </c>
      <c r="J136" s="6">
        <v>10</v>
      </c>
      <c r="K136">
        <v>28369.8</v>
      </c>
      <c r="L136">
        <v>56739.6</v>
      </c>
      <c r="M136">
        <v>1000</v>
      </c>
      <c r="N136" t="s">
        <v>1160</v>
      </c>
      <c r="O136" t="s">
        <v>1162</v>
      </c>
      <c r="Q136" t="str">
        <f t="shared" si="6"/>
        <v>okay</v>
      </c>
      <c r="R136">
        <f t="shared" si="7"/>
        <v>2</v>
      </c>
      <c r="S136" s="6">
        <f t="shared" si="8"/>
        <v>0</v>
      </c>
    </row>
    <row r="137" spans="1:19" x14ac:dyDescent="0.3">
      <c r="A137" s="10">
        <v>45682</v>
      </c>
      <c r="B137" t="s">
        <v>153</v>
      </c>
      <c r="C137" t="s">
        <v>1122</v>
      </c>
      <c r="D137" t="s">
        <v>1136</v>
      </c>
      <c r="E137" t="s">
        <v>1144</v>
      </c>
      <c r="F137" t="s">
        <v>1151</v>
      </c>
      <c r="G137" t="s">
        <v>1157</v>
      </c>
      <c r="H137">
        <v>4</v>
      </c>
      <c r="I137">
        <v>25745</v>
      </c>
      <c r="J137" s="6">
        <v>5</v>
      </c>
      <c r="K137">
        <v>24457.75</v>
      </c>
      <c r="L137">
        <v>97831</v>
      </c>
      <c r="M137">
        <v>1500</v>
      </c>
      <c r="N137" t="s">
        <v>1161</v>
      </c>
      <c r="O137" t="s">
        <v>1162</v>
      </c>
      <c r="Q137" t="str">
        <f t="shared" si="6"/>
        <v>okay</v>
      </c>
      <c r="R137">
        <f t="shared" si="7"/>
        <v>2</v>
      </c>
      <c r="S137" s="6">
        <f t="shared" si="8"/>
        <v>0</v>
      </c>
    </row>
    <row r="138" spans="1:19" x14ac:dyDescent="0.3">
      <c r="A138" s="10">
        <v>45813</v>
      </c>
      <c r="B138" t="s">
        <v>154</v>
      </c>
      <c r="C138" t="s">
        <v>1125</v>
      </c>
      <c r="D138" t="s">
        <v>1133</v>
      </c>
      <c r="E138" t="s">
        <v>1145</v>
      </c>
      <c r="F138" t="s">
        <v>1149</v>
      </c>
      <c r="G138" t="s">
        <v>1153</v>
      </c>
      <c r="H138">
        <v>5</v>
      </c>
      <c r="I138">
        <v>37214</v>
      </c>
      <c r="J138" s="6">
        <v>20</v>
      </c>
      <c r="K138">
        <v>29771.200000000001</v>
      </c>
      <c r="L138">
        <v>148856</v>
      </c>
      <c r="M138">
        <v>1000</v>
      </c>
      <c r="N138" t="s">
        <v>1161</v>
      </c>
      <c r="O138" t="s">
        <v>1162</v>
      </c>
      <c r="Q138" t="str">
        <f t="shared" si="6"/>
        <v>okay</v>
      </c>
      <c r="R138">
        <f t="shared" si="7"/>
        <v>2</v>
      </c>
      <c r="S138" s="6">
        <f t="shared" si="8"/>
        <v>0</v>
      </c>
    </row>
    <row r="139" spans="1:19" x14ac:dyDescent="0.3">
      <c r="A139" s="10">
        <v>45694</v>
      </c>
      <c r="B139" t="s">
        <v>155</v>
      </c>
      <c r="C139" t="s">
        <v>1118</v>
      </c>
      <c r="D139" t="s">
        <v>1134</v>
      </c>
      <c r="E139" t="s">
        <v>1140</v>
      </c>
      <c r="F139" t="s">
        <v>1150</v>
      </c>
      <c r="G139" t="s">
        <v>1154</v>
      </c>
      <c r="H139">
        <v>3</v>
      </c>
      <c r="I139">
        <v>77637</v>
      </c>
      <c r="J139" s="6">
        <v>10</v>
      </c>
      <c r="K139">
        <v>69873.3</v>
      </c>
      <c r="L139">
        <v>209619.9</v>
      </c>
      <c r="M139">
        <v>1500</v>
      </c>
      <c r="N139" t="s">
        <v>1159</v>
      </c>
      <c r="O139" t="s">
        <v>1162</v>
      </c>
      <c r="Q139" t="str">
        <f t="shared" si="6"/>
        <v>okay</v>
      </c>
      <c r="R139">
        <f t="shared" si="7"/>
        <v>2</v>
      </c>
      <c r="S139" s="6">
        <f t="shared" si="8"/>
        <v>0</v>
      </c>
    </row>
    <row r="140" spans="1:19" x14ac:dyDescent="0.3">
      <c r="A140" s="10">
        <v>45730</v>
      </c>
      <c r="B140" t="s">
        <v>156</v>
      </c>
      <c r="C140" t="s">
        <v>1128</v>
      </c>
      <c r="D140" t="s">
        <v>1135</v>
      </c>
      <c r="E140" t="s">
        <v>1138</v>
      </c>
      <c r="F140" t="s">
        <v>1149</v>
      </c>
      <c r="G140" t="s">
        <v>1153</v>
      </c>
      <c r="H140">
        <v>5</v>
      </c>
      <c r="I140">
        <v>16693</v>
      </c>
      <c r="J140" s="6">
        <v>5</v>
      </c>
      <c r="K140">
        <v>15858.35</v>
      </c>
      <c r="L140">
        <v>79291.75</v>
      </c>
      <c r="M140">
        <v>1000</v>
      </c>
      <c r="N140" t="s">
        <v>1159</v>
      </c>
      <c r="O140" t="s">
        <v>1162</v>
      </c>
      <c r="Q140" t="str">
        <f t="shared" si="6"/>
        <v>okay</v>
      </c>
      <c r="R140">
        <f t="shared" si="7"/>
        <v>2</v>
      </c>
      <c r="S140" s="6">
        <f t="shared" si="8"/>
        <v>0</v>
      </c>
    </row>
    <row r="141" spans="1:19" x14ac:dyDescent="0.3">
      <c r="A141" s="10">
        <v>45709</v>
      </c>
      <c r="B141" t="s">
        <v>157</v>
      </c>
      <c r="C141" t="s">
        <v>1120</v>
      </c>
      <c r="D141" t="s">
        <v>1135</v>
      </c>
      <c r="E141" t="s">
        <v>1147</v>
      </c>
      <c r="F141" t="s">
        <v>1150</v>
      </c>
      <c r="G141" t="s">
        <v>1156</v>
      </c>
      <c r="H141">
        <v>3</v>
      </c>
      <c r="I141">
        <v>13847</v>
      </c>
      <c r="J141" s="6">
        <v>0</v>
      </c>
      <c r="K141">
        <v>13847</v>
      </c>
      <c r="L141">
        <v>41541</v>
      </c>
      <c r="M141">
        <v>1500</v>
      </c>
      <c r="N141" t="s">
        <v>1160</v>
      </c>
      <c r="O141" t="s">
        <v>1164</v>
      </c>
      <c r="P141" s="10">
        <v>45715</v>
      </c>
      <c r="Q141" t="str">
        <f t="shared" si="6"/>
        <v>excellent</v>
      </c>
      <c r="R141">
        <f t="shared" si="7"/>
        <v>3</v>
      </c>
      <c r="S141" s="6">
        <f t="shared" si="8"/>
        <v>6</v>
      </c>
    </row>
    <row r="142" spans="1:19" x14ac:dyDescent="0.3">
      <c r="A142" s="10">
        <v>45708</v>
      </c>
      <c r="B142" t="s">
        <v>158</v>
      </c>
      <c r="C142" t="s">
        <v>1129</v>
      </c>
      <c r="D142" t="s">
        <v>1133</v>
      </c>
      <c r="E142" t="s">
        <v>1138</v>
      </c>
      <c r="F142" t="s">
        <v>1149</v>
      </c>
      <c r="G142" t="s">
        <v>1153</v>
      </c>
      <c r="H142">
        <v>4</v>
      </c>
      <c r="I142">
        <v>75961</v>
      </c>
      <c r="J142" s="6">
        <v>5</v>
      </c>
      <c r="K142">
        <v>72162.95</v>
      </c>
      <c r="L142">
        <v>288651.8</v>
      </c>
      <c r="M142">
        <v>1000</v>
      </c>
      <c r="N142" t="s">
        <v>1159</v>
      </c>
      <c r="O142" t="s">
        <v>1163</v>
      </c>
      <c r="Q142" t="str">
        <f t="shared" si="6"/>
        <v>no comment</v>
      </c>
      <c r="R142">
        <f t="shared" si="7"/>
        <v>1</v>
      </c>
      <c r="S142" s="6">
        <f t="shared" si="8"/>
        <v>0</v>
      </c>
    </row>
    <row r="143" spans="1:19" x14ac:dyDescent="0.3">
      <c r="A143" s="10">
        <v>45768</v>
      </c>
      <c r="B143" t="s">
        <v>159</v>
      </c>
      <c r="C143" t="s">
        <v>1118</v>
      </c>
      <c r="D143" t="s">
        <v>1134</v>
      </c>
      <c r="E143" t="s">
        <v>1140</v>
      </c>
      <c r="F143" t="s">
        <v>1150</v>
      </c>
      <c r="G143" t="s">
        <v>1154</v>
      </c>
      <c r="H143">
        <v>4</v>
      </c>
      <c r="I143">
        <v>48326</v>
      </c>
      <c r="J143" s="6">
        <v>15</v>
      </c>
      <c r="K143">
        <v>41077.1</v>
      </c>
      <c r="L143">
        <v>164308.4</v>
      </c>
      <c r="M143">
        <v>1000</v>
      </c>
      <c r="N143" t="s">
        <v>1159</v>
      </c>
      <c r="O143" t="s">
        <v>1162</v>
      </c>
      <c r="Q143" t="str">
        <f t="shared" si="6"/>
        <v>okay</v>
      </c>
      <c r="R143">
        <f t="shared" si="7"/>
        <v>2</v>
      </c>
      <c r="S143" s="6">
        <f t="shared" si="8"/>
        <v>0</v>
      </c>
    </row>
    <row r="144" spans="1:19" x14ac:dyDescent="0.3">
      <c r="A144" s="10">
        <v>45817</v>
      </c>
      <c r="B144" t="s">
        <v>160</v>
      </c>
      <c r="C144" t="s">
        <v>1132</v>
      </c>
      <c r="D144" t="s">
        <v>1134</v>
      </c>
      <c r="E144" t="s">
        <v>1144</v>
      </c>
      <c r="F144" t="s">
        <v>1151</v>
      </c>
      <c r="G144" t="s">
        <v>1157</v>
      </c>
      <c r="H144">
        <v>4</v>
      </c>
      <c r="I144">
        <v>71372</v>
      </c>
      <c r="J144" s="6">
        <v>5</v>
      </c>
      <c r="K144">
        <v>67803.399999999994</v>
      </c>
      <c r="L144">
        <v>271213.59999999998</v>
      </c>
      <c r="M144">
        <v>1000</v>
      </c>
      <c r="N144" t="s">
        <v>1160</v>
      </c>
      <c r="O144" t="s">
        <v>1164</v>
      </c>
      <c r="P144" s="10">
        <v>45823</v>
      </c>
      <c r="Q144" t="str">
        <f t="shared" si="6"/>
        <v>excellent</v>
      </c>
      <c r="R144">
        <f t="shared" si="7"/>
        <v>3</v>
      </c>
      <c r="S144" s="6">
        <f t="shared" si="8"/>
        <v>6</v>
      </c>
    </row>
    <row r="145" spans="1:19" x14ac:dyDescent="0.3">
      <c r="A145" s="10">
        <v>45745</v>
      </c>
      <c r="B145" t="s">
        <v>161</v>
      </c>
      <c r="C145" t="s">
        <v>1124</v>
      </c>
      <c r="D145" t="s">
        <v>1135</v>
      </c>
      <c r="E145" t="s">
        <v>1145</v>
      </c>
      <c r="F145" t="s">
        <v>1149</v>
      </c>
      <c r="G145" t="s">
        <v>1153</v>
      </c>
      <c r="H145">
        <v>5</v>
      </c>
      <c r="I145">
        <v>21881</v>
      </c>
      <c r="J145" s="6">
        <v>5</v>
      </c>
      <c r="K145">
        <v>20786.95</v>
      </c>
      <c r="L145">
        <v>103934.75</v>
      </c>
      <c r="M145">
        <v>1000</v>
      </c>
      <c r="N145" t="s">
        <v>1160</v>
      </c>
      <c r="O145" t="s">
        <v>1164</v>
      </c>
      <c r="P145" s="10">
        <v>45754</v>
      </c>
      <c r="Q145" t="str">
        <f t="shared" si="6"/>
        <v>excellent</v>
      </c>
      <c r="R145">
        <f t="shared" si="7"/>
        <v>3</v>
      </c>
      <c r="S145" s="6">
        <f t="shared" si="8"/>
        <v>9</v>
      </c>
    </row>
    <row r="146" spans="1:19" x14ac:dyDescent="0.3">
      <c r="A146" s="10">
        <v>45784</v>
      </c>
      <c r="B146" t="s">
        <v>162</v>
      </c>
      <c r="C146" t="s">
        <v>1120</v>
      </c>
      <c r="D146" t="s">
        <v>1135</v>
      </c>
      <c r="E146" t="s">
        <v>1148</v>
      </c>
      <c r="F146" t="s">
        <v>1149</v>
      </c>
      <c r="G146" t="s">
        <v>1152</v>
      </c>
      <c r="H146">
        <v>5</v>
      </c>
      <c r="I146">
        <v>31925</v>
      </c>
      <c r="J146" s="6">
        <v>15</v>
      </c>
      <c r="K146">
        <v>27136.25</v>
      </c>
      <c r="L146">
        <v>135681.25</v>
      </c>
      <c r="M146">
        <v>1500</v>
      </c>
      <c r="N146" t="s">
        <v>1160</v>
      </c>
      <c r="O146" t="s">
        <v>1162</v>
      </c>
      <c r="Q146" t="str">
        <f t="shared" si="6"/>
        <v>okay</v>
      </c>
      <c r="R146">
        <f t="shared" si="7"/>
        <v>2</v>
      </c>
      <c r="S146" s="6">
        <f t="shared" si="8"/>
        <v>0</v>
      </c>
    </row>
    <row r="147" spans="1:19" x14ac:dyDescent="0.3">
      <c r="A147" s="10">
        <v>45814</v>
      </c>
      <c r="B147" t="s">
        <v>163</v>
      </c>
      <c r="C147" t="s">
        <v>1120</v>
      </c>
      <c r="D147" t="s">
        <v>1135</v>
      </c>
      <c r="E147" t="s">
        <v>1139</v>
      </c>
      <c r="F147" t="s">
        <v>1150</v>
      </c>
      <c r="G147" t="s">
        <v>1154</v>
      </c>
      <c r="H147">
        <v>3</v>
      </c>
      <c r="I147">
        <v>70291</v>
      </c>
      <c r="J147" s="6">
        <v>5</v>
      </c>
      <c r="K147">
        <v>66776.45</v>
      </c>
      <c r="L147">
        <v>200329.35</v>
      </c>
      <c r="M147">
        <v>1000</v>
      </c>
      <c r="N147" t="s">
        <v>1161</v>
      </c>
      <c r="O147" t="s">
        <v>1164</v>
      </c>
      <c r="P147" s="10">
        <v>45820</v>
      </c>
      <c r="Q147" t="str">
        <f t="shared" si="6"/>
        <v>excellent</v>
      </c>
      <c r="R147">
        <f t="shared" si="7"/>
        <v>3</v>
      </c>
      <c r="S147" s="6">
        <f t="shared" si="8"/>
        <v>6</v>
      </c>
    </row>
    <row r="148" spans="1:19" x14ac:dyDescent="0.3">
      <c r="A148" s="10">
        <v>45777</v>
      </c>
      <c r="B148" t="s">
        <v>164</v>
      </c>
      <c r="C148" t="s">
        <v>1130</v>
      </c>
      <c r="D148" t="s">
        <v>1136</v>
      </c>
      <c r="E148" t="s">
        <v>1148</v>
      </c>
      <c r="F148" t="s">
        <v>1149</v>
      </c>
      <c r="G148" t="s">
        <v>1152</v>
      </c>
      <c r="H148">
        <v>3</v>
      </c>
      <c r="I148">
        <v>60334</v>
      </c>
      <c r="J148" s="6">
        <v>5</v>
      </c>
      <c r="K148">
        <v>57317.3</v>
      </c>
      <c r="L148">
        <v>171951.9</v>
      </c>
      <c r="M148">
        <v>2000</v>
      </c>
      <c r="N148" t="s">
        <v>1161</v>
      </c>
      <c r="O148" t="s">
        <v>1163</v>
      </c>
      <c r="Q148" t="str">
        <f t="shared" si="6"/>
        <v>no comment</v>
      </c>
      <c r="R148">
        <f t="shared" si="7"/>
        <v>1</v>
      </c>
      <c r="S148" s="6">
        <f t="shared" si="8"/>
        <v>0</v>
      </c>
    </row>
    <row r="149" spans="1:19" x14ac:dyDescent="0.3">
      <c r="A149" s="10">
        <v>45800</v>
      </c>
      <c r="B149" t="s">
        <v>165</v>
      </c>
      <c r="C149" t="s">
        <v>1132</v>
      </c>
      <c r="D149" t="s">
        <v>1134</v>
      </c>
      <c r="E149" t="s">
        <v>1142</v>
      </c>
      <c r="F149" t="s">
        <v>1150</v>
      </c>
      <c r="G149" t="s">
        <v>1156</v>
      </c>
      <c r="H149">
        <v>4</v>
      </c>
      <c r="I149">
        <v>13154</v>
      </c>
      <c r="J149" s="6">
        <v>15</v>
      </c>
      <c r="K149">
        <v>11180.9</v>
      </c>
      <c r="L149">
        <v>44723.6</v>
      </c>
      <c r="M149">
        <v>1000</v>
      </c>
      <c r="N149" t="s">
        <v>1159</v>
      </c>
      <c r="O149" t="s">
        <v>1163</v>
      </c>
      <c r="Q149" t="str">
        <f t="shared" si="6"/>
        <v>no comment</v>
      </c>
      <c r="R149">
        <f t="shared" si="7"/>
        <v>1</v>
      </c>
      <c r="S149" s="6">
        <f t="shared" si="8"/>
        <v>0</v>
      </c>
    </row>
    <row r="150" spans="1:19" x14ac:dyDescent="0.3">
      <c r="A150" s="10">
        <v>45790</v>
      </c>
      <c r="B150" t="s">
        <v>166</v>
      </c>
      <c r="C150" t="s">
        <v>1131</v>
      </c>
      <c r="D150" t="s">
        <v>1136</v>
      </c>
      <c r="E150" t="s">
        <v>1143</v>
      </c>
      <c r="F150" t="s">
        <v>1151</v>
      </c>
      <c r="G150" t="s">
        <v>1157</v>
      </c>
      <c r="H150">
        <v>5</v>
      </c>
      <c r="I150">
        <v>74756</v>
      </c>
      <c r="J150" s="6">
        <v>10</v>
      </c>
      <c r="K150">
        <v>67280.399999999994</v>
      </c>
      <c r="L150">
        <v>336402</v>
      </c>
      <c r="M150">
        <v>2000</v>
      </c>
      <c r="N150" t="s">
        <v>1161</v>
      </c>
      <c r="O150" t="s">
        <v>1162</v>
      </c>
      <c r="Q150" t="str">
        <f t="shared" si="6"/>
        <v>okay</v>
      </c>
      <c r="R150">
        <f t="shared" si="7"/>
        <v>2</v>
      </c>
      <c r="S150" s="6">
        <f t="shared" si="8"/>
        <v>0</v>
      </c>
    </row>
    <row r="151" spans="1:19" x14ac:dyDescent="0.3">
      <c r="A151" s="10">
        <v>45671</v>
      </c>
      <c r="B151" t="s">
        <v>167</v>
      </c>
      <c r="C151" t="s">
        <v>1126</v>
      </c>
      <c r="D151" t="s">
        <v>1133</v>
      </c>
      <c r="E151" t="s">
        <v>1148</v>
      </c>
      <c r="F151" t="s">
        <v>1149</v>
      </c>
      <c r="G151" t="s">
        <v>1152</v>
      </c>
      <c r="H151">
        <v>4</v>
      </c>
      <c r="I151">
        <v>79103</v>
      </c>
      <c r="J151" s="6">
        <v>5</v>
      </c>
      <c r="K151">
        <v>75147.850000000006</v>
      </c>
      <c r="L151">
        <v>300591.40000000002</v>
      </c>
      <c r="M151">
        <v>1000</v>
      </c>
      <c r="N151" t="s">
        <v>1160</v>
      </c>
      <c r="O151" t="s">
        <v>1163</v>
      </c>
      <c r="Q151" t="str">
        <f t="shared" si="6"/>
        <v>no comment</v>
      </c>
      <c r="R151">
        <f t="shared" si="7"/>
        <v>1</v>
      </c>
      <c r="S151" s="6">
        <f t="shared" si="8"/>
        <v>0</v>
      </c>
    </row>
    <row r="152" spans="1:19" x14ac:dyDescent="0.3">
      <c r="A152" s="10">
        <v>45697</v>
      </c>
      <c r="B152" t="s">
        <v>168</v>
      </c>
      <c r="C152" t="s">
        <v>1117</v>
      </c>
      <c r="D152" t="s">
        <v>1133</v>
      </c>
      <c r="E152" t="s">
        <v>1141</v>
      </c>
      <c r="F152" t="s">
        <v>1151</v>
      </c>
      <c r="G152" t="s">
        <v>1155</v>
      </c>
      <c r="H152">
        <v>1</v>
      </c>
      <c r="I152">
        <v>26789</v>
      </c>
      <c r="J152" s="6">
        <v>15</v>
      </c>
      <c r="K152">
        <v>22770.65</v>
      </c>
      <c r="L152">
        <v>22770.65</v>
      </c>
      <c r="M152">
        <v>1000</v>
      </c>
      <c r="N152" t="s">
        <v>1160</v>
      </c>
      <c r="O152" t="s">
        <v>1164</v>
      </c>
      <c r="P152" s="10">
        <v>45699</v>
      </c>
      <c r="Q152" t="str">
        <f t="shared" si="6"/>
        <v>excellent</v>
      </c>
      <c r="R152">
        <f t="shared" si="7"/>
        <v>3</v>
      </c>
      <c r="S152" s="6">
        <f t="shared" si="8"/>
        <v>2</v>
      </c>
    </row>
    <row r="153" spans="1:19" x14ac:dyDescent="0.3">
      <c r="A153" s="10">
        <v>45782</v>
      </c>
      <c r="B153" t="s">
        <v>169</v>
      </c>
      <c r="C153" t="s">
        <v>1120</v>
      </c>
      <c r="D153" t="s">
        <v>1135</v>
      </c>
      <c r="E153" t="s">
        <v>1144</v>
      </c>
      <c r="F153" t="s">
        <v>1151</v>
      </c>
      <c r="G153" t="s">
        <v>1157</v>
      </c>
      <c r="H153">
        <v>5</v>
      </c>
      <c r="I153">
        <v>40326</v>
      </c>
      <c r="J153" s="6">
        <v>0</v>
      </c>
      <c r="K153">
        <v>40326</v>
      </c>
      <c r="L153">
        <v>201630</v>
      </c>
      <c r="M153">
        <v>1000</v>
      </c>
      <c r="N153" t="s">
        <v>1160</v>
      </c>
      <c r="O153" t="s">
        <v>1163</v>
      </c>
      <c r="Q153" t="str">
        <f t="shared" si="6"/>
        <v>no comment</v>
      </c>
      <c r="R153">
        <f t="shared" si="7"/>
        <v>1</v>
      </c>
      <c r="S153" s="6">
        <f t="shared" si="8"/>
        <v>0</v>
      </c>
    </row>
    <row r="154" spans="1:19" x14ac:dyDescent="0.3">
      <c r="A154" s="10">
        <v>45736</v>
      </c>
      <c r="B154" t="s">
        <v>170</v>
      </c>
      <c r="C154" t="s">
        <v>1117</v>
      </c>
      <c r="D154" t="s">
        <v>1133</v>
      </c>
      <c r="E154" t="s">
        <v>1143</v>
      </c>
      <c r="F154" t="s">
        <v>1151</v>
      </c>
      <c r="G154" t="s">
        <v>1157</v>
      </c>
      <c r="H154">
        <v>2</v>
      </c>
      <c r="I154">
        <v>70930</v>
      </c>
      <c r="J154" s="6">
        <v>5</v>
      </c>
      <c r="K154">
        <v>67383.5</v>
      </c>
      <c r="L154">
        <v>134767</v>
      </c>
      <c r="M154">
        <v>1500</v>
      </c>
      <c r="N154" t="s">
        <v>1161</v>
      </c>
      <c r="O154" t="s">
        <v>1164</v>
      </c>
      <c r="P154" s="10">
        <v>45745</v>
      </c>
      <c r="Q154" t="str">
        <f t="shared" si="6"/>
        <v>excellent</v>
      </c>
      <c r="R154">
        <f t="shared" si="7"/>
        <v>3</v>
      </c>
      <c r="S154" s="6">
        <f t="shared" si="8"/>
        <v>9</v>
      </c>
    </row>
    <row r="155" spans="1:19" x14ac:dyDescent="0.3">
      <c r="A155" s="10">
        <v>45699</v>
      </c>
      <c r="B155" t="s">
        <v>171</v>
      </c>
      <c r="C155" t="s">
        <v>1127</v>
      </c>
      <c r="D155" t="s">
        <v>1134</v>
      </c>
      <c r="E155" t="s">
        <v>1142</v>
      </c>
      <c r="F155" t="s">
        <v>1150</v>
      </c>
      <c r="G155" t="s">
        <v>1156</v>
      </c>
      <c r="H155">
        <v>1</v>
      </c>
      <c r="I155">
        <v>75825</v>
      </c>
      <c r="J155" s="6">
        <v>5</v>
      </c>
      <c r="K155">
        <v>72033.75</v>
      </c>
      <c r="L155">
        <v>72033.75</v>
      </c>
      <c r="M155">
        <v>1000</v>
      </c>
      <c r="N155" t="s">
        <v>1159</v>
      </c>
      <c r="O155" t="s">
        <v>1164</v>
      </c>
      <c r="P155" s="10">
        <v>45704</v>
      </c>
      <c r="Q155" t="str">
        <f t="shared" si="6"/>
        <v>excellent</v>
      </c>
      <c r="R155">
        <f t="shared" si="7"/>
        <v>3</v>
      </c>
      <c r="S155" s="6">
        <f t="shared" si="8"/>
        <v>5</v>
      </c>
    </row>
    <row r="156" spans="1:19" x14ac:dyDescent="0.3">
      <c r="A156" s="10">
        <v>45801</v>
      </c>
      <c r="B156" t="s">
        <v>172</v>
      </c>
      <c r="C156" t="s">
        <v>1132</v>
      </c>
      <c r="D156" t="s">
        <v>1134</v>
      </c>
      <c r="E156" t="s">
        <v>1146</v>
      </c>
      <c r="F156" t="s">
        <v>1151</v>
      </c>
      <c r="G156" t="s">
        <v>1155</v>
      </c>
      <c r="H156">
        <v>5</v>
      </c>
      <c r="I156">
        <v>19087</v>
      </c>
      <c r="J156" s="6">
        <v>0</v>
      </c>
      <c r="K156">
        <v>19087</v>
      </c>
      <c r="L156">
        <v>95435</v>
      </c>
      <c r="M156">
        <v>1000</v>
      </c>
      <c r="N156" t="s">
        <v>1159</v>
      </c>
      <c r="O156" t="s">
        <v>1163</v>
      </c>
      <c r="Q156" t="str">
        <f t="shared" si="6"/>
        <v>no comment</v>
      </c>
      <c r="R156">
        <f t="shared" si="7"/>
        <v>1</v>
      </c>
      <c r="S156" s="6">
        <f t="shared" si="8"/>
        <v>0</v>
      </c>
    </row>
    <row r="157" spans="1:19" x14ac:dyDescent="0.3">
      <c r="A157" s="10">
        <v>45728</v>
      </c>
      <c r="B157" t="s">
        <v>173</v>
      </c>
      <c r="C157" t="s">
        <v>1128</v>
      </c>
      <c r="D157" t="s">
        <v>1135</v>
      </c>
      <c r="E157" t="s">
        <v>1139</v>
      </c>
      <c r="F157" t="s">
        <v>1150</v>
      </c>
      <c r="G157" t="s">
        <v>1154</v>
      </c>
      <c r="H157">
        <v>3</v>
      </c>
      <c r="I157">
        <v>3918</v>
      </c>
      <c r="J157" s="6">
        <v>15</v>
      </c>
      <c r="K157">
        <v>3330.3</v>
      </c>
      <c r="L157">
        <v>9990.9000000000015</v>
      </c>
      <c r="M157">
        <v>2000</v>
      </c>
      <c r="N157" t="s">
        <v>1159</v>
      </c>
      <c r="O157" t="s">
        <v>1164</v>
      </c>
      <c r="P157" s="10">
        <v>45732</v>
      </c>
      <c r="Q157" t="str">
        <f t="shared" si="6"/>
        <v>excellent</v>
      </c>
      <c r="R157">
        <f t="shared" si="7"/>
        <v>3</v>
      </c>
      <c r="S157" s="6">
        <f t="shared" si="8"/>
        <v>4</v>
      </c>
    </row>
    <row r="158" spans="1:19" x14ac:dyDescent="0.3">
      <c r="A158" s="10">
        <v>45751</v>
      </c>
      <c r="B158" t="s">
        <v>174</v>
      </c>
      <c r="C158" t="s">
        <v>1126</v>
      </c>
      <c r="D158" t="s">
        <v>1133</v>
      </c>
      <c r="E158" t="s">
        <v>1147</v>
      </c>
      <c r="F158" t="s">
        <v>1150</v>
      </c>
      <c r="G158" t="s">
        <v>1156</v>
      </c>
      <c r="H158">
        <v>4</v>
      </c>
      <c r="I158">
        <v>44036</v>
      </c>
      <c r="J158" s="6">
        <v>20</v>
      </c>
      <c r="K158">
        <v>35228.800000000003</v>
      </c>
      <c r="L158">
        <v>140915.20000000001</v>
      </c>
      <c r="M158">
        <v>2000</v>
      </c>
      <c r="N158" t="s">
        <v>1159</v>
      </c>
      <c r="O158" t="s">
        <v>1163</v>
      </c>
      <c r="Q158" t="str">
        <f t="shared" si="6"/>
        <v>no comment</v>
      </c>
      <c r="R158">
        <f t="shared" si="7"/>
        <v>1</v>
      </c>
      <c r="S158" s="6">
        <f t="shared" si="8"/>
        <v>0</v>
      </c>
    </row>
    <row r="159" spans="1:19" x14ac:dyDescent="0.3">
      <c r="A159" s="10">
        <v>45753</v>
      </c>
      <c r="B159" t="s">
        <v>175</v>
      </c>
      <c r="C159" t="s">
        <v>1123</v>
      </c>
      <c r="D159" t="s">
        <v>1135</v>
      </c>
      <c r="E159" t="s">
        <v>1137</v>
      </c>
      <c r="F159" t="s">
        <v>1149</v>
      </c>
      <c r="G159" t="s">
        <v>1152</v>
      </c>
      <c r="H159">
        <v>5</v>
      </c>
      <c r="I159">
        <v>58030</v>
      </c>
      <c r="J159" s="6">
        <v>20</v>
      </c>
      <c r="K159">
        <v>46424</v>
      </c>
      <c r="L159">
        <v>232120</v>
      </c>
      <c r="M159">
        <v>2000</v>
      </c>
      <c r="N159" t="s">
        <v>1160</v>
      </c>
      <c r="O159" t="s">
        <v>1164</v>
      </c>
      <c r="P159" s="10">
        <v>45755</v>
      </c>
      <c r="Q159" t="str">
        <f t="shared" si="6"/>
        <v>excellent</v>
      </c>
      <c r="R159">
        <f t="shared" si="7"/>
        <v>3</v>
      </c>
      <c r="S159" s="6">
        <f t="shared" si="8"/>
        <v>2</v>
      </c>
    </row>
    <row r="160" spans="1:19" x14ac:dyDescent="0.3">
      <c r="A160" s="10">
        <v>45810</v>
      </c>
      <c r="B160" t="s">
        <v>176</v>
      </c>
      <c r="C160" t="s">
        <v>1128</v>
      </c>
      <c r="D160" t="s">
        <v>1135</v>
      </c>
      <c r="E160" t="s">
        <v>1140</v>
      </c>
      <c r="F160" t="s">
        <v>1150</v>
      </c>
      <c r="G160" t="s">
        <v>1154</v>
      </c>
      <c r="H160">
        <v>2</v>
      </c>
      <c r="I160">
        <v>77749</v>
      </c>
      <c r="J160" s="6">
        <v>5</v>
      </c>
      <c r="K160">
        <v>73861.55</v>
      </c>
      <c r="L160">
        <v>147723.1</v>
      </c>
      <c r="M160">
        <v>2000</v>
      </c>
      <c r="N160" t="s">
        <v>1161</v>
      </c>
      <c r="O160" t="s">
        <v>1163</v>
      </c>
      <c r="Q160" t="str">
        <f t="shared" si="6"/>
        <v>no comment</v>
      </c>
      <c r="R160">
        <f t="shared" si="7"/>
        <v>1</v>
      </c>
      <c r="S160" s="6">
        <f t="shared" si="8"/>
        <v>0</v>
      </c>
    </row>
    <row r="161" spans="1:19" x14ac:dyDescent="0.3">
      <c r="A161" s="10">
        <v>45732</v>
      </c>
      <c r="B161" t="s">
        <v>177</v>
      </c>
      <c r="C161" t="s">
        <v>1123</v>
      </c>
      <c r="D161" t="s">
        <v>1135</v>
      </c>
      <c r="E161" t="s">
        <v>1138</v>
      </c>
      <c r="F161" t="s">
        <v>1149</v>
      </c>
      <c r="G161" t="s">
        <v>1153</v>
      </c>
      <c r="H161">
        <v>1</v>
      </c>
      <c r="I161">
        <v>27504</v>
      </c>
      <c r="J161" s="6">
        <v>20</v>
      </c>
      <c r="K161">
        <v>22003.200000000001</v>
      </c>
      <c r="L161">
        <v>22003.200000000001</v>
      </c>
      <c r="M161">
        <v>2000</v>
      </c>
      <c r="N161" t="s">
        <v>1160</v>
      </c>
      <c r="O161" t="s">
        <v>1162</v>
      </c>
      <c r="Q161" t="str">
        <f t="shared" si="6"/>
        <v>okay</v>
      </c>
      <c r="R161">
        <f t="shared" si="7"/>
        <v>2</v>
      </c>
      <c r="S161" s="6">
        <f t="shared" si="8"/>
        <v>0</v>
      </c>
    </row>
    <row r="162" spans="1:19" x14ac:dyDescent="0.3">
      <c r="A162" s="10">
        <v>45714</v>
      </c>
      <c r="B162" t="s">
        <v>178</v>
      </c>
      <c r="C162" t="s">
        <v>1125</v>
      </c>
      <c r="D162" t="s">
        <v>1133</v>
      </c>
      <c r="E162" t="s">
        <v>1143</v>
      </c>
      <c r="F162" t="s">
        <v>1151</v>
      </c>
      <c r="G162" t="s">
        <v>1157</v>
      </c>
      <c r="H162">
        <v>1</v>
      </c>
      <c r="I162">
        <v>16656</v>
      </c>
      <c r="J162" s="6">
        <v>20</v>
      </c>
      <c r="K162">
        <v>13324.8</v>
      </c>
      <c r="L162">
        <v>13324.8</v>
      </c>
      <c r="M162">
        <v>1000</v>
      </c>
      <c r="N162" t="s">
        <v>1160</v>
      </c>
      <c r="O162" t="s">
        <v>1162</v>
      </c>
      <c r="Q162" t="str">
        <f t="shared" si="6"/>
        <v>okay</v>
      </c>
      <c r="R162">
        <f t="shared" si="7"/>
        <v>2</v>
      </c>
      <c r="S162" s="6">
        <f t="shared" si="8"/>
        <v>0</v>
      </c>
    </row>
    <row r="163" spans="1:19" x14ac:dyDescent="0.3">
      <c r="A163" s="10">
        <v>45723</v>
      </c>
      <c r="B163" t="s">
        <v>179</v>
      </c>
      <c r="C163" t="s">
        <v>1132</v>
      </c>
      <c r="D163" t="s">
        <v>1134</v>
      </c>
      <c r="E163" t="s">
        <v>1141</v>
      </c>
      <c r="F163" t="s">
        <v>1151</v>
      </c>
      <c r="G163" t="s">
        <v>1155</v>
      </c>
      <c r="H163">
        <v>1</v>
      </c>
      <c r="I163">
        <v>2928</v>
      </c>
      <c r="J163" s="6">
        <v>10</v>
      </c>
      <c r="K163">
        <v>2635.2</v>
      </c>
      <c r="L163">
        <v>2635.2</v>
      </c>
      <c r="M163">
        <v>1500</v>
      </c>
      <c r="N163" t="s">
        <v>1161</v>
      </c>
      <c r="O163" t="s">
        <v>1163</v>
      </c>
      <c r="Q163" t="str">
        <f t="shared" si="6"/>
        <v>no comment</v>
      </c>
      <c r="R163">
        <f t="shared" si="7"/>
        <v>1</v>
      </c>
      <c r="S163" s="6">
        <f t="shared" si="8"/>
        <v>0</v>
      </c>
    </row>
    <row r="164" spans="1:19" x14ac:dyDescent="0.3">
      <c r="A164" s="10">
        <v>45686</v>
      </c>
      <c r="B164" t="s">
        <v>180</v>
      </c>
      <c r="C164" t="s">
        <v>1117</v>
      </c>
      <c r="D164" t="s">
        <v>1133</v>
      </c>
      <c r="E164" t="s">
        <v>1139</v>
      </c>
      <c r="F164" t="s">
        <v>1150</v>
      </c>
      <c r="G164" t="s">
        <v>1154</v>
      </c>
      <c r="H164">
        <v>2</v>
      </c>
      <c r="I164">
        <v>69402</v>
      </c>
      <c r="J164" s="6">
        <v>20</v>
      </c>
      <c r="K164">
        <v>55521.599999999999</v>
      </c>
      <c r="L164">
        <v>111043.2</v>
      </c>
      <c r="M164">
        <v>1000</v>
      </c>
      <c r="N164" t="s">
        <v>1160</v>
      </c>
      <c r="O164" t="s">
        <v>1163</v>
      </c>
      <c r="Q164" t="str">
        <f t="shared" si="6"/>
        <v>no comment</v>
      </c>
      <c r="R164">
        <f t="shared" si="7"/>
        <v>1</v>
      </c>
      <c r="S164" s="6">
        <f t="shared" si="8"/>
        <v>0</v>
      </c>
    </row>
    <row r="165" spans="1:19" x14ac:dyDescent="0.3">
      <c r="A165" s="10">
        <v>45693</v>
      </c>
      <c r="B165" t="s">
        <v>181</v>
      </c>
      <c r="C165" t="s">
        <v>1122</v>
      </c>
      <c r="D165" t="s">
        <v>1136</v>
      </c>
      <c r="E165" t="s">
        <v>1147</v>
      </c>
      <c r="F165" t="s">
        <v>1150</v>
      </c>
      <c r="G165" t="s">
        <v>1156</v>
      </c>
      <c r="H165">
        <v>5</v>
      </c>
      <c r="I165">
        <v>12156</v>
      </c>
      <c r="J165" s="6">
        <v>15</v>
      </c>
      <c r="K165">
        <v>10332.6</v>
      </c>
      <c r="L165">
        <v>51663</v>
      </c>
      <c r="M165">
        <v>2000</v>
      </c>
      <c r="N165" t="s">
        <v>1160</v>
      </c>
      <c r="O165" t="s">
        <v>1164</v>
      </c>
      <c r="P165" s="10">
        <v>45703</v>
      </c>
      <c r="Q165" t="str">
        <f t="shared" si="6"/>
        <v>excellent</v>
      </c>
      <c r="R165">
        <f t="shared" si="7"/>
        <v>3</v>
      </c>
      <c r="S165" s="6">
        <f t="shared" si="8"/>
        <v>10</v>
      </c>
    </row>
    <row r="166" spans="1:19" x14ac:dyDescent="0.3">
      <c r="A166" s="10">
        <v>45729</v>
      </c>
      <c r="B166" t="s">
        <v>182</v>
      </c>
      <c r="C166" t="s">
        <v>1123</v>
      </c>
      <c r="D166" t="s">
        <v>1135</v>
      </c>
      <c r="E166" t="s">
        <v>1141</v>
      </c>
      <c r="F166" t="s">
        <v>1151</v>
      </c>
      <c r="G166" t="s">
        <v>1155</v>
      </c>
      <c r="H166">
        <v>4</v>
      </c>
      <c r="I166">
        <v>70482</v>
      </c>
      <c r="J166" s="6">
        <v>15</v>
      </c>
      <c r="K166">
        <v>59909.7</v>
      </c>
      <c r="L166">
        <v>239638.8</v>
      </c>
      <c r="M166">
        <v>1000</v>
      </c>
      <c r="N166" t="s">
        <v>1161</v>
      </c>
      <c r="O166" t="s">
        <v>1164</v>
      </c>
      <c r="P166" s="10">
        <v>45734</v>
      </c>
      <c r="Q166" t="str">
        <f t="shared" si="6"/>
        <v>excellent</v>
      </c>
      <c r="R166">
        <f t="shared" si="7"/>
        <v>3</v>
      </c>
      <c r="S166" s="6">
        <f t="shared" si="8"/>
        <v>5</v>
      </c>
    </row>
    <row r="167" spans="1:19" x14ac:dyDescent="0.3">
      <c r="A167" s="10">
        <v>45722</v>
      </c>
      <c r="B167" t="s">
        <v>183</v>
      </c>
      <c r="C167" t="s">
        <v>1124</v>
      </c>
      <c r="D167" t="s">
        <v>1135</v>
      </c>
      <c r="E167" t="s">
        <v>1145</v>
      </c>
      <c r="F167" t="s">
        <v>1149</v>
      </c>
      <c r="G167" t="s">
        <v>1153</v>
      </c>
      <c r="H167">
        <v>1</v>
      </c>
      <c r="I167">
        <v>54425</v>
      </c>
      <c r="J167" s="6">
        <v>5</v>
      </c>
      <c r="K167">
        <v>51703.75</v>
      </c>
      <c r="L167">
        <v>51703.75</v>
      </c>
      <c r="M167">
        <v>2000</v>
      </c>
      <c r="N167" t="s">
        <v>1159</v>
      </c>
      <c r="O167" t="s">
        <v>1162</v>
      </c>
      <c r="Q167" t="str">
        <f t="shared" si="6"/>
        <v>okay</v>
      </c>
      <c r="R167">
        <f t="shared" si="7"/>
        <v>2</v>
      </c>
      <c r="S167" s="6">
        <f t="shared" si="8"/>
        <v>0</v>
      </c>
    </row>
    <row r="168" spans="1:19" x14ac:dyDescent="0.3">
      <c r="A168" s="10">
        <v>45676</v>
      </c>
      <c r="B168" t="s">
        <v>184</v>
      </c>
      <c r="C168" t="s">
        <v>1119</v>
      </c>
      <c r="D168" t="s">
        <v>1134</v>
      </c>
      <c r="E168" t="s">
        <v>1143</v>
      </c>
      <c r="F168" t="s">
        <v>1151</v>
      </c>
      <c r="G168" t="s">
        <v>1157</v>
      </c>
      <c r="H168">
        <v>1</v>
      </c>
      <c r="I168">
        <v>41729</v>
      </c>
      <c r="J168" s="6">
        <v>5</v>
      </c>
      <c r="K168">
        <v>39642.550000000003</v>
      </c>
      <c r="L168">
        <v>39642.550000000003</v>
      </c>
      <c r="M168">
        <v>2000</v>
      </c>
      <c r="N168" t="s">
        <v>1160</v>
      </c>
      <c r="O168" t="s">
        <v>1164</v>
      </c>
      <c r="P168" s="10">
        <v>45684</v>
      </c>
      <c r="Q168" t="str">
        <f t="shared" si="6"/>
        <v>excellent</v>
      </c>
      <c r="R168">
        <f t="shared" si="7"/>
        <v>3</v>
      </c>
      <c r="S168" s="6">
        <f t="shared" si="8"/>
        <v>8</v>
      </c>
    </row>
    <row r="169" spans="1:19" x14ac:dyDescent="0.3">
      <c r="A169" s="10">
        <v>45703</v>
      </c>
      <c r="B169" t="s">
        <v>185</v>
      </c>
      <c r="C169" t="s">
        <v>1119</v>
      </c>
      <c r="D169" t="s">
        <v>1134</v>
      </c>
      <c r="E169" t="s">
        <v>1143</v>
      </c>
      <c r="F169" t="s">
        <v>1151</v>
      </c>
      <c r="G169" t="s">
        <v>1157</v>
      </c>
      <c r="H169">
        <v>2</v>
      </c>
      <c r="I169">
        <v>43711</v>
      </c>
      <c r="J169" s="6">
        <v>20</v>
      </c>
      <c r="K169">
        <v>34968.800000000003</v>
      </c>
      <c r="L169">
        <v>69937.600000000006</v>
      </c>
      <c r="M169">
        <v>2000</v>
      </c>
      <c r="N169" t="s">
        <v>1161</v>
      </c>
      <c r="O169" t="s">
        <v>1163</v>
      </c>
      <c r="Q169" t="str">
        <f t="shared" si="6"/>
        <v>no comment</v>
      </c>
      <c r="R169">
        <f t="shared" si="7"/>
        <v>1</v>
      </c>
      <c r="S169" s="6">
        <f t="shared" si="8"/>
        <v>0</v>
      </c>
    </row>
    <row r="170" spans="1:19" x14ac:dyDescent="0.3">
      <c r="A170" s="10">
        <v>45825</v>
      </c>
      <c r="B170" t="s">
        <v>186</v>
      </c>
      <c r="C170" t="s">
        <v>1117</v>
      </c>
      <c r="D170" t="s">
        <v>1133</v>
      </c>
      <c r="E170" t="s">
        <v>1139</v>
      </c>
      <c r="F170" t="s">
        <v>1150</v>
      </c>
      <c r="G170" t="s">
        <v>1154</v>
      </c>
      <c r="H170">
        <v>4</v>
      </c>
      <c r="I170">
        <v>16156</v>
      </c>
      <c r="J170" s="6">
        <v>15</v>
      </c>
      <c r="K170">
        <v>13732.6</v>
      </c>
      <c r="L170">
        <v>54930.400000000001</v>
      </c>
      <c r="M170">
        <v>1500</v>
      </c>
      <c r="N170" t="s">
        <v>1160</v>
      </c>
      <c r="O170" t="s">
        <v>1163</v>
      </c>
      <c r="Q170" t="str">
        <f t="shared" si="6"/>
        <v>no comment</v>
      </c>
      <c r="R170">
        <f t="shared" si="7"/>
        <v>1</v>
      </c>
      <c r="S170" s="6">
        <f t="shared" si="8"/>
        <v>0</v>
      </c>
    </row>
    <row r="171" spans="1:19" x14ac:dyDescent="0.3">
      <c r="A171" s="10">
        <v>45730</v>
      </c>
      <c r="B171" t="s">
        <v>187</v>
      </c>
      <c r="C171" t="s">
        <v>1117</v>
      </c>
      <c r="D171" t="s">
        <v>1133</v>
      </c>
      <c r="E171" t="s">
        <v>1140</v>
      </c>
      <c r="F171" t="s">
        <v>1150</v>
      </c>
      <c r="G171" t="s">
        <v>1154</v>
      </c>
      <c r="H171">
        <v>4</v>
      </c>
      <c r="I171">
        <v>71780</v>
      </c>
      <c r="J171" s="6">
        <v>10</v>
      </c>
      <c r="K171">
        <v>64602</v>
      </c>
      <c r="L171">
        <v>258408</v>
      </c>
      <c r="M171">
        <v>1000</v>
      </c>
      <c r="N171" t="s">
        <v>1159</v>
      </c>
      <c r="O171" t="s">
        <v>1163</v>
      </c>
      <c r="Q171" t="str">
        <f t="shared" si="6"/>
        <v>no comment</v>
      </c>
      <c r="R171">
        <f t="shared" si="7"/>
        <v>1</v>
      </c>
      <c r="S171" s="6">
        <f t="shared" si="8"/>
        <v>0</v>
      </c>
    </row>
    <row r="172" spans="1:19" x14ac:dyDescent="0.3">
      <c r="A172" s="10">
        <v>45706</v>
      </c>
      <c r="B172" t="s">
        <v>188</v>
      </c>
      <c r="C172" t="s">
        <v>1122</v>
      </c>
      <c r="D172" t="s">
        <v>1136</v>
      </c>
      <c r="E172" t="s">
        <v>1144</v>
      </c>
      <c r="F172" t="s">
        <v>1151</v>
      </c>
      <c r="G172" t="s">
        <v>1157</v>
      </c>
      <c r="H172">
        <v>3</v>
      </c>
      <c r="I172">
        <v>46573</v>
      </c>
      <c r="J172" s="6">
        <v>0</v>
      </c>
      <c r="K172">
        <v>46573</v>
      </c>
      <c r="L172">
        <v>139719</v>
      </c>
      <c r="M172">
        <v>2000</v>
      </c>
      <c r="N172" t="s">
        <v>1159</v>
      </c>
      <c r="O172" t="s">
        <v>1164</v>
      </c>
      <c r="P172" s="10">
        <v>45714</v>
      </c>
      <c r="Q172" t="str">
        <f t="shared" si="6"/>
        <v>excellent</v>
      </c>
      <c r="R172">
        <f t="shared" si="7"/>
        <v>3</v>
      </c>
      <c r="S172" s="6">
        <f t="shared" si="8"/>
        <v>8</v>
      </c>
    </row>
    <row r="173" spans="1:19" x14ac:dyDescent="0.3">
      <c r="A173" s="10">
        <v>45692</v>
      </c>
      <c r="B173" t="s">
        <v>189</v>
      </c>
      <c r="C173" t="s">
        <v>1126</v>
      </c>
      <c r="D173" t="s">
        <v>1133</v>
      </c>
      <c r="E173" t="s">
        <v>1144</v>
      </c>
      <c r="F173" t="s">
        <v>1151</v>
      </c>
      <c r="G173" t="s">
        <v>1157</v>
      </c>
      <c r="H173">
        <v>2</v>
      </c>
      <c r="I173">
        <v>62311</v>
      </c>
      <c r="J173" s="6">
        <v>15</v>
      </c>
      <c r="K173">
        <v>52964.35</v>
      </c>
      <c r="L173">
        <v>105928.7</v>
      </c>
      <c r="M173">
        <v>1000</v>
      </c>
      <c r="N173" t="s">
        <v>1159</v>
      </c>
      <c r="O173" t="s">
        <v>1164</v>
      </c>
      <c r="P173" s="10">
        <v>45700</v>
      </c>
      <c r="Q173" t="str">
        <f t="shared" si="6"/>
        <v>excellent</v>
      </c>
      <c r="R173">
        <f t="shared" si="7"/>
        <v>3</v>
      </c>
      <c r="S173" s="6">
        <f t="shared" si="8"/>
        <v>8</v>
      </c>
    </row>
    <row r="174" spans="1:19" x14ac:dyDescent="0.3">
      <c r="A174" s="10">
        <v>45667</v>
      </c>
      <c r="B174" t="s">
        <v>190</v>
      </c>
      <c r="C174" t="s">
        <v>1118</v>
      </c>
      <c r="D174" t="s">
        <v>1134</v>
      </c>
      <c r="E174" t="s">
        <v>1146</v>
      </c>
      <c r="F174" t="s">
        <v>1151</v>
      </c>
      <c r="G174" t="s">
        <v>1155</v>
      </c>
      <c r="H174">
        <v>3</v>
      </c>
      <c r="I174">
        <v>44525</v>
      </c>
      <c r="J174" s="6">
        <v>20</v>
      </c>
      <c r="K174">
        <v>35620</v>
      </c>
      <c r="L174">
        <v>106860</v>
      </c>
      <c r="M174">
        <v>1000</v>
      </c>
      <c r="N174" t="s">
        <v>1161</v>
      </c>
      <c r="O174" t="s">
        <v>1162</v>
      </c>
      <c r="Q174" t="str">
        <f t="shared" si="6"/>
        <v>okay</v>
      </c>
      <c r="R174">
        <f t="shared" si="7"/>
        <v>2</v>
      </c>
      <c r="S174" s="6">
        <f t="shared" si="8"/>
        <v>0</v>
      </c>
    </row>
    <row r="175" spans="1:19" x14ac:dyDescent="0.3">
      <c r="A175" s="10">
        <v>45759</v>
      </c>
      <c r="B175" t="s">
        <v>191</v>
      </c>
      <c r="C175" t="s">
        <v>1129</v>
      </c>
      <c r="D175" t="s">
        <v>1133</v>
      </c>
      <c r="E175" t="s">
        <v>1148</v>
      </c>
      <c r="F175" t="s">
        <v>1149</v>
      </c>
      <c r="G175" t="s">
        <v>1152</v>
      </c>
      <c r="H175">
        <v>2</v>
      </c>
      <c r="I175">
        <v>21279</v>
      </c>
      <c r="J175" s="6">
        <v>10</v>
      </c>
      <c r="K175">
        <v>19151.099999999999</v>
      </c>
      <c r="L175">
        <v>38302.199999999997</v>
      </c>
      <c r="M175">
        <v>1500</v>
      </c>
      <c r="N175" t="s">
        <v>1161</v>
      </c>
      <c r="O175" t="s">
        <v>1162</v>
      </c>
      <c r="Q175" t="str">
        <f t="shared" si="6"/>
        <v>okay</v>
      </c>
      <c r="R175">
        <f t="shared" si="7"/>
        <v>2</v>
      </c>
      <c r="S175" s="6">
        <f t="shared" si="8"/>
        <v>0</v>
      </c>
    </row>
    <row r="176" spans="1:19" x14ac:dyDescent="0.3">
      <c r="A176" s="10">
        <v>45752</v>
      </c>
      <c r="B176" t="s">
        <v>192</v>
      </c>
      <c r="C176" t="s">
        <v>1130</v>
      </c>
      <c r="D176" t="s">
        <v>1136</v>
      </c>
      <c r="E176" t="s">
        <v>1143</v>
      </c>
      <c r="F176" t="s">
        <v>1151</v>
      </c>
      <c r="G176" t="s">
        <v>1157</v>
      </c>
      <c r="H176">
        <v>1</v>
      </c>
      <c r="I176">
        <v>34325</v>
      </c>
      <c r="J176" s="6">
        <v>0</v>
      </c>
      <c r="K176">
        <v>34325</v>
      </c>
      <c r="L176">
        <v>34325</v>
      </c>
      <c r="M176">
        <v>2000</v>
      </c>
      <c r="N176" t="s">
        <v>1160</v>
      </c>
      <c r="O176" t="s">
        <v>1162</v>
      </c>
      <c r="Q176" t="str">
        <f t="shared" si="6"/>
        <v>okay</v>
      </c>
      <c r="R176">
        <f t="shared" si="7"/>
        <v>2</v>
      </c>
      <c r="S176" s="6">
        <f t="shared" si="8"/>
        <v>0</v>
      </c>
    </row>
    <row r="177" spans="1:19" x14ac:dyDescent="0.3">
      <c r="A177" s="10">
        <v>45726</v>
      </c>
      <c r="B177" t="s">
        <v>193</v>
      </c>
      <c r="C177" t="s">
        <v>1126</v>
      </c>
      <c r="D177" t="s">
        <v>1133</v>
      </c>
      <c r="E177" t="s">
        <v>1139</v>
      </c>
      <c r="F177" t="s">
        <v>1150</v>
      </c>
      <c r="G177" t="s">
        <v>1154</v>
      </c>
      <c r="H177">
        <v>5</v>
      </c>
      <c r="I177">
        <v>67122</v>
      </c>
      <c r="J177" s="6">
        <v>10</v>
      </c>
      <c r="K177">
        <v>60409.8</v>
      </c>
      <c r="L177">
        <v>302049</v>
      </c>
      <c r="M177">
        <v>2000</v>
      </c>
      <c r="N177" t="s">
        <v>1160</v>
      </c>
      <c r="O177" t="s">
        <v>1163</v>
      </c>
      <c r="Q177" t="str">
        <f t="shared" si="6"/>
        <v>no comment</v>
      </c>
      <c r="R177">
        <f t="shared" si="7"/>
        <v>1</v>
      </c>
      <c r="S177" s="6">
        <f t="shared" si="8"/>
        <v>0</v>
      </c>
    </row>
    <row r="178" spans="1:19" x14ac:dyDescent="0.3">
      <c r="A178" s="10">
        <v>45770</v>
      </c>
      <c r="B178" t="s">
        <v>194</v>
      </c>
      <c r="C178" t="s">
        <v>1129</v>
      </c>
      <c r="D178" t="s">
        <v>1133</v>
      </c>
      <c r="E178" t="s">
        <v>1137</v>
      </c>
      <c r="F178" t="s">
        <v>1149</v>
      </c>
      <c r="G178" t="s">
        <v>1152</v>
      </c>
      <c r="H178">
        <v>5</v>
      </c>
      <c r="I178">
        <v>31300</v>
      </c>
      <c r="J178" s="6">
        <v>20</v>
      </c>
      <c r="K178">
        <v>25040</v>
      </c>
      <c r="L178">
        <v>125200</v>
      </c>
      <c r="M178">
        <v>1000</v>
      </c>
      <c r="N178" t="s">
        <v>1159</v>
      </c>
      <c r="O178" t="s">
        <v>1163</v>
      </c>
      <c r="Q178" t="str">
        <f t="shared" si="6"/>
        <v>no comment</v>
      </c>
      <c r="R178">
        <f t="shared" si="7"/>
        <v>1</v>
      </c>
      <c r="S178" s="6">
        <f t="shared" si="8"/>
        <v>0</v>
      </c>
    </row>
    <row r="179" spans="1:19" x14ac:dyDescent="0.3">
      <c r="A179" s="10">
        <v>45720</v>
      </c>
      <c r="B179" t="s">
        <v>195</v>
      </c>
      <c r="C179" t="s">
        <v>1123</v>
      </c>
      <c r="D179" t="s">
        <v>1135</v>
      </c>
      <c r="E179" t="s">
        <v>1140</v>
      </c>
      <c r="F179" t="s">
        <v>1150</v>
      </c>
      <c r="G179" t="s">
        <v>1154</v>
      </c>
      <c r="H179">
        <v>2</v>
      </c>
      <c r="I179">
        <v>52464</v>
      </c>
      <c r="J179" s="6">
        <v>20</v>
      </c>
      <c r="K179">
        <v>41971.199999999997</v>
      </c>
      <c r="L179">
        <v>83942.399999999994</v>
      </c>
      <c r="M179">
        <v>1500</v>
      </c>
      <c r="N179" t="s">
        <v>1161</v>
      </c>
      <c r="O179" t="s">
        <v>1163</v>
      </c>
      <c r="Q179" t="str">
        <f t="shared" si="6"/>
        <v>no comment</v>
      </c>
      <c r="R179">
        <f t="shared" si="7"/>
        <v>1</v>
      </c>
      <c r="S179" s="6">
        <f t="shared" si="8"/>
        <v>0</v>
      </c>
    </row>
    <row r="180" spans="1:19" x14ac:dyDescent="0.3">
      <c r="A180" s="10">
        <v>45833</v>
      </c>
      <c r="B180" t="s">
        <v>196</v>
      </c>
      <c r="C180" t="s">
        <v>1131</v>
      </c>
      <c r="D180" t="s">
        <v>1136</v>
      </c>
      <c r="E180" t="s">
        <v>1146</v>
      </c>
      <c r="F180" t="s">
        <v>1151</v>
      </c>
      <c r="G180" t="s">
        <v>1155</v>
      </c>
      <c r="H180">
        <v>1</v>
      </c>
      <c r="I180">
        <v>28696</v>
      </c>
      <c r="J180" s="6">
        <v>15</v>
      </c>
      <c r="K180">
        <v>24391.599999999999</v>
      </c>
      <c r="L180">
        <v>24391.599999999999</v>
      </c>
      <c r="M180">
        <v>1000</v>
      </c>
      <c r="N180" t="s">
        <v>1161</v>
      </c>
      <c r="O180" t="s">
        <v>1164</v>
      </c>
      <c r="P180" s="10">
        <v>45838</v>
      </c>
      <c r="Q180" t="str">
        <f t="shared" si="6"/>
        <v>excellent</v>
      </c>
      <c r="R180">
        <f t="shared" si="7"/>
        <v>3</v>
      </c>
      <c r="S180" s="6">
        <f t="shared" si="8"/>
        <v>5</v>
      </c>
    </row>
    <row r="181" spans="1:19" x14ac:dyDescent="0.3">
      <c r="A181" s="10">
        <v>45675</v>
      </c>
      <c r="B181" t="s">
        <v>197</v>
      </c>
      <c r="C181" t="s">
        <v>1123</v>
      </c>
      <c r="D181" t="s">
        <v>1135</v>
      </c>
      <c r="E181" t="s">
        <v>1147</v>
      </c>
      <c r="F181" t="s">
        <v>1150</v>
      </c>
      <c r="G181" t="s">
        <v>1156</v>
      </c>
      <c r="H181">
        <v>2</v>
      </c>
      <c r="I181">
        <v>42566</v>
      </c>
      <c r="J181" s="6">
        <v>5</v>
      </c>
      <c r="K181">
        <v>40437.699999999997</v>
      </c>
      <c r="L181">
        <v>80875.399999999994</v>
      </c>
      <c r="M181">
        <v>1000</v>
      </c>
      <c r="N181" t="s">
        <v>1160</v>
      </c>
      <c r="O181" t="s">
        <v>1163</v>
      </c>
      <c r="Q181" t="str">
        <f t="shared" si="6"/>
        <v>no comment</v>
      </c>
      <c r="R181">
        <f t="shared" si="7"/>
        <v>1</v>
      </c>
      <c r="S181" s="6">
        <f t="shared" si="8"/>
        <v>0</v>
      </c>
    </row>
    <row r="182" spans="1:19" x14ac:dyDescent="0.3">
      <c r="A182" s="10">
        <v>45679</v>
      </c>
      <c r="B182" t="s">
        <v>198</v>
      </c>
      <c r="C182" t="s">
        <v>1131</v>
      </c>
      <c r="D182" t="s">
        <v>1136</v>
      </c>
      <c r="E182" t="s">
        <v>1148</v>
      </c>
      <c r="F182" t="s">
        <v>1149</v>
      </c>
      <c r="G182" t="s">
        <v>1152</v>
      </c>
      <c r="H182">
        <v>4</v>
      </c>
      <c r="I182">
        <v>46112</v>
      </c>
      <c r="J182" s="6">
        <v>0</v>
      </c>
      <c r="K182">
        <v>46112</v>
      </c>
      <c r="L182">
        <v>184448</v>
      </c>
      <c r="M182">
        <v>1000</v>
      </c>
      <c r="N182" t="s">
        <v>1159</v>
      </c>
      <c r="O182" t="s">
        <v>1164</v>
      </c>
      <c r="P182" s="10">
        <v>45692</v>
      </c>
      <c r="Q182" t="str">
        <f t="shared" si="6"/>
        <v>excellent</v>
      </c>
      <c r="R182">
        <f t="shared" si="7"/>
        <v>3</v>
      </c>
      <c r="S182" s="6">
        <f t="shared" si="8"/>
        <v>13</v>
      </c>
    </row>
    <row r="183" spans="1:19" x14ac:dyDescent="0.3">
      <c r="A183" s="10">
        <v>45722</v>
      </c>
      <c r="B183" t="s">
        <v>199</v>
      </c>
      <c r="C183" t="s">
        <v>1127</v>
      </c>
      <c r="D183" t="s">
        <v>1134</v>
      </c>
      <c r="E183" t="s">
        <v>1148</v>
      </c>
      <c r="F183" t="s">
        <v>1149</v>
      </c>
      <c r="G183" t="s">
        <v>1152</v>
      </c>
      <c r="H183">
        <v>1</v>
      </c>
      <c r="I183">
        <v>53823</v>
      </c>
      <c r="J183" s="6">
        <v>10</v>
      </c>
      <c r="K183">
        <v>48440.7</v>
      </c>
      <c r="L183">
        <v>48440.7</v>
      </c>
      <c r="M183">
        <v>2000</v>
      </c>
      <c r="N183" t="s">
        <v>1160</v>
      </c>
      <c r="O183" t="s">
        <v>1162</v>
      </c>
      <c r="Q183" t="str">
        <f t="shared" si="6"/>
        <v>okay</v>
      </c>
      <c r="R183">
        <f t="shared" si="7"/>
        <v>2</v>
      </c>
      <c r="S183" s="6">
        <f t="shared" si="8"/>
        <v>0</v>
      </c>
    </row>
    <row r="184" spans="1:19" x14ac:dyDescent="0.3">
      <c r="A184" s="10">
        <v>45815</v>
      </c>
      <c r="B184" t="s">
        <v>200</v>
      </c>
      <c r="C184" t="s">
        <v>1123</v>
      </c>
      <c r="D184" t="s">
        <v>1135</v>
      </c>
      <c r="E184" t="s">
        <v>1140</v>
      </c>
      <c r="F184" t="s">
        <v>1150</v>
      </c>
      <c r="G184" t="s">
        <v>1154</v>
      </c>
      <c r="H184">
        <v>4</v>
      </c>
      <c r="I184">
        <v>8666</v>
      </c>
      <c r="J184" s="6">
        <v>0</v>
      </c>
      <c r="K184">
        <v>8666</v>
      </c>
      <c r="L184">
        <v>34664</v>
      </c>
      <c r="M184">
        <v>2000</v>
      </c>
      <c r="N184" t="s">
        <v>1160</v>
      </c>
      <c r="O184" t="s">
        <v>1163</v>
      </c>
      <c r="Q184" t="str">
        <f t="shared" si="6"/>
        <v>no comment</v>
      </c>
      <c r="R184">
        <f t="shared" si="7"/>
        <v>1</v>
      </c>
      <c r="S184" s="6">
        <f t="shared" si="8"/>
        <v>0</v>
      </c>
    </row>
    <row r="185" spans="1:19" x14ac:dyDescent="0.3">
      <c r="A185" s="10">
        <v>45834</v>
      </c>
      <c r="B185" t="s">
        <v>201</v>
      </c>
      <c r="C185" t="s">
        <v>1127</v>
      </c>
      <c r="D185" t="s">
        <v>1134</v>
      </c>
      <c r="E185" t="s">
        <v>1140</v>
      </c>
      <c r="F185" t="s">
        <v>1150</v>
      </c>
      <c r="G185" t="s">
        <v>1154</v>
      </c>
      <c r="H185">
        <v>4</v>
      </c>
      <c r="I185">
        <v>56273</v>
      </c>
      <c r="J185" s="6">
        <v>15</v>
      </c>
      <c r="K185">
        <v>47832.05</v>
      </c>
      <c r="L185">
        <v>191328.2</v>
      </c>
      <c r="M185">
        <v>1000</v>
      </c>
      <c r="N185" t="s">
        <v>1161</v>
      </c>
      <c r="O185" t="s">
        <v>1163</v>
      </c>
      <c r="Q185" t="str">
        <f t="shared" si="6"/>
        <v>no comment</v>
      </c>
      <c r="R185">
        <f t="shared" si="7"/>
        <v>1</v>
      </c>
      <c r="S185" s="6">
        <f t="shared" si="8"/>
        <v>0</v>
      </c>
    </row>
    <row r="186" spans="1:19" x14ac:dyDescent="0.3">
      <c r="A186" s="10">
        <v>45699</v>
      </c>
      <c r="B186" t="s">
        <v>202</v>
      </c>
      <c r="C186" t="s">
        <v>1126</v>
      </c>
      <c r="D186" t="s">
        <v>1133</v>
      </c>
      <c r="E186" t="s">
        <v>1138</v>
      </c>
      <c r="F186" t="s">
        <v>1149</v>
      </c>
      <c r="G186" t="s">
        <v>1153</v>
      </c>
      <c r="H186">
        <v>3</v>
      </c>
      <c r="I186">
        <v>1606</v>
      </c>
      <c r="J186" s="6">
        <v>15</v>
      </c>
      <c r="K186">
        <v>1365.1</v>
      </c>
      <c r="L186">
        <v>4095.3</v>
      </c>
      <c r="M186">
        <v>2000</v>
      </c>
      <c r="N186" t="s">
        <v>1161</v>
      </c>
      <c r="O186" t="s">
        <v>1162</v>
      </c>
      <c r="Q186" t="str">
        <f t="shared" si="6"/>
        <v>okay</v>
      </c>
      <c r="R186">
        <f t="shared" si="7"/>
        <v>2</v>
      </c>
      <c r="S186" s="6">
        <f t="shared" si="8"/>
        <v>0</v>
      </c>
    </row>
    <row r="187" spans="1:19" x14ac:dyDescent="0.3">
      <c r="A187" s="10">
        <v>45659</v>
      </c>
      <c r="B187" t="s">
        <v>203</v>
      </c>
      <c r="C187" t="s">
        <v>1117</v>
      </c>
      <c r="D187" t="s">
        <v>1133</v>
      </c>
      <c r="E187" t="s">
        <v>1137</v>
      </c>
      <c r="F187" t="s">
        <v>1149</v>
      </c>
      <c r="G187" t="s">
        <v>1152</v>
      </c>
      <c r="H187">
        <v>2</v>
      </c>
      <c r="I187">
        <v>29426</v>
      </c>
      <c r="J187" s="6">
        <v>5</v>
      </c>
      <c r="K187">
        <v>27954.7</v>
      </c>
      <c r="L187">
        <v>55909.4</v>
      </c>
      <c r="M187">
        <v>1500</v>
      </c>
      <c r="N187" t="s">
        <v>1159</v>
      </c>
      <c r="O187" t="s">
        <v>1163</v>
      </c>
      <c r="Q187" t="str">
        <f t="shared" si="6"/>
        <v>no comment</v>
      </c>
      <c r="R187">
        <f t="shared" si="7"/>
        <v>1</v>
      </c>
      <c r="S187" s="6">
        <f t="shared" si="8"/>
        <v>0</v>
      </c>
    </row>
    <row r="188" spans="1:19" x14ac:dyDescent="0.3">
      <c r="A188" s="10">
        <v>45761</v>
      </c>
      <c r="B188" t="s">
        <v>204</v>
      </c>
      <c r="C188" t="s">
        <v>1129</v>
      </c>
      <c r="D188" t="s">
        <v>1133</v>
      </c>
      <c r="E188" t="s">
        <v>1145</v>
      </c>
      <c r="F188" t="s">
        <v>1149</v>
      </c>
      <c r="G188" t="s">
        <v>1153</v>
      </c>
      <c r="H188">
        <v>2</v>
      </c>
      <c r="I188">
        <v>42410</v>
      </c>
      <c r="J188" s="6">
        <v>0</v>
      </c>
      <c r="K188">
        <v>42410</v>
      </c>
      <c r="L188">
        <v>84820</v>
      </c>
      <c r="M188">
        <v>1500</v>
      </c>
      <c r="N188" t="s">
        <v>1159</v>
      </c>
      <c r="O188" t="s">
        <v>1164</v>
      </c>
      <c r="P188" s="10">
        <v>45763</v>
      </c>
      <c r="Q188" t="str">
        <f t="shared" si="6"/>
        <v>excellent</v>
      </c>
      <c r="R188">
        <f t="shared" si="7"/>
        <v>3</v>
      </c>
      <c r="S188" s="6">
        <f t="shared" si="8"/>
        <v>2</v>
      </c>
    </row>
    <row r="189" spans="1:19" x14ac:dyDescent="0.3">
      <c r="A189" s="10">
        <v>45668</v>
      </c>
      <c r="B189" t="s">
        <v>205</v>
      </c>
      <c r="C189" t="s">
        <v>1119</v>
      </c>
      <c r="D189" t="s">
        <v>1134</v>
      </c>
      <c r="E189" t="s">
        <v>1148</v>
      </c>
      <c r="F189" t="s">
        <v>1149</v>
      </c>
      <c r="G189" t="s">
        <v>1152</v>
      </c>
      <c r="H189">
        <v>2</v>
      </c>
      <c r="I189">
        <v>10277</v>
      </c>
      <c r="J189" s="6">
        <v>10</v>
      </c>
      <c r="K189">
        <v>9249.2999999999993</v>
      </c>
      <c r="L189">
        <v>18498.599999999999</v>
      </c>
      <c r="M189">
        <v>1500</v>
      </c>
      <c r="N189" t="s">
        <v>1161</v>
      </c>
      <c r="O189" t="s">
        <v>1163</v>
      </c>
      <c r="Q189" t="str">
        <f t="shared" si="6"/>
        <v>no comment</v>
      </c>
      <c r="R189">
        <f t="shared" si="7"/>
        <v>1</v>
      </c>
      <c r="S189" s="6">
        <f t="shared" si="8"/>
        <v>0</v>
      </c>
    </row>
    <row r="190" spans="1:19" x14ac:dyDescent="0.3">
      <c r="A190" s="10">
        <v>45749</v>
      </c>
      <c r="B190" t="s">
        <v>206</v>
      </c>
      <c r="C190" t="s">
        <v>1125</v>
      </c>
      <c r="D190" t="s">
        <v>1133</v>
      </c>
      <c r="E190" t="s">
        <v>1142</v>
      </c>
      <c r="F190" t="s">
        <v>1150</v>
      </c>
      <c r="G190" t="s">
        <v>1156</v>
      </c>
      <c r="H190">
        <v>2</v>
      </c>
      <c r="I190">
        <v>69815</v>
      </c>
      <c r="J190" s="6">
        <v>15</v>
      </c>
      <c r="K190">
        <v>59342.75</v>
      </c>
      <c r="L190">
        <v>118685.5</v>
      </c>
      <c r="M190">
        <v>2000</v>
      </c>
      <c r="N190" t="s">
        <v>1159</v>
      </c>
      <c r="O190" t="s">
        <v>1164</v>
      </c>
      <c r="P190" s="10">
        <v>45755</v>
      </c>
      <c r="Q190" t="str">
        <f t="shared" si="6"/>
        <v>excellent</v>
      </c>
      <c r="R190">
        <f t="shared" si="7"/>
        <v>3</v>
      </c>
      <c r="S190" s="6">
        <f t="shared" si="8"/>
        <v>6</v>
      </c>
    </row>
    <row r="191" spans="1:19" x14ac:dyDescent="0.3">
      <c r="A191" s="10">
        <v>45792</v>
      </c>
      <c r="B191" t="s">
        <v>207</v>
      </c>
      <c r="C191" t="s">
        <v>1129</v>
      </c>
      <c r="D191" t="s">
        <v>1133</v>
      </c>
      <c r="E191" t="s">
        <v>1141</v>
      </c>
      <c r="F191" t="s">
        <v>1151</v>
      </c>
      <c r="G191" t="s">
        <v>1155</v>
      </c>
      <c r="H191">
        <v>3</v>
      </c>
      <c r="I191">
        <v>75867</v>
      </c>
      <c r="J191" s="6">
        <v>5</v>
      </c>
      <c r="K191">
        <v>72073.649999999994</v>
      </c>
      <c r="L191">
        <v>216220.95</v>
      </c>
      <c r="M191">
        <v>2000</v>
      </c>
      <c r="N191" t="s">
        <v>1161</v>
      </c>
      <c r="O191" t="s">
        <v>1163</v>
      </c>
      <c r="Q191" t="str">
        <f t="shared" si="6"/>
        <v>no comment</v>
      </c>
      <c r="R191">
        <f t="shared" si="7"/>
        <v>1</v>
      </c>
      <c r="S191" s="6">
        <f t="shared" si="8"/>
        <v>0</v>
      </c>
    </row>
    <row r="192" spans="1:19" x14ac:dyDescent="0.3">
      <c r="A192" s="10">
        <v>45673</v>
      </c>
      <c r="B192" t="s">
        <v>208</v>
      </c>
      <c r="C192" t="s">
        <v>1122</v>
      </c>
      <c r="D192" t="s">
        <v>1136</v>
      </c>
      <c r="E192" t="s">
        <v>1145</v>
      </c>
      <c r="F192" t="s">
        <v>1149</v>
      </c>
      <c r="G192" t="s">
        <v>1153</v>
      </c>
      <c r="H192">
        <v>5</v>
      </c>
      <c r="I192">
        <v>33830</v>
      </c>
      <c r="J192" s="6">
        <v>0</v>
      </c>
      <c r="K192">
        <v>33830</v>
      </c>
      <c r="L192">
        <v>169150</v>
      </c>
      <c r="M192">
        <v>1500</v>
      </c>
      <c r="N192" t="s">
        <v>1159</v>
      </c>
      <c r="O192" t="s">
        <v>1164</v>
      </c>
      <c r="P192" s="10">
        <v>45687</v>
      </c>
      <c r="Q192" t="str">
        <f t="shared" si="6"/>
        <v>excellent</v>
      </c>
      <c r="R192">
        <f t="shared" si="7"/>
        <v>3</v>
      </c>
      <c r="S192" s="6">
        <f t="shared" si="8"/>
        <v>14</v>
      </c>
    </row>
    <row r="193" spans="1:19" x14ac:dyDescent="0.3">
      <c r="A193" s="10">
        <v>45749</v>
      </c>
      <c r="B193" t="s">
        <v>209</v>
      </c>
      <c r="C193" t="s">
        <v>1118</v>
      </c>
      <c r="D193" t="s">
        <v>1134</v>
      </c>
      <c r="E193" t="s">
        <v>1145</v>
      </c>
      <c r="F193" t="s">
        <v>1149</v>
      </c>
      <c r="G193" t="s">
        <v>1153</v>
      </c>
      <c r="H193">
        <v>2</v>
      </c>
      <c r="I193">
        <v>77819</v>
      </c>
      <c r="J193" s="6">
        <v>5</v>
      </c>
      <c r="K193">
        <v>73928.05</v>
      </c>
      <c r="L193">
        <v>147856.1</v>
      </c>
      <c r="M193">
        <v>2000</v>
      </c>
      <c r="N193" t="s">
        <v>1160</v>
      </c>
      <c r="O193" t="s">
        <v>1164</v>
      </c>
      <c r="P193" s="10">
        <v>45754</v>
      </c>
      <c r="Q193" t="str">
        <f t="shared" si="6"/>
        <v>excellent</v>
      </c>
      <c r="R193">
        <f t="shared" si="7"/>
        <v>3</v>
      </c>
      <c r="S193" s="6">
        <f t="shared" si="8"/>
        <v>5</v>
      </c>
    </row>
    <row r="194" spans="1:19" x14ac:dyDescent="0.3">
      <c r="A194" s="10">
        <v>45684</v>
      </c>
      <c r="B194" t="s">
        <v>210</v>
      </c>
      <c r="C194" t="s">
        <v>1129</v>
      </c>
      <c r="D194" t="s">
        <v>1133</v>
      </c>
      <c r="E194" t="s">
        <v>1139</v>
      </c>
      <c r="F194" t="s">
        <v>1150</v>
      </c>
      <c r="G194" t="s">
        <v>1154</v>
      </c>
      <c r="H194">
        <v>2</v>
      </c>
      <c r="I194">
        <v>6017</v>
      </c>
      <c r="J194" s="6">
        <v>10</v>
      </c>
      <c r="K194">
        <v>5415.3</v>
      </c>
      <c r="L194">
        <v>10830.6</v>
      </c>
      <c r="M194">
        <v>1500</v>
      </c>
      <c r="N194" t="s">
        <v>1161</v>
      </c>
      <c r="O194" t="s">
        <v>1163</v>
      </c>
      <c r="Q194" t="str">
        <f t="shared" ref="Q194:Q257" si="9">IF(O194="delivered","excellent",IF(O194="in transit","okay",IF(O194="failed","no comment")))</f>
        <v>no comment</v>
      </c>
      <c r="R194">
        <f t="shared" si="7"/>
        <v>1</v>
      </c>
      <c r="S194" s="6">
        <f t="shared" si="8"/>
        <v>0</v>
      </c>
    </row>
    <row r="195" spans="1:19" x14ac:dyDescent="0.3">
      <c r="A195" s="10">
        <v>45763</v>
      </c>
      <c r="B195" t="s">
        <v>211</v>
      </c>
      <c r="C195" t="s">
        <v>1126</v>
      </c>
      <c r="D195" t="s">
        <v>1133</v>
      </c>
      <c r="E195" t="s">
        <v>1138</v>
      </c>
      <c r="F195" t="s">
        <v>1149</v>
      </c>
      <c r="G195" t="s">
        <v>1153</v>
      </c>
      <c r="H195">
        <v>4</v>
      </c>
      <c r="I195">
        <v>40036</v>
      </c>
      <c r="J195" s="6">
        <v>15</v>
      </c>
      <c r="K195">
        <v>34030.6</v>
      </c>
      <c r="L195">
        <v>136122.4</v>
      </c>
      <c r="M195">
        <v>1500</v>
      </c>
      <c r="N195" t="s">
        <v>1161</v>
      </c>
      <c r="O195" t="s">
        <v>1162</v>
      </c>
      <c r="Q195" t="str">
        <f t="shared" si="9"/>
        <v>okay</v>
      </c>
      <c r="R195">
        <f t="shared" ref="R195:R258" si="10">IF(Q195="excellent",3,IF(Q195="no comment",1,IF(Q195="okay",2)))</f>
        <v>2</v>
      </c>
      <c r="S195" s="6">
        <f t="shared" ref="S195:S258" si="11">(IFERROR(DATEDIF(A195,P195,"d"),0))</f>
        <v>0</v>
      </c>
    </row>
    <row r="196" spans="1:19" x14ac:dyDescent="0.3">
      <c r="A196" s="10">
        <v>45725</v>
      </c>
      <c r="B196" t="s">
        <v>212</v>
      </c>
      <c r="C196" t="s">
        <v>1129</v>
      </c>
      <c r="D196" t="s">
        <v>1133</v>
      </c>
      <c r="E196" t="s">
        <v>1146</v>
      </c>
      <c r="F196" t="s">
        <v>1151</v>
      </c>
      <c r="G196" t="s">
        <v>1155</v>
      </c>
      <c r="H196">
        <v>5</v>
      </c>
      <c r="I196">
        <v>2662</v>
      </c>
      <c r="J196" s="6">
        <v>5</v>
      </c>
      <c r="K196">
        <v>2528.9</v>
      </c>
      <c r="L196">
        <v>12644.5</v>
      </c>
      <c r="M196">
        <v>1000</v>
      </c>
      <c r="N196" t="s">
        <v>1160</v>
      </c>
      <c r="O196" t="s">
        <v>1162</v>
      </c>
      <c r="Q196" t="str">
        <f t="shared" si="9"/>
        <v>okay</v>
      </c>
      <c r="R196">
        <f t="shared" si="10"/>
        <v>2</v>
      </c>
      <c r="S196" s="6">
        <f t="shared" si="11"/>
        <v>0</v>
      </c>
    </row>
    <row r="197" spans="1:19" x14ac:dyDescent="0.3">
      <c r="A197" s="10">
        <v>45786</v>
      </c>
      <c r="B197" t="s">
        <v>213</v>
      </c>
      <c r="C197" t="s">
        <v>1132</v>
      </c>
      <c r="D197" t="s">
        <v>1134</v>
      </c>
      <c r="E197" t="s">
        <v>1138</v>
      </c>
      <c r="F197" t="s">
        <v>1149</v>
      </c>
      <c r="G197" t="s">
        <v>1153</v>
      </c>
      <c r="H197">
        <v>5</v>
      </c>
      <c r="I197">
        <v>3726</v>
      </c>
      <c r="J197" s="6">
        <v>0</v>
      </c>
      <c r="K197">
        <v>3726</v>
      </c>
      <c r="L197">
        <v>18630</v>
      </c>
      <c r="M197">
        <v>1500</v>
      </c>
      <c r="N197" t="s">
        <v>1160</v>
      </c>
      <c r="O197" t="s">
        <v>1163</v>
      </c>
      <c r="Q197" t="str">
        <f t="shared" si="9"/>
        <v>no comment</v>
      </c>
      <c r="R197">
        <f t="shared" si="10"/>
        <v>1</v>
      </c>
      <c r="S197" s="6">
        <f t="shared" si="11"/>
        <v>0</v>
      </c>
    </row>
    <row r="198" spans="1:19" x14ac:dyDescent="0.3">
      <c r="A198" s="10">
        <v>45786</v>
      </c>
      <c r="B198" t="s">
        <v>214</v>
      </c>
      <c r="C198" t="s">
        <v>1118</v>
      </c>
      <c r="D198" t="s">
        <v>1134</v>
      </c>
      <c r="E198" t="s">
        <v>1144</v>
      </c>
      <c r="F198" t="s">
        <v>1151</v>
      </c>
      <c r="G198" t="s">
        <v>1157</v>
      </c>
      <c r="H198">
        <v>2</v>
      </c>
      <c r="I198">
        <v>2429</v>
      </c>
      <c r="J198" s="6">
        <v>10</v>
      </c>
      <c r="K198">
        <v>2307.5500000000002</v>
      </c>
      <c r="L198">
        <v>4615.1000000000004</v>
      </c>
      <c r="M198">
        <v>1500</v>
      </c>
      <c r="N198" t="s">
        <v>1161</v>
      </c>
      <c r="O198" t="s">
        <v>1163</v>
      </c>
      <c r="Q198" t="str">
        <f t="shared" si="9"/>
        <v>no comment</v>
      </c>
      <c r="R198">
        <f t="shared" si="10"/>
        <v>1</v>
      </c>
      <c r="S198" s="6">
        <f t="shared" si="11"/>
        <v>0</v>
      </c>
    </row>
    <row r="199" spans="1:19" x14ac:dyDescent="0.3">
      <c r="A199" s="10">
        <v>45820</v>
      </c>
      <c r="B199" t="s">
        <v>215</v>
      </c>
      <c r="C199" t="s">
        <v>1126</v>
      </c>
      <c r="D199" t="s">
        <v>1133</v>
      </c>
      <c r="E199" t="s">
        <v>1146</v>
      </c>
      <c r="F199" t="s">
        <v>1151</v>
      </c>
      <c r="G199" t="s">
        <v>1155</v>
      </c>
      <c r="H199">
        <v>4</v>
      </c>
      <c r="I199">
        <v>66382</v>
      </c>
      <c r="J199" s="6">
        <v>0</v>
      </c>
      <c r="K199">
        <v>66382</v>
      </c>
      <c r="L199">
        <v>265528</v>
      </c>
      <c r="M199">
        <v>1000</v>
      </c>
      <c r="N199" t="s">
        <v>1160</v>
      </c>
      <c r="O199" t="s">
        <v>1162</v>
      </c>
      <c r="Q199" t="str">
        <f t="shared" si="9"/>
        <v>okay</v>
      </c>
      <c r="R199">
        <f t="shared" si="10"/>
        <v>2</v>
      </c>
      <c r="S199" s="6">
        <f t="shared" si="11"/>
        <v>0</v>
      </c>
    </row>
    <row r="200" spans="1:19" x14ac:dyDescent="0.3">
      <c r="A200" s="10">
        <v>45712</v>
      </c>
      <c r="B200" t="s">
        <v>216</v>
      </c>
      <c r="C200" t="s">
        <v>1132</v>
      </c>
      <c r="D200" t="s">
        <v>1134</v>
      </c>
      <c r="E200" t="s">
        <v>1142</v>
      </c>
      <c r="F200" t="s">
        <v>1150</v>
      </c>
      <c r="G200" t="s">
        <v>1156</v>
      </c>
      <c r="H200">
        <v>4</v>
      </c>
      <c r="I200">
        <v>6765</v>
      </c>
      <c r="J200" s="6">
        <v>15</v>
      </c>
      <c r="K200">
        <v>5750.25</v>
      </c>
      <c r="L200">
        <v>23001</v>
      </c>
      <c r="M200">
        <v>1000</v>
      </c>
      <c r="N200" t="s">
        <v>1161</v>
      </c>
      <c r="O200" t="s">
        <v>1164</v>
      </c>
      <c r="P200" s="10">
        <v>45714</v>
      </c>
      <c r="Q200" t="str">
        <f t="shared" si="9"/>
        <v>excellent</v>
      </c>
      <c r="R200">
        <f t="shared" si="10"/>
        <v>3</v>
      </c>
      <c r="S200" s="6">
        <f t="shared" si="11"/>
        <v>2</v>
      </c>
    </row>
    <row r="201" spans="1:19" x14ac:dyDescent="0.3">
      <c r="A201" s="10">
        <v>45764</v>
      </c>
      <c r="B201" t="s">
        <v>217</v>
      </c>
      <c r="C201" t="s">
        <v>1128</v>
      </c>
      <c r="D201" t="s">
        <v>1135</v>
      </c>
      <c r="E201" t="s">
        <v>1142</v>
      </c>
      <c r="F201" t="s">
        <v>1150</v>
      </c>
      <c r="G201" t="s">
        <v>1156</v>
      </c>
      <c r="H201">
        <v>2</v>
      </c>
      <c r="I201">
        <v>22497</v>
      </c>
      <c r="J201" s="6">
        <v>5</v>
      </c>
      <c r="K201">
        <v>21372.15</v>
      </c>
      <c r="L201">
        <v>42744.3</v>
      </c>
      <c r="M201">
        <v>1500</v>
      </c>
      <c r="N201" t="s">
        <v>1161</v>
      </c>
      <c r="O201" t="s">
        <v>1164</v>
      </c>
      <c r="P201" s="10">
        <v>45768</v>
      </c>
      <c r="Q201" t="str">
        <f t="shared" si="9"/>
        <v>excellent</v>
      </c>
      <c r="R201">
        <f t="shared" si="10"/>
        <v>3</v>
      </c>
      <c r="S201" s="6">
        <f t="shared" si="11"/>
        <v>4</v>
      </c>
    </row>
    <row r="202" spans="1:19" x14ac:dyDescent="0.3">
      <c r="A202" s="10">
        <v>45716</v>
      </c>
      <c r="B202" t="s">
        <v>218</v>
      </c>
      <c r="C202" t="s">
        <v>1132</v>
      </c>
      <c r="D202" t="s">
        <v>1134</v>
      </c>
      <c r="E202" t="s">
        <v>1143</v>
      </c>
      <c r="F202" t="s">
        <v>1151</v>
      </c>
      <c r="G202" t="s">
        <v>1157</v>
      </c>
      <c r="H202">
        <v>5</v>
      </c>
      <c r="I202">
        <v>22745</v>
      </c>
      <c r="J202" s="6">
        <v>20</v>
      </c>
      <c r="K202">
        <v>18196</v>
      </c>
      <c r="L202">
        <v>90980</v>
      </c>
      <c r="M202">
        <v>1500</v>
      </c>
      <c r="N202" t="s">
        <v>1161</v>
      </c>
      <c r="O202" t="s">
        <v>1163</v>
      </c>
      <c r="Q202" t="str">
        <f t="shared" si="9"/>
        <v>no comment</v>
      </c>
      <c r="R202">
        <f t="shared" si="10"/>
        <v>1</v>
      </c>
      <c r="S202" s="6">
        <f t="shared" si="11"/>
        <v>0</v>
      </c>
    </row>
    <row r="203" spans="1:19" x14ac:dyDescent="0.3">
      <c r="A203" s="10">
        <v>45779</v>
      </c>
      <c r="B203" t="s">
        <v>219</v>
      </c>
      <c r="C203" t="s">
        <v>1118</v>
      </c>
      <c r="D203" t="s">
        <v>1134</v>
      </c>
      <c r="E203" t="s">
        <v>1145</v>
      </c>
      <c r="F203" t="s">
        <v>1149</v>
      </c>
      <c r="G203" t="s">
        <v>1153</v>
      </c>
      <c r="H203">
        <v>2</v>
      </c>
      <c r="I203">
        <v>72934</v>
      </c>
      <c r="J203" s="6">
        <v>20</v>
      </c>
      <c r="K203">
        <v>58347.199999999997</v>
      </c>
      <c r="L203">
        <v>116694.39999999999</v>
      </c>
      <c r="M203">
        <v>1500</v>
      </c>
      <c r="N203" t="s">
        <v>1159</v>
      </c>
      <c r="O203" t="s">
        <v>1162</v>
      </c>
      <c r="Q203" t="str">
        <f t="shared" si="9"/>
        <v>okay</v>
      </c>
      <c r="R203">
        <f t="shared" si="10"/>
        <v>2</v>
      </c>
      <c r="S203" s="6">
        <f t="shared" si="11"/>
        <v>0</v>
      </c>
    </row>
    <row r="204" spans="1:19" x14ac:dyDescent="0.3">
      <c r="A204" s="10">
        <v>45824</v>
      </c>
      <c r="B204" t="s">
        <v>220</v>
      </c>
      <c r="C204" t="s">
        <v>1129</v>
      </c>
      <c r="D204" t="s">
        <v>1133</v>
      </c>
      <c r="E204" t="s">
        <v>1148</v>
      </c>
      <c r="F204" t="s">
        <v>1149</v>
      </c>
      <c r="G204" t="s">
        <v>1152</v>
      </c>
      <c r="H204">
        <v>2</v>
      </c>
      <c r="I204">
        <v>60207</v>
      </c>
      <c r="J204" s="6">
        <v>20</v>
      </c>
      <c r="K204">
        <v>48165.599999999999</v>
      </c>
      <c r="L204">
        <v>96331.199999999997</v>
      </c>
      <c r="M204">
        <v>1000</v>
      </c>
      <c r="N204" t="s">
        <v>1159</v>
      </c>
      <c r="O204" t="s">
        <v>1163</v>
      </c>
      <c r="Q204" t="str">
        <f t="shared" si="9"/>
        <v>no comment</v>
      </c>
      <c r="R204">
        <f t="shared" si="10"/>
        <v>1</v>
      </c>
      <c r="S204" s="6">
        <f t="shared" si="11"/>
        <v>0</v>
      </c>
    </row>
    <row r="205" spans="1:19" x14ac:dyDescent="0.3">
      <c r="A205" s="10">
        <v>45796</v>
      </c>
      <c r="B205" t="s">
        <v>221</v>
      </c>
      <c r="C205" t="s">
        <v>1120</v>
      </c>
      <c r="D205" t="s">
        <v>1135</v>
      </c>
      <c r="E205" t="s">
        <v>1144</v>
      </c>
      <c r="F205" t="s">
        <v>1151</v>
      </c>
      <c r="G205" t="s">
        <v>1157</v>
      </c>
      <c r="H205">
        <v>2</v>
      </c>
      <c r="I205">
        <v>36877</v>
      </c>
      <c r="J205" s="6">
        <v>15</v>
      </c>
      <c r="K205">
        <v>31345.45</v>
      </c>
      <c r="L205">
        <v>62690.9</v>
      </c>
      <c r="M205">
        <v>2000</v>
      </c>
      <c r="N205" t="s">
        <v>1161</v>
      </c>
      <c r="O205" t="s">
        <v>1162</v>
      </c>
      <c r="Q205" t="str">
        <f t="shared" si="9"/>
        <v>okay</v>
      </c>
      <c r="R205">
        <f t="shared" si="10"/>
        <v>2</v>
      </c>
      <c r="S205" s="6">
        <f t="shared" si="11"/>
        <v>0</v>
      </c>
    </row>
    <row r="206" spans="1:19" x14ac:dyDescent="0.3">
      <c r="A206" s="10">
        <v>45763</v>
      </c>
      <c r="B206" t="s">
        <v>222</v>
      </c>
      <c r="C206" t="s">
        <v>1124</v>
      </c>
      <c r="D206" t="s">
        <v>1135</v>
      </c>
      <c r="E206" t="s">
        <v>1141</v>
      </c>
      <c r="F206" t="s">
        <v>1151</v>
      </c>
      <c r="G206" t="s">
        <v>1155</v>
      </c>
      <c r="H206">
        <v>2</v>
      </c>
      <c r="I206">
        <v>33192</v>
      </c>
      <c r="J206" s="6">
        <v>15</v>
      </c>
      <c r="K206">
        <v>28213.200000000001</v>
      </c>
      <c r="L206">
        <v>56426.400000000001</v>
      </c>
      <c r="M206">
        <v>1500</v>
      </c>
      <c r="N206" t="s">
        <v>1161</v>
      </c>
      <c r="O206" t="s">
        <v>1164</v>
      </c>
      <c r="P206" s="10">
        <v>45773</v>
      </c>
      <c r="Q206" t="str">
        <f t="shared" si="9"/>
        <v>excellent</v>
      </c>
      <c r="R206">
        <f t="shared" si="10"/>
        <v>3</v>
      </c>
      <c r="S206" s="6">
        <f t="shared" si="11"/>
        <v>10</v>
      </c>
    </row>
    <row r="207" spans="1:19" x14ac:dyDescent="0.3">
      <c r="A207" s="10">
        <v>45729</v>
      </c>
      <c r="B207" t="s">
        <v>223</v>
      </c>
      <c r="C207" t="s">
        <v>1119</v>
      </c>
      <c r="D207" t="s">
        <v>1134</v>
      </c>
      <c r="E207" t="s">
        <v>1144</v>
      </c>
      <c r="F207" t="s">
        <v>1151</v>
      </c>
      <c r="G207" t="s">
        <v>1157</v>
      </c>
      <c r="H207">
        <v>3</v>
      </c>
      <c r="I207">
        <v>77594</v>
      </c>
      <c r="J207" s="6">
        <v>5</v>
      </c>
      <c r="K207">
        <v>73714.3</v>
      </c>
      <c r="L207">
        <v>221142.9</v>
      </c>
      <c r="M207">
        <v>1500</v>
      </c>
      <c r="N207" t="s">
        <v>1160</v>
      </c>
      <c r="O207" t="s">
        <v>1163</v>
      </c>
      <c r="Q207" t="str">
        <f t="shared" si="9"/>
        <v>no comment</v>
      </c>
      <c r="R207">
        <f t="shared" si="10"/>
        <v>1</v>
      </c>
      <c r="S207" s="6">
        <f t="shared" si="11"/>
        <v>0</v>
      </c>
    </row>
    <row r="208" spans="1:19" x14ac:dyDescent="0.3">
      <c r="A208" s="10">
        <v>45825</v>
      </c>
      <c r="B208" t="s">
        <v>224</v>
      </c>
      <c r="C208" t="s">
        <v>1130</v>
      </c>
      <c r="D208" t="s">
        <v>1136</v>
      </c>
      <c r="E208" t="s">
        <v>1143</v>
      </c>
      <c r="F208" t="s">
        <v>1151</v>
      </c>
      <c r="G208" t="s">
        <v>1157</v>
      </c>
      <c r="H208">
        <v>1</v>
      </c>
      <c r="I208">
        <v>36460</v>
      </c>
      <c r="J208" s="6">
        <v>15</v>
      </c>
      <c r="K208">
        <v>30991</v>
      </c>
      <c r="L208">
        <v>30991</v>
      </c>
      <c r="M208">
        <v>1500</v>
      </c>
      <c r="N208" t="s">
        <v>1160</v>
      </c>
      <c r="O208" t="s">
        <v>1163</v>
      </c>
      <c r="Q208" t="str">
        <f t="shared" si="9"/>
        <v>no comment</v>
      </c>
      <c r="R208">
        <f t="shared" si="10"/>
        <v>1</v>
      </c>
      <c r="S208" s="6">
        <f t="shared" si="11"/>
        <v>0</v>
      </c>
    </row>
    <row r="209" spans="1:19" x14ac:dyDescent="0.3">
      <c r="A209" s="10">
        <v>45732</v>
      </c>
      <c r="B209" t="s">
        <v>225</v>
      </c>
      <c r="C209" t="s">
        <v>1127</v>
      </c>
      <c r="D209" t="s">
        <v>1134</v>
      </c>
      <c r="E209" t="s">
        <v>1140</v>
      </c>
      <c r="F209" t="s">
        <v>1150</v>
      </c>
      <c r="G209" t="s">
        <v>1154</v>
      </c>
      <c r="H209">
        <v>5</v>
      </c>
      <c r="I209">
        <v>33695</v>
      </c>
      <c r="J209" s="6">
        <v>0</v>
      </c>
      <c r="K209">
        <v>33695</v>
      </c>
      <c r="L209">
        <v>168475</v>
      </c>
      <c r="M209">
        <v>1000</v>
      </c>
      <c r="N209" t="s">
        <v>1160</v>
      </c>
      <c r="O209" t="s">
        <v>1164</v>
      </c>
      <c r="P209" s="10">
        <v>45743</v>
      </c>
      <c r="Q209" t="str">
        <f t="shared" si="9"/>
        <v>excellent</v>
      </c>
      <c r="R209">
        <f t="shared" si="10"/>
        <v>3</v>
      </c>
      <c r="S209" s="6">
        <f t="shared" si="11"/>
        <v>11</v>
      </c>
    </row>
    <row r="210" spans="1:19" x14ac:dyDescent="0.3">
      <c r="A210" s="10">
        <v>45732</v>
      </c>
      <c r="B210" t="s">
        <v>226</v>
      </c>
      <c r="C210" t="s">
        <v>1123</v>
      </c>
      <c r="D210" t="s">
        <v>1135</v>
      </c>
      <c r="E210" t="s">
        <v>1142</v>
      </c>
      <c r="F210" t="s">
        <v>1150</v>
      </c>
      <c r="G210" t="s">
        <v>1156</v>
      </c>
      <c r="H210">
        <v>2</v>
      </c>
      <c r="I210">
        <v>39124</v>
      </c>
      <c r="J210" s="6">
        <v>5</v>
      </c>
      <c r="K210">
        <v>37167.800000000003</v>
      </c>
      <c r="L210">
        <v>74335.600000000006</v>
      </c>
      <c r="M210">
        <v>1000</v>
      </c>
      <c r="N210" t="s">
        <v>1161</v>
      </c>
      <c r="O210" t="s">
        <v>1164</v>
      </c>
      <c r="P210" s="10">
        <v>45736</v>
      </c>
      <c r="Q210" t="str">
        <f t="shared" si="9"/>
        <v>excellent</v>
      </c>
      <c r="R210">
        <f t="shared" si="10"/>
        <v>3</v>
      </c>
      <c r="S210" s="6">
        <f t="shared" si="11"/>
        <v>4</v>
      </c>
    </row>
    <row r="211" spans="1:19" x14ac:dyDescent="0.3">
      <c r="A211" s="10">
        <v>45691</v>
      </c>
      <c r="B211" t="s">
        <v>227</v>
      </c>
      <c r="C211" t="s">
        <v>1118</v>
      </c>
      <c r="D211" t="s">
        <v>1134</v>
      </c>
      <c r="E211" t="s">
        <v>1143</v>
      </c>
      <c r="F211" t="s">
        <v>1151</v>
      </c>
      <c r="G211" t="s">
        <v>1157</v>
      </c>
      <c r="H211">
        <v>1</v>
      </c>
      <c r="I211">
        <v>31138</v>
      </c>
      <c r="J211" s="6">
        <v>5</v>
      </c>
      <c r="K211">
        <v>29581.1</v>
      </c>
      <c r="L211">
        <v>29581.1</v>
      </c>
      <c r="M211">
        <v>2000</v>
      </c>
      <c r="N211" t="s">
        <v>1160</v>
      </c>
      <c r="O211" t="s">
        <v>1163</v>
      </c>
      <c r="Q211" t="str">
        <f t="shared" si="9"/>
        <v>no comment</v>
      </c>
      <c r="R211">
        <f t="shared" si="10"/>
        <v>1</v>
      </c>
      <c r="S211" s="6">
        <f t="shared" si="11"/>
        <v>0</v>
      </c>
    </row>
    <row r="212" spans="1:19" x14ac:dyDescent="0.3">
      <c r="A212" s="10">
        <v>45780</v>
      </c>
      <c r="B212" t="s">
        <v>228</v>
      </c>
      <c r="C212" t="s">
        <v>1130</v>
      </c>
      <c r="D212" t="s">
        <v>1136</v>
      </c>
      <c r="E212" t="s">
        <v>1140</v>
      </c>
      <c r="F212" t="s">
        <v>1150</v>
      </c>
      <c r="G212" t="s">
        <v>1154</v>
      </c>
      <c r="H212">
        <v>3</v>
      </c>
      <c r="I212">
        <v>24656</v>
      </c>
      <c r="J212" s="6">
        <v>0</v>
      </c>
      <c r="K212">
        <v>24656</v>
      </c>
      <c r="L212">
        <v>73968</v>
      </c>
      <c r="M212">
        <v>2000</v>
      </c>
      <c r="N212" t="s">
        <v>1161</v>
      </c>
      <c r="O212" t="s">
        <v>1164</v>
      </c>
      <c r="P212" s="10">
        <v>45783</v>
      </c>
      <c r="Q212" t="str">
        <f t="shared" si="9"/>
        <v>excellent</v>
      </c>
      <c r="R212">
        <f t="shared" si="10"/>
        <v>3</v>
      </c>
      <c r="S212" s="6">
        <f t="shared" si="11"/>
        <v>3</v>
      </c>
    </row>
    <row r="213" spans="1:19" x14ac:dyDescent="0.3">
      <c r="A213" s="10">
        <v>45818</v>
      </c>
      <c r="B213" t="s">
        <v>229</v>
      </c>
      <c r="C213" t="s">
        <v>1132</v>
      </c>
      <c r="D213" t="s">
        <v>1134</v>
      </c>
      <c r="E213" t="s">
        <v>1143</v>
      </c>
      <c r="F213" t="s">
        <v>1151</v>
      </c>
      <c r="G213" t="s">
        <v>1157</v>
      </c>
      <c r="H213">
        <v>4</v>
      </c>
      <c r="I213">
        <v>9376</v>
      </c>
      <c r="J213" s="6">
        <v>10</v>
      </c>
      <c r="K213">
        <v>8438.4</v>
      </c>
      <c r="L213">
        <v>33753.599999999999</v>
      </c>
      <c r="M213">
        <v>1000</v>
      </c>
      <c r="N213" t="s">
        <v>1160</v>
      </c>
      <c r="O213" t="s">
        <v>1162</v>
      </c>
      <c r="Q213" t="str">
        <f t="shared" si="9"/>
        <v>okay</v>
      </c>
      <c r="R213">
        <f t="shared" si="10"/>
        <v>2</v>
      </c>
      <c r="S213" s="6">
        <f t="shared" si="11"/>
        <v>0</v>
      </c>
    </row>
    <row r="214" spans="1:19" x14ac:dyDescent="0.3">
      <c r="A214" s="10">
        <v>45828</v>
      </c>
      <c r="B214" t="s">
        <v>230</v>
      </c>
      <c r="C214" t="s">
        <v>1130</v>
      </c>
      <c r="D214" t="s">
        <v>1136</v>
      </c>
      <c r="E214" t="s">
        <v>1141</v>
      </c>
      <c r="F214" t="s">
        <v>1151</v>
      </c>
      <c r="G214" t="s">
        <v>1155</v>
      </c>
      <c r="H214">
        <v>3</v>
      </c>
      <c r="I214">
        <v>18436</v>
      </c>
      <c r="J214" s="6">
        <v>20</v>
      </c>
      <c r="K214">
        <v>14748.8</v>
      </c>
      <c r="L214">
        <v>44246.399999999987</v>
      </c>
      <c r="M214">
        <v>1000</v>
      </c>
      <c r="N214" t="s">
        <v>1159</v>
      </c>
      <c r="O214" t="s">
        <v>1162</v>
      </c>
      <c r="Q214" t="str">
        <f t="shared" si="9"/>
        <v>okay</v>
      </c>
      <c r="R214">
        <f t="shared" si="10"/>
        <v>2</v>
      </c>
      <c r="S214" s="6">
        <f t="shared" si="11"/>
        <v>0</v>
      </c>
    </row>
    <row r="215" spans="1:19" x14ac:dyDescent="0.3">
      <c r="A215" s="10">
        <v>45672</v>
      </c>
      <c r="B215" t="s">
        <v>231</v>
      </c>
      <c r="C215" t="s">
        <v>1122</v>
      </c>
      <c r="D215" t="s">
        <v>1136</v>
      </c>
      <c r="E215" t="s">
        <v>1145</v>
      </c>
      <c r="F215" t="s">
        <v>1149</v>
      </c>
      <c r="G215" t="s">
        <v>1153</v>
      </c>
      <c r="H215">
        <v>5</v>
      </c>
      <c r="I215">
        <v>65710</v>
      </c>
      <c r="J215" s="6">
        <v>15</v>
      </c>
      <c r="K215">
        <v>55853.5</v>
      </c>
      <c r="L215">
        <v>279267.5</v>
      </c>
      <c r="M215">
        <v>1500</v>
      </c>
      <c r="N215" t="s">
        <v>1159</v>
      </c>
      <c r="O215" t="s">
        <v>1162</v>
      </c>
      <c r="Q215" t="str">
        <f t="shared" si="9"/>
        <v>okay</v>
      </c>
      <c r="R215">
        <f t="shared" si="10"/>
        <v>2</v>
      </c>
      <c r="S215" s="6">
        <f t="shared" si="11"/>
        <v>0</v>
      </c>
    </row>
    <row r="216" spans="1:19" x14ac:dyDescent="0.3">
      <c r="A216" s="10">
        <v>45837</v>
      </c>
      <c r="B216" t="s">
        <v>232</v>
      </c>
      <c r="C216" t="s">
        <v>1118</v>
      </c>
      <c r="D216" t="s">
        <v>1134</v>
      </c>
      <c r="E216" t="s">
        <v>1143</v>
      </c>
      <c r="F216" t="s">
        <v>1151</v>
      </c>
      <c r="G216" t="s">
        <v>1157</v>
      </c>
      <c r="H216">
        <v>1</v>
      </c>
      <c r="I216">
        <v>36023</v>
      </c>
      <c r="J216" s="6">
        <v>10</v>
      </c>
      <c r="K216">
        <v>32420.7</v>
      </c>
      <c r="L216">
        <v>32420.7</v>
      </c>
      <c r="M216">
        <v>2000</v>
      </c>
      <c r="N216" t="s">
        <v>1160</v>
      </c>
      <c r="O216" t="s">
        <v>1163</v>
      </c>
      <c r="Q216" t="str">
        <f t="shared" si="9"/>
        <v>no comment</v>
      </c>
      <c r="R216">
        <f t="shared" si="10"/>
        <v>1</v>
      </c>
      <c r="S216" s="6">
        <f t="shared" si="11"/>
        <v>0</v>
      </c>
    </row>
    <row r="217" spans="1:19" x14ac:dyDescent="0.3">
      <c r="A217" s="10">
        <v>45818</v>
      </c>
      <c r="B217" t="s">
        <v>233</v>
      </c>
      <c r="C217" t="s">
        <v>1130</v>
      </c>
      <c r="D217" t="s">
        <v>1136</v>
      </c>
      <c r="E217" t="s">
        <v>1145</v>
      </c>
      <c r="F217" t="s">
        <v>1149</v>
      </c>
      <c r="G217" t="s">
        <v>1153</v>
      </c>
      <c r="H217">
        <v>4</v>
      </c>
      <c r="I217">
        <v>49863</v>
      </c>
      <c r="J217" s="6">
        <v>10</v>
      </c>
      <c r="K217">
        <v>44876.7</v>
      </c>
      <c r="L217">
        <v>179506.8</v>
      </c>
      <c r="M217">
        <v>1000</v>
      </c>
      <c r="N217" t="s">
        <v>1161</v>
      </c>
      <c r="O217" t="s">
        <v>1163</v>
      </c>
      <c r="Q217" t="str">
        <f t="shared" si="9"/>
        <v>no comment</v>
      </c>
      <c r="R217">
        <f t="shared" si="10"/>
        <v>1</v>
      </c>
      <c r="S217" s="6">
        <f t="shared" si="11"/>
        <v>0</v>
      </c>
    </row>
    <row r="218" spans="1:19" x14ac:dyDescent="0.3">
      <c r="A218" s="10">
        <v>45751</v>
      </c>
      <c r="B218" t="s">
        <v>234</v>
      </c>
      <c r="C218" t="s">
        <v>1128</v>
      </c>
      <c r="D218" t="s">
        <v>1135</v>
      </c>
      <c r="E218" t="s">
        <v>1138</v>
      </c>
      <c r="F218" t="s">
        <v>1149</v>
      </c>
      <c r="G218" t="s">
        <v>1153</v>
      </c>
      <c r="H218">
        <v>1</v>
      </c>
      <c r="I218">
        <v>78397</v>
      </c>
      <c r="J218" s="6">
        <v>20</v>
      </c>
      <c r="K218">
        <v>62717.599999999999</v>
      </c>
      <c r="L218">
        <v>62717.599999999999</v>
      </c>
      <c r="M218">
        <v>1500</v>
      </c>
      <c r="N218" t="s">
        <v>1160</v>
      </c>
      <c r="O218" t="s">
        <v>1163</v>
      </c>
      <c r="Q218" t="str">
        <f t="shared" si="9"/>
        <v>no comment</v>
      </c>
      <c r="R218">
        <f t="shared" si="10"/>
        <v>1</v>
      </c>
      <c r="S218" s="6">
        <f t="shared" si="11"/>
        <v>0</v>
      </c>
    </row>
    <row r="219" spans="1:19" x14ac:dyDescent="0.3">
      <c r="A219" s="10">
        <v>45660</v>
      </c>
      <c r="B219" t="s">
        <v>235</v>
      </c>
      <c r="C219" t="s">
        <v>1127</v>
      </c>
      <c r="D219" t="s">
        <v>1134</v>
      </c>
      <c r="E219" t="s">
        <v>1147</v>
      </c>
      <c r="F219" t="s">
        <v>1150</v>
      </c>
      <c r="G219" t="s">
        <v>1156</v>
      </c>
      <c r="H219">
        <v>4</v>
      </c>
      <c r="I219">
        <v>72737</v>
      </c>
      <c r="J219" s="6">
        <v>15</v>
      </c>
      <c r="K219">
        <v>61826.45</v>
      </c>
      <c r="L219">
        <v>247305.8</v>
      </c>
      <c r="M219">
        <v>2000</v>
      </c>
      <c r="N219" t="s">
        <v>1161</v>
      </c>
      <c r="O219" t="s">
        <v>1164</v>
      </c>
      <c r="P219" s="10">
        <v>45665</v>
      </c>
      <c r="Q219" t="str">
        <f t="shared" si="9"/>
        <v>excellent</v>
      </c>
      <c r="R219">
        <f t="shared" si="10"/>
        <v>3</v>
      </c>
      <c r="S219" s="6">
        <f t="shared" si="11"/>
        <v>5</v>
      </c>
    </row>
    <row r="220" spans="1:19" x14ac:dyDescent="0.3">
      <c r="A220" s="10">
        <v>45664</v>
      </c>
      <c r="B220" t="s">
        <v>236</v>
      </c>
      <c r="C220" t="s">
        <v>1126</v>
      </c>
      <c r="D220" t="s">
        <v>1133</v>
      </c>
      <c r="E220" t="s">
        <v>1146</v>
      </c>
      <c r="F220" t="s">
        <v>1151</v>
      </c>
      <c r="G220" t="s">
        <v>1155</v>
      </c>
      <c r="H220">
        <v>3</v>
      </c>
      <c r="I220">
        <v>59500</v>
      </c>
      <c r="J220" s="6">
        <v>10</v>
      </c>
      <c r="K220">
        <v>53550</v>
      </c>
      <c r="L220">
        <v>160650</v>
      </c>
      <c r="M220">
        <v>2000</v>
      </c>
      <c r="N220" t="s">
        <v>1160</v>
      </c>
      <c r="O220" t="s">
        <v>1163</v>
      </c>
      <c r="Q220" t="str">
        <f t="shared" si="9"/>
        <v>no comment</v>
      </c>
      <c r="R220">
        <f t="shared" si="10"/>
        <v>1</v>
      </c>
      <c r="S220" s="6">
        <f t="shared" si="11"/>
        <v>0</v>
      </c>
    </row>
    <row r="221" spans="1:19" x14ac:dyDescent="0.3">
      <c r="A221" s="10">
        <v>45694</v>
      </c>
      <c r="B221" t="s">
        <v>237</v>
      </c>
      <c r="C221" t="s">
        <v>1129</v>
      </c>
      <c r="D221" t="s">
        <v>1133</v>
      </c>
      <c r="E221" t="s">
        <v>1141</v>
      </c>
      <c r="F221" t="s">
        <v>1151</v>
      </c>
      <c r="G221" t="s">
        <v>1155</v>
      </c>
      <c r="H221">
        <v>4</v>
      </c>
      <c r="I221">
        <v>47070</v>
      </c>
      <c r="J221" s="6">
        <v>0</v>
      </c>
      <c r="K221">
        <v>47070</v>
      </c>
      <c r="L221">
        <v>188280</v>
      </c>
      <c r="M221">
        <v>1500</v>
      </c>
      <c r="N221" t="s">
        <v>1160</v>
      </c>
      <c r="O221" t="s">
        <v>1162</v>
      </c>
      <c r="Q221" t="str">
        <f t="shared" si="9"/>
        <v>okay</v>
      </c>
      <c r="R221">
        <f t="shared" si="10"/>
        <v>2</v>
      </c>
      <c r="S221" s="6">
        <f t="shared" si="11"/>
        <v>0</v>
      </c>
    </row>
    <row r="222" spans="1:19" x14ac:dyDescent="0.3">
      <c r="A222" s="10">
        <v>45767</v>
      </c>
      <c r="B222" t="s">
        <v>238</v>
      </c>
      <c r="C222" t="s">
        <v>1118</v>
      </c>
      <c r="D222" t="s">
        <v>1134</v>
      </c>
      <c r="E222" t="s">
        <v>1139</v>
      </c>
      <c r="F222" t="s">
        <v>1150</v>
      </c>
      <c r="G222" t="s">
        <v>1154</v>
      </c>
      <c r="H222">
        <v>3</v>
      </c>
      <c r="I222">
        <v>65849</v>
      </c>
      <c r="J222" s="6">
        <v>5</v>
      </c>
      <c r="K222">
        <v>62556.55</v>
      </c>
      <c r="L222">
        <v>187669.65</v>
      </c>
      <c r="M222">
        <v>2000</v>
      </c>
      <c r="N222" t="s">
        <v>1159</v>
      </c>
      <c r="O222" t="s">
        <v>1163</v>
      </c>
      <c r="Q222" t="str">
        <f t="shared" si="9"/>
        <v>no comment</v>
      </c>
      <c r="R222">
        <f t="shared" si="10"/>
        <v>1</v>
      </c>
      <c r="S222" s="6">
        <f t="shared" si="11"/>
        <v>0</v>
      </c>
    </row>
    <row r="223" spans="1:19" x14ac:dyDescent="0.3">
      <c r="A223" s="10">
        <v>45821</v>
      </c>
      <c r="B223" t="s">
        <v>239</v>
      </c>
      <c r="C223" t="s">
        <v>1121</v>
      </c>
      <c r="D223" t="s">
        <v>1136</v>
      </c>
      <c r="E223" t="s">
        <v>1145</v>
      </c>
      <c r="F223" t="s">
        <v>1149</v>
      </c>
      <c r="G223" t="s">
        <v>1153</v>
      </c>
      <c r="H223">
        <v>5</v>
      </c>
      <c r="I223">
        <v>6089</v>
      </c>
      <c r="J223" s="6">
        <v>5</v>
      </c>
      <c r="K223">
        <v>5784.55</v>
      </c>
      <c r="L223">
        <v>28922.75</v>
      </c>
      <c r="M223">
        <v>1500</v>
      </c>
      <c r="N223" t="s">
        <v>1159</v>
      </c>
      <c r="O223" t="s">
        <v>1162</v>
      </c>
      <c r="Q223" t="str">
        <f t="shared" si="9"/>
        <v>okay</v>
      </c>
      <c r="R223">
        <f t="shared" si="10"/>
        <v>2</v>
      </c>
      <c r="S223" s="6">
        <f t="shared" si="11"/>
        <v>0</v>
      </c>
    </row>
    <row r="224" spans="1:19" x14ac:dyDescent="0.3">
      <c r="A224" s="10">
        <v>45738</v>
      </c>
      <c r="B224" t="s">
        <v>240</v>
      </c>
      <c r="C224" t="s">
        <v>1130</v>
      </c>
      <c r="D224" t="s">
        <v>1136</v>
      </c>
      <c r="E224" t="s">
        <v>1137</v>
      </c>
      <c r="F224" t="s">
        <v>1149</v>
      </c>
      <c r="G224" t="s">
        <v>1152</v>
      </c>
      <c r="H224">
        <v>4</v>
      </c>
      <c r="I224">
        <v>8680</v>
      </c>
      <c r="J224" s="6">
        <v>20</v>
      </c>
      <c r="K224">
        <v>6944</v>
      </c>
      <c r="L224">
        <v>27776</v>
      </c>
      <c r="M224">
        <v>2000</v>
      </c>
      <c r="N224" t="s">
        <v>1159</v>
      </c>
      <c r="O224" t="s">
        <v>1164</v>
      </c>
      <c r="P224" s="10">
        <v>45751</v>
      </c>
      <c r="Q224" t="str">
        <f t="shared" si="9"/>
        <v>excellent</v>
      </c>
      <c r="R224">
        <f t="shared" si="10"/>
        <v>3</v>
      </c>
      <c r="S224" s="6">
        <f t="shared" si="11"/>
        <v>13</v>
      </c>
    </row>
    <row r="225" spans="1:19" x14ac:dyDescent="0.3">
      <c r="A225" s="10">
        <v>45768</v>
      </c>
      <c r="B225" t="s">
        <v>241</v>
      </c>
      <c r="C225" t="s">
        <v>1131</v>
      </c>
      <c r="D225" t="s">
        <v>1136</v>
      </c>
      <c r="E225" t="s">
        <v>1141</v>
      </c>
      <c r="F225" t="s">
        <v>1151</v>
      </c>
      <c r="G225" t="s">
        <v>1155</v>
      </c>
      <c r="H225">
        <v>1</v>
      </c>
      <c r="I225">
        <v>13041</v>
      </c>
      <c r="J225" s="6">
        <v>0</v>
      </c>
      <c r="K225">
        <v>13041</v>
      </c>
      <c r="L225">
        <v>13041</v>
      </c>
      <c r="M225">
        <v>1500</v>
      </c>
      <c r="N225" t="s">
        <v>1161</v>
      </c>
      <c r="O225" t="s">
        <v>1164</v>
      </c>
      <c r="P225" s="10">
        <v>45782</v>
      </c>
      <c r="Q225" t="str">
        <f t="shared" si="9"/>
        <v>excellent</v>
      </c>
      <c r="R225">
        <f t="shared" si="10"/>
        <v>3</v>
      </c>
      <c r="S225" s="6">
        <f t="shared" si="11"/>
        <v>14</v>
      </c>
    </row>
    <row r="226" spans="1:19" x14ac:dyDescent="0.3">
      <c r="A226" s="10">
        <v>45737</v>
      </c>
      <c r="B226" t="s">
        <v>242</v>
      </c>
      <c r="C226" t="s">
        <v>1126</v>
      </c>
      <c r="D226" t="s">
        <v>1133</v>
      </c>
      <c r="E226" t="s">
        <v>1139</v>
      </c>
      <c r="F226" t="s">
        <v>1150</v>
      </c>
      <c r="G226" t="s">
        <v>1154</v>
      </c>
      <c r="H226">
        <v>2</v>
      </c>
      <c r="I226">
        <v>67391</v>
      </c>
      <c r="J226" s="6">
        <v>10</v>
      </c>
      <c r="K226">
        <v>60651.9</v>
      </c>
      <c r="L226">
        <v>121303.8</v>
      </c>
      <c r="M226">
        <v>1500</v>
      </c>
      <c r="N226" t="s">
        <v>1161</v>
      </c>
      <c r="O226" t="s">
        <v>1164</v>
      </c>
      <c r="P226" s="10">
        <v>45739</v>
      </c>
      <c r="Q226" t="str">
        <f t="shared" si="9"/>
        <v>excellent</v>
      </c>
      <c r="R226">
        <f t="shared" si="10"/>
        <v>3</v>
      </c>
      <c r="S226" s="6">
        <f t="shared" si="11"/>
        <v>2</v>
      </c>
    </row>
    <row r="227" spans="1:19" x14ac:dyDescent="0.3">
      <c r="A227" s="10">
        <v>45785</v>
      </c>
      <c r="B227" t="s">
        <v>243</v>
      </c>
      <c r="C227" t="s">
        <v>1124</v>
      </c>
      <c r="D227" t="s">
        <v>1135</v>
      </c>
      <c r="E227" t="s">
        <v>1142</v>
      </c>
      <c r="F227" t="s">
        <v>1150</v>
      </c>
      <c r="G227" t="s">
        <v>1156</v>
      </c>
      <c r="H227">
        <v>2</v>
      </c>
      <c r="I227">
        <v>57934</v>
      </c>
      <c r="J227" s="6">
        <v>10</v>
      </c>
      <c r="K227">
        <v>52140.6</v>
      </c>
      <c r="L227">
        <v>104281.2</v>
      </c>
      <c r="M227">
        <v>1000</v>
      </c>
      <c r="N227" t="s">
        <v>1159</v>
      </c>
      <c r="O227" t="s">
        <v>1163</v>
      </c>
      <c r="Q227" t="str">
        <f t="shared" si="9"/>
        <v>no comment</v>
      </c>
      <c r="R227">
        <f t="shared" si="10"/>
        <v>1</v>
      </c>
      <c r="S227" s="6">
        <f t="shared" si="11"/>
        <v>0</v>
      </c>
    </row>
    <row r="228" spans="1:19" x14ac:dyDescent="0.3">
      <c r="A228" s="10">
        <v>45822</v>
      </c>
      <c r="B228" t="s">
        <v>244</v>
      </c>
      <c r="C228" t="s">
        <v>1118</v>
      </c>
      <c r="D228" t="s">
        <v>1134</v>
      </c>
      <c r="E228" t="s">
        <v>1147</v>
      </c>
      <c r="F228" t="s">
        <v>1150</v>
      </c>
      <c r="G228" t="s">
        <v>1156</v>
      </c>
      <c r="H228">
        <v>5</v>
      </c>
      <c r="I228">
        <v>75400</v>
      </c>
      <c r="J228" s="6">
        <v>20</v>
      </c>
      <c r="K228">
        <v>60320</v>
      </c>
      <c r="L228">
        <v>301600</v>
      </c>
      <c r="M228">
        <v>1000</v>
      </c>
      <c r="N228" t="s">
        <v>1160</v>
      </c>
      <c r="O228" t="s">
        <v>1164</v>
      </c>
      <c r="P228" s="10">
        <v>45829</v>
      </c>
      <c r="Q228" t="str">
        <f t="shared" si="9"/>
        <v>excellent</v>
      </c>
      <c r="R228">
        <f t="shared" si="10"/>
        <v>3</v>
      </c>
      <c r="S228" s="6">
        <f t="shared" si="11"/>
        <v>7</v>
      </c>
    </row>
    <row r="229" spans="1:19" x14ac:dyDescent="0.3">
      <c r="A229" s="10">
        <v>45828</v>
      </c>
      <c r="B229" t="s">
        <v>245</v>
      </c>
      <c r="C229" t="s">
        <v>1131</v>
      </c>
      <c r="D229" t="s">
        <v>1136</v>
      </c>
      <c r="E229" t="s">
        <v>1137</v>
      </c>
      <c r="F229" t="s">
        <v>1149</v>
      </c>
      <c r="G229" t="s">
        <v>1152</v>
      </c>
      <c r="H229">
        <v>3</v>
      </c>
      <c r="I229">
        <v>56414</v>
      </c>
      <c r="J229" s="6">
        <v>5</v>
      </c>
      <c r="K229">
        <v>53593.3</v>
      </c>
      <c r="L229">
        <v>160779.9</v>
      </c>
      <c r="M229">
        <v>1500</v>
      </c>
      <c r="N229" t="s">
        <v>1161</v>
      </c>
      <c r="O229" t="s">
        <v>1162</v>
      </c>
      <c r="Q229" t="str">
        <f t="shared" si="9"/>
        <v>okay</v>
      </c>
      <c r="R229">
        <f t="shared" si="10"/>
        <v>2</v>
      </c>
      <c r="S229" s="6">
        <f t="shared" si="11"/>
        <v>0</v>
      </c>
    </row>
    <row r="230" spans="1:19" x14ac:dyDescent="0.3">
      <c r="A230" s="10">
        <v>45798</v>
      </c>
      <c r="B230" t="s">
        <v>246</v>
      </c>
      <c r="C230" t="s">
        <v>1131</v>
      </c>
      <c r="D230" t="s">
        <v>1136</v>
      </c>
      <c r="E230" t="s">
        <v>1141</v>
      </c>
      <c r="F230" t="s">
        <v>1151</v>
      </c>
      <c r="G230" t="s">
        <v>1155</v>
      </c>
      <c r="H230">
        <v>2</v>
      </c>
      <c r="I230">
        <v>7757</v>
      </c>
      <c r="J230" s="6">
        <v>10</v>
      </c>
      <c r="K230">
        <v>6981.3</v>
      </c>
      <c r="L230">
        <v>13962.6</v>
      </c>
      <c r="M230">
        <v>1500</v>
      </c>
      <c r="N230" t="s">
        <v>1161</v>
      </c>
      <c r="O230" t="s">
        <v>1163</v>
      </c>
      <c r="Q230" t="str">
        <f t="shared" si="9"/>
        <v>no comment</v>
      </c>
      <c r="R230">
        <f t="shared" si="10"/>
        <v>1</v>
      </c>
      <c r="S230" s="6">
        <f t="shared" si="11"/>
        <v>0</v>
      </c>
    </row>
    <row r="231" spans="1:19" x14ac:dyDescent="0.3">
      <c r="A231" s="10">
        <v>45799</v>
      </c>
      <c r="B231" t="s">
        <v>247</v>
      </c>
      <c r="C231" t="s">
        <v>1127</v>
      </c>
      <c r="D231" t="s">
        <v>1134</v>
      </c>
      <c r="E231" t="s">
        <v>1148</v>
      </c>
      <c r="F231" t="s">
        <v>1149</v>
      </c>
      <c r="G231" t="s">
        <v>1152</v>
      </c>
      <c r="H231">
        <v>5</v>
      </c>
      <c r="I231">
        <v>46734</v>
      </c>
      <c r="J231" s="6">
        <v>5</v>
      </c>
      <c r="K231">
        <v>44397.3</v>
      </c>
      <c r="L231">
        <v>221986.5</v>
      </c>
      <c r="M231">
        <v>2000</v>
      </c>
      <c r="N231" t="s">
        <v>1161</v>
      </c>
      <c r="O231" t="s">
        <v>1162</v>
      </c>
      <c r="Q231" t="str">
        <f t="shared" si="9"/>
        <v>okay</v>
      </c>
      <c r="R231">
        <f t="shared" si="10"/>
        <v>2</v>
      </c>
      <c r="S231" s="6">
        <f t="shared" si="11"/>
        <v>0</v>
      </c>
    </row>
    <row r="232" spans="1:19" x14ac:dyDescent="0.3">
      <c r="A232" s="10">
        <v>45692</v>
      </c>
      <c r="B232" t="s">
        <v>248</v>
      </c>
      <c r="C232" t="s">
        <v>1128</v>
      </c>
      <c r="D232" t="s">
        <v>1135</v>
      </c>
      <c r="E232" t="s">
        <v>1138</v>
      </c>
      <c r="F232" t="s">
        <v>1149</v>
      </c>
      <c r="G232" t="s">
        <v>1153</v>
      </c>
      <c r="H232">
        <v>2</v>
      </c>
      <c r="I232">
        <v>28737</v>
      </c>
      <c r="J232" s="6">
        <v>5</v>
      </c>
      <c r="K232">
        <v>27300.15</v>
      </c>
      <c r="L232">
        <v>54600.3</v>
      </c>
      <c r="M232">
        <v>2000</v>
      </c>
      <c r="N232" t="s">
        <v>1159</v>
      </c>
      <c r="O232" t="s">
        <v>1162</v>
      </c>
      <c r="Q232" t="str">
        <f t="shared" si="9"/>
        <v>okay</v>
      </c>
      <c r="R232">
        <f t="shared" si="10"/>
        <v>2</v>
      </c>
      <c r="S232" s="6">
        <f t="shared" si="11"/>
        <v>0</v>
      </c>
    </row>
    <row r="233" spans="1:19" x14ac:dyDescent="0.3">
      <c r="A233" s="10">
        <v>45702</v>
      </c>
      <c r="B233" t="s">
        <v>249</v>
      </c>
      <c r="C233" t="s">
        <v>1123</v>
      </c>
      <c r="D233" t="s">
        <v>1135</v>
      </c>
      <c r="E233" t="s">
        <v>1140</v>
      </c>
      <c r="F233" t="s">
        <v>1150</v>
      </c>
      <c r="G233" t="s">
        <v>1154</v>
      </c>
      <c r="H233">
        <v>3</v>
      </c>
      <c r="I233">
        <v>61822</v>
      </c>
      <c r="J233" s="6">
        <v>0</v>
      </c>
      <c r="K233">
        <v>61822</v>
      </c>
      <c r="L233">
        <v>185466</v>
      </c>
      <c r="M233">
        <v>1500</v>
      </c>
      <c r="N233" t="s">
        <v>1159</v>
      </c>
      <c r="O233" t="s">
        <v>1163</v>
      </c>
      <c r="Q233" t="str">
        <f t="shared" si="9"/>
        <v>no comment</v>
      </c>
      <c r="R233">
        <f t="shared" si="10"/>
        <v>1</v>
      </c>
      <c r="S233" s="6">
        <f t="shared" si="11"/>
        <v>0</v>
      </c>
    </row>
    <row r="234" spans="1:19" x14ac:dyDescent="0.3">
      <c r="A234" s="10">
        <v>45808</v>
      </c>
      <c r="B234" t="s">
        <v>250</v>
      </c>
      <c r="C234" t="s">
        <v>1130</v>
      </c>
      <c r="D234" t="s">
        <v>1136</v>
      </c>
      <c r="E234" t="s">
        <v>1143</v>
      </c>
      <c r="F234" t="s">
        <v>1151</v>
      </c>
      <c r="G234" t="s">
        <v>1157</v>
      </c>
      <c r="H234">
        <v>5</v>
      </c>
      <c r="I234">
        <v>59775</v>
      </c>
      <c r="J234" s="6">
        <v>5</v>
      </c>
      <c r="K234">
        <v>56786.25</v>
      </c>
      <c r="L234">
        <v>283931.25</v>
      </c>
      <c r="M234">
        <v>2000</v>
      </c>
      <c r="N234" t="s">
        <v>1159</v>
      </c>
      <c r="O234" t="s">
        <v>1164</v>
      </c>
      <c r="P234" s="10">
        <v>45816</v>
      </c>
      <c r="Q234" t="str">
        <f t="shared" si="9"/>
        <v>excellent</v>
      </c>
      <c r="R234">
        <f t="shared" si="10"/>
        <v>3</v>
      </c>
      <c r="S234" s="6">
        <f t="shared" si="11"/>
        <v>8</v>
      </c>
    </row>
    <row r="235" spans="1:19" x14ac:dyDescent="0.3">
      <c r="A235" s="10">
        <v>45817</v>
      </c>
      <c r="B235" t="s">
        <v>251</v>
      </c>
      <c r="C235" t="s">
        <v>1124</v>
      </c>
      <c r="D235" t="s">
        <v>1135</v>
      </c>
      <c r="E235" t="s">
        <v>1144</v>
      </c>
      <c r="F235" t="s">
        <v>1151</v>
      </c>
      <c r="G235" t="s">
        <v>1157</v>
      </c>
      <c r="H235">
        <v>1</v>
      </c>
      <c r="I235">
        <v>77056</v>
      </c>
      <c r="J235" s="6">
        <v>20</v>
      </c>
      <c r="K235">
        <v>61644.800000000003</v>
      </c>
      <c r="L235">
        <v>61644.800000000003</v>
      </c>
      <c r="M235">
        <v>1500</v>
      </c>
      <c r="N235" t="s">
        <v>1161</v>
      </c>
      <c r="O235" t="s">
        <v>1163</v>
      </c>
      <c r="Q235" t="str">
        <f t="shared" si="9"/>
        <v>no comment</v>
      </c>
      <c r="R235">
        <f t="shared" si="10"/>
        <v>1</v>
      </c>
      <c r="S235" s="6">
        <f t="shared" si="11"/>
        <v>0</v>
      </c>
    </row>
    <row r="236" spans="1:19" x14ac:dyDescent="0.3">
      <c r="A236" s="10">
        <v>45832</v>
      </c>
      <c r="B236" t="s">
        <v>252</v>
      </c>
      <c r="C236" t="s">
        <v>1122</v>
      </c>
      <c r="D236" t="s">
        <v>1136</v>
      </c>
      <c r="E236" t="s">
        <v>1144</v>
      </c>
      <c r="F236" t="s">
        <v>1151</v>
      </c>
      <c r="G236" t="s">
        <v>1157</v>
      </c>
      <c r="H236">
        <v>4</v>
      </c>
      <c r="I236">
        <v>53137</v>
      </c>
      <c r="J236" s="6">
        <v>10</v>
      </c>
      <c r="K236">
        <v>47823.3</v>
      </c>
      <c r="L236">
        <v>191293.2</v>
      </c>
      <c r="M236">
        <v>1500</v>
      </c>
      <c r="N236" t="s">
        <v>1160</v>
      </c>
      <c r="O236" t="s">
        <v>1162</v>
      </c>
      <c r="Q236" t="str">
        <f t="shared" si="9"/>
        <v>okay</v>
      </c>
      <c r="R236">
        <f t="shared" si="10"/>
        <v>2</v>
      </c>
      <c r="S236" s="6">
        <f t="shared" si="11"/>
        <v>0</v>
      </c>
    </row>
    <row r="237" spans="1:19" x14ac:dyDescent="0.3">
      <c r="A237" s="10">
        <v>45815</v>
      </c>
      <c r="B237" t="s">
        <v>253</v>
      </c>
      <c r="C237" t="s">
        <v>1128</v>
      </c>
      <c r="D237" t="s">
        <v>1135</v>
      </c>
      <c r="E237" t="s">
        <v>1137</v>
      </c>
      <c r="F237" t="s">
        <v>1149</v>
      </c>
      <c r="G237" t="s">
        <v>1152</v>
      </c>
      <c r="H237">
        <v>2</v>
      </c>
      <c r="I237">
        <v>67084</v>
      </c>
      <c r="J237" s="6">
        <v>20</v>
      </c>
      <c r="K237">
        <v>53667.199999999997</v>
      </c>
      <c r="L237">
        <v>107334.39999999999</v>
      </c>
      <c r="M237">
        <v>2000</v>
      </c>
      <c r="N237" t="s">
        <v>1160</v>
      </c>
      <c r="O237" t="s">
        <v>1162</v>
      </c>
      <c r="Q237" t="str">
        <f t="shared" si="9"/>
        <v>okay</v>
      </c>
      <c r="R237">
        <f t="shared" si="10"/>
        <v>2</v>
      </c>
      <c r="S237" s="6">
        <f t="shared" si="11"/>
        <v>0</v>
      </c>
    </row>
    <row r="238" spans="1:19" x14ac:dyDescent="0.3">
      <c r="A238" s="10">
        <v>45722</v>
      </c>
      <c r="B238" t="s">
        <v>254</v>
      </c>
      <c r="C238" t="s">
        <v>1126</v>
      </c>
      <c r="D238" t="s">
        <v>1133</v>
      </c>
      <c r="E238" t="s">
        <v>1147</v>
      </c>
      <c r="F238" t="s">
        <v>1150</v>
      </c>
      <c r="G238" t="s">
        <v>1156</v>
      </c>
      <c r="H238">
        <v>5</v>
      </c>
      <c r="I238">
        <v>44255</v>
      </c>
      <c r="J238" s="6">
        <v>15</v>
      </c>
      <c r="K238">
        <v>37616.75</v>
      </c>
      <c r="L238">
        <v>188083.75</v>
      </c>
      <c r="M238">
        <v>1000</v>
      </c>
      <c r="N238" t="s">
        <v>1160</v>
      </c>
      <c r="O238" t="s">
        <v>1163</v>
      </c>
      <c r="Q238" t="str">
        <f t="shared" si="9"/>
        <v>no comment</v>
      </c>
      <c r="R238">
        <f t="shared" si="10"/>
        <v>1</v>
      </c>
      <c r="S238" s="6">
        <f t="shared" si="11"/>
        <v>0</v>
      </c>
    </row>
    <row r="239" spans="1:19" x14ac:dyDescent="0.3">
      <c r="A239" s="10">
        <v>45774</v>
      </c>
      <c r="B239" t="s">
        <v>255</v>
      </c>
      <c r="C239" t="s">
        <v>1121</v>
      </c>
      <c r="D239" t="s">
        <v>1136</v>
      </c>
      <c r="E239" t="s">
        <v>1139</v>
      </c>
      <c r="F239" t="s">
        <v>1150</v>
      </c>
      <c r="G239" t="s">
        <v>1154</v>
      </c>
      <c r="H239">
        <v>5</v>
      </c>
      <c r="I239">
        <v>50114</v>
      </c>
      <c r="J239" s="6">
        <v>15</v>
      </c>
      <c r="K239">
        <v>42596.9</v>
      </c>
      <c r="L239">
        <v>212984.5</v>
      </c>
      <c r="M239">
        <v>1500</v>
      </c>
      <c r="N239" t="s">
        <v>1160</v>
      </c>
      <c r="O239" t="s">
        <v>1162</v>
      </c>
      <c r="Q239" t="str">
        <f t="shared" si="9"/>
        <v>okay</v>
      </c>
      <c r="R239">
        <f t="shared" si="10"/>
        <v>2</v>
      </c>
      <c r="S239" s="6">
        <f t="shared" si="11"/>
        <v>0</v>
      </c>
    </row>
    <row r="240" spans="1:19" x14ac:dyDescent="0.3">
      <c r="A240" s="10">
        <v>45736</v>
      </c>
      <c r="B240" t="s">
        <v>256</v>
      </c>
      <c r="C240" t="s">
        <v>1129</v>
      </c>
      <c r="D240" t="s">
        <v>1133</v>
      </c>
      <c r="E240" t="s">
        <v>1148</v>
      </c>
      <c r="F240" t="s">
        <v>1149</v>
      </c>
      <c r="G240" t="s">
        <v>1152</v>
      </c>
      <c r="H240">
        <v>4</v>
      </c>
      <c r="I240">
        <v>46683</v>
      </c>
      <c r="J240" s="6">
        <v>20</v>
      </c>
      <c r="K240">
        <v>37346.400000000001</v>
      </c>
      <c r="L240">
        <v>149385.60000000001</v>
      </c>
      <c r="M240">
        <v>1000</v>
      </c>
      <c r="N240" t="s">
        <v>1161</v>
      </c>
      <c r="O240" t="s">
        <v>1164</v>
      </c>
      <c r="P240" s="10">
        <v>45743</v>
      </c>
      <c r="Q240" t="str">
        <f t="shared" si="9"/>
        <v>excellent</v>
      </c>
      <c r="R240">
        <f t="shared" si="10"/>
        <v>3</v>
      </c>
      <c r="S240" s="6">
        <f t="shared" si="11"/>
        <v>7</v>
      </c>
    </row>
    <row r="241" spans="1:19" x14ac:dyDescent="0.3">
      <c r="A241" s="10">
        <v>45739</v>
      </c>
      <c r="B241" t="s">
        <v>257</v>
      </c>
      <c r="C241" t="s">
        <v>1118</v>
      </c>
      <c r="D241" t="s">
        <v>1134</v>
      </c>
      <c r="E241" t="s">
        <v>1144</v>
      </c>
      <c r="F241" t="s">
        <v>1151</v>
      </c>
      <c r="G241" t="s">
        <v>1157</v>
      </c>
      <c r="H241">
        <v>1</v>
      </c>
      <c r="I241">
        <v>76538</v>
      </c>
      <c r="J241" s="6">
        <v>10</v>
      </c>
      <c r="K241">
        <v>68884.2</v>
      </c>
      <c r="L241">
        <v>68884.2</v>
      </c>
      <c r="M241">
        <v>1000</v>
      </c>
      <c r="N241" t="s">
        <v>1160</v>
      </c>
      <c r="O241" t="s">
        <v>1163</v>
      </c>
      <c r="Q241" t="str">
        <f t="shared" si="9"/>
        <v>no comment</v>
      </c>
      <c r="R241">
        <f t="shared" si="10"/>
        <v>1</v>
      </c>
      <c r="S241" s="6">
        <f t="shared" si="11"/>
        <v>0</v>
      </c>
    </row>
    <row r="242" spans="1:19" x14ac:dyDescent="0.3">
      <c r="A242" s="10">
        <v>45802</v>
      </c>
      <c r="B242" t="s">
        <v>258</v>
      </c>
      <c r="C242" t="s">
        <v>1131</v>
      </c>
      <c r="D242" t="s">
        <v>1136</v>
      </c>
      <c r="E242" t="s">
        <v>1140</v>
      </c>
      <c r="F242" t="s">
        <v>1150</v>
      </c>
      <c r="G242" t="s">
        <v>1154</v>
      </c>
      <c r="H242">
        <v>1</v>
      </c>
      <c r="I242">
        <v>58162</v>
      </c>
      <c r="J242" s="6">
        <v>5</v>
      </c>
      <c r="K242">
        <v>55253.9</v>
      </c>
      <c r="L242">
        <v>55253.9</v>
      </c>
      <c r="M242">
        <v>1000</v>
      </c>
      <c r="N242" t="s">
        <v>1159</v>
      </c>
      <c r="O242" t="s">
        <v>1164</v>
      </c>
      <c r="P242" s="10">
        <v>45811</v>
      </c>
      <c r="Q242" t="str">
        <f t="shared" si="9"/>
        <v>excellent</v>
      </c>
      <c r="R242">
        <f t="shared" si="10"/>
        <v>3</v>
      </c>
      <c r="S242" s="6">
        <f t="shared" si="11"/>
        <v>9</v>
      </c>
    </row>
    <row r="243" spans="1:19" x14ac:dyDescent="0.3">
      <c r="A243" s="10">
        <v>45758</v>
      </c>
      <c r="B243" t="s">
        <v>259</v>
      </c>
      <c r="C243" t="s">
        <v>1117</v>
      </c>
      <c r="D243" t="s">
        <v>1133</v>
      </c>
      <c r="E243" t="s">
        <v>1137</v>
      </c>
      <c r="F243" t="s">
        <v>1149</v>
      </c>
      <c r="G243" t="s">
        <v>1152</v>
      </c>
      <c r="H243">
        <v>4</v>
      </c>
      <c r="I243">
        <v>66058</v>
      </c>
      <c r="J243" s="6">
        <v>20</v>
      </c>
      <c r="K243">
        <v>52846.400000000001</v>
      </c>
      <c r="L243">
        <v>211385.60000000001</v>
      </c>
      <c r="M243">
        <v>2000</v>
      </c>
      <c r="N243" t="s">
        <v>1159</v>
      </c>
      <c r="O243" t="s">
        <v>1162</v>
      </c>
      <c r="Q243" t="str">
        <f t="shared" si="9"/>
        <v>okay</v>
      </c>
      <c r="R243">
        <f t="shared" si="10"/>
        <v>2</v>
      </c>
      <c r="S243" s="6">
        <f t="shared" si="11"/>
        <v>0</v>
      </c>
    </row>
    <row r="244" spans="1:19" x14ac:dyDescent="0.3">
      <c r="A244" s="10">
        <v>45789</v>
      </c>
      <c r="B244" t="s">
        <v>260</v>
      </c>
      <c r="C244" t="s">
        <v>1123</v>
      </c>
      <c r="D244" t="s">
        <v>1135</v>
      </c>
      <c r="E244" t="s">
        <v>1148</v>
      </c>
      <c r="F244" t="s">
        <v>1149</v>
      </c>
      <c r="G244" t="s">
        <v>1152</v>
      </c>
      <c r="H244">
        <v>3</v>
      </c>
      <c r="I244">
        <v>54022</v>
      </c>
      <c r="J244" s="6">
        <v>10</v>
      </c>
      <c r="K244">
        <v>48619.8</v>
      </c>
      <c r="L244">
        <v>145859.4</v>
      </c>
      <c r="M244">
        <v>1500</v>
      </c>
      <c r="N244" t="s">
        <v>1160</v>
      </c>
      <c r="O244" t="s">
        <v>1163</v>
      </c>
      <c r="Q244" t="str">
        <f t="shared" si="9"/>
        <v>no comment</v>
      </c>
      <c r="R244">
        <f t="shared" si="10"/>
        <v>1</v>
      </c>
      <c r="S244" s="6">
        <f t="shared" si="11"/>
        <v>0</v>
      </c>
    </row>
    <row r="245" spans="1:19" x14ac:dyDescent="0.3">
      <c r="A245" s="10">
        <v>45767</v>
      </c>
      <c r="B245" t="s">
        <v>261</v>
      </c>
      <c r="C245" t="s">
        <v>1120</v>
      </c>
      <c r="D245" t="s">
        <v>1135</v>
      </c>
      <c r="E245" t="s">
        <v>1140</v>
      </c>
      <c r="F245" t="s">
        <v>1150</v>
      </c>
      <c r="G245" t="s">
        <v>1154</v>
      </c>
      <c r="H245">
        <v>2</v>
      </c>
      <c r="I245">
        <v>61722</v>
      </c>
      <c r="J245" s="6">
        <v>5</v>
      </c>
      <c r="K245">
        <v>58635.9</v>
      </c>
      <c r="L245">
        <v>117271.8</v>
      </c>
      <c r="M245">
        <v>2000</v>
      </c>
      <c r="N245" t="s">
        <v>1160</v>
      </c>
      <c r="O245" t="s">
        <v>1162</v>
      </c>
      <c r="Q245" t="str">
        <f t="shared" si="9"/>
        <v>okay</v>
      </c>
      <c r="R245">
        <f t="shared" si="10"/>
        <v>2</v>
      </c>
      <c r="S245" s="6">
        <f t="shared" si="11"/>
        <v>0</v>
      </c>
    </row>
    <row r="246" spans="1:19" x14ac:dyDescent="0.3">
      <c r="A246" s="10">
        <v>45754</v>
      </c>
      <c r="B246" t="s">
        <v>262</v>
      </c>
      <c r="C246" t="s">
        <v>1119</v>
      </c>
      <c r="D246" t="s">
        <v>1134</v>
      </c>
      <c r="E246" t="s">
        <v>1138</v>
      </c>
      <c r="F246" t="s">
        <v>1149</v>
      </c>
      <c r="G246" t="s">
        <v>1153</v>
      </c>
      <c r="H246">
        <v>3</v>
      </c>
      <c r="I246">
        <v>71773</v>
      </c>
      <c r="J246" s="6">
        <v>5</v>
      </c>
      <c r="K246">
        <v>68184.350000000006</v>
      </c>
      <c r="L246">
        <v>204553.05</v>
      </c>
      <c r="M246">
        <v>1000</v>
      </c>
      <c r="N246" t="s">
        <v>1160</v>
      </c>
      <c r="O246" t="s">
        <v>1162</v>
      </c>
      <c r="Q246" t="str">
        <f t="shared" si="9"/>
        <v>okay</v>
      </c>
      <c r="R246">
        <f t="shared" si="10"/>
        <v>2</v>
      </c>
      <c r="S246" s="6">
        <f t="shared" si="11"/>
        <v>0</v>
      </c>
    </row>
    <row r="247" spans="1:19" x14ac:dyDescent="0.3">
      <c r="A247" s="10">
        <v>45801</v>
      </c>
      <c r="B247" t="s">
        <v>263</v>
      </c>
      <c r="C247" t="s">
        <v>1118</v>
      </c>
      <c r="D247" t="s">
        <v>1134</v>
      </c>
      <c r="E247" t="s">
        <v>1146</v>
      </c>
      <c r="F247" t="s">
        <v>1151</v>
      </c>
      <c r="G247" t="s">
        <v>1155</v>
      </c>
      <c r="H247">
        <v>2</v>
      </c>
      <c r="I247">
        <v>7448</v>
      </c>
      <c r="J247" s="6">
        <v>10</v>
      </c>
      <c r="K247">
        <v>6703.2</v>
      </c>
      <c r="L247">
        <v>13406.4</v>
      </c>
      <c r="M247">
        <v>1500</v>
      </c>
      <c r="N247" t="s">
        <v>1161</v>
      </c>
      <c r="O247" t="s">
        <v>1163</v>
      </c>
      <c r="Q247" t="str">
        <f t="shared" si="9"/>
        <v>no comment</v>
      </c>
      <c r="R247">
        <f t="shared" si="10"/>
        <v>1</v>
      </c>
      <c r="S247" s="6">
        <f t="shared" si="11"/>
        <v>0</v>
      </c>
    </row>
    <row r="248" spans="1:19" x14ac:dyDescent="0.3">
      <c r="A248" s="10">
        <v>45736</v>
      </c>
      <c r="B248" t="s">
        <v>264</v>
      </c>
      <c r="C248" t="s">
        <v>1126</v>
      </c>
      <c r="D248" t="s">
        <v>1133</v>
      </c>
      <c r="E248" t="s">
        <v>1141</v>
      </c>
      <c r="F248" t="s">
        <v>1151</v>
      </c>
      <c r="G248" t="s">
        <v>1155</v>
      </c>
      <c r="H248">
        <v>5</v>
      </c>
      <c r="I248">
        <v>26908</v>
      </c>
      <c r="J248" s="6">
        <v>10</v>
      </c>
      <c r="K248">
        <v>24217.200000000001</v>
      </c>
      <c r="L248">
        <v>121086</v>
      </c>
      <c r="M248">
        <v>1000</v>
      </c>
      <c r="N248" t="s">
        <v>1161</v>
      </c>
      <c r="O248" t="s">
        <v>1162</v>
      </c>
      <c r="Q248" t="str">
        <f t="shared" si="9"/>
        <v>okay</v>
      </c>
      <c r="R248">
        <f t="shared" si="10"/>
        <v>2</v>
      </c>
      <c r="S248" s="6">
        <f t="shared" si="11"/>
        <v>0</v>
      </c>
    </row>
    <row r="249" spans="1:19" x14ac:dyDescent="0.3">
      <c r="A249" s="10">
        <v>45682</v>
      </c>
      <c r="B249" t="s">
        <v>265</v>
      </c>
      <c r="C249" t="s">
        <v>1121</v>
      </c>
      <c r="D249" t="s">
        <v>1136</v>
      </c>
      <c r="E249" t="s">
        <v>1142</v>
      </c>
      <c r="F249" t="s">
        <v>1150</v>
      </c>
      <c r="G249" t="s">
        <v>1156</v>
      </c>
      <c r="H249">
        <v>5</v>
      </c>
      <c r="I249">
        <v>14062</v>
      </c>
      <c r="J249" s="6">
        <v>0</v>
      </c>
      <c r="K249">
        <v>14062</v>
      </c>
      <c r="L249">
        <v>70310</v>
      </c>
      <c r="M249">
        <v>2000</v>
      </c>
      <c r="N249" t="s">
        <v>1160</v>
      </c>
      <c r="O249" t="s">
        <v>1164</v>
      </c>
      <c r="P249" s="10">
        <v>45688</v>
      </c>
      <c r="Q249" t="str">
        <f t="shared" si="9"/>
        <v>excellent</v>
      </c>
      <c r="R249">
        <f t="shared" si="10"/>
        <v>3</v>
      </c>
      <c r="S249" s="6">
        <f t="shared" si="11"/>
        <v>6</v>
      </c>
    </row>
    <row r="250" spans="1:19" x14ac:dyDescent="0.3">
      <c r="A250" s="10">
        <v>45779</v>
      </c>
      <c r="B250" t="s">
        <v>266</v>
      </c>
      <c r="C250" t="s">
        <v>1119</v>
      </c>
      <c r="D250" t="s">
        <v>1134</v>
      </c>
      <c r="E250" t="s">
        <v>1138</v>
      </c>
      <c r="F250" t="s">
        <v>1149</v>
      </c>
      <c r="G250" t="s">
        <v>1153</v>
      </c>
      <c r="H250">
        <v>3</v>
      </c>
      <c r="I250">
        <v>32279</v>
      </c>
      <c r="J250" s="6">
        <v>20</v>
      </c>
      <c r="K250">
        <v>25823.200000000001</v>
      </c>
      <c r="L250">
        <v>77469.600000000006</v>
      </c>
      <c r="M250">
        <v>1500</v>
      </c>
      <c r="N250" t="s">
        <v>1160</v>
      </c>
      <c r="O250" t="s">
        <v>1163</v>
      </c>
      <c r="Q250" t="str">
        <f t="shared" si="9"/>
        <v>no comment</v>
      </c>
      <c r="R250">
        <f t="shared" si="10"/>
        <v>1</v>
      </c>
      <c r="S250" s="6">
        <f t="shared" si="11"/>
        <v>0</v>
      </c>
    </row>
    <row r="251" spans="1:19" x14ac:dyDescent="0.3">
      <c r="A251" s="10">
        <v>45821</v>
      </c>
      <c r="B251" t="s">
        <v>267</v>
      </c>
      <c r="C251" t="s">
        <v>1128</v>
      </c>
      <c r="D251" t="s">
        <v>1135</v>
      </c>
      <c r="E251" t="s">
        <v>1138</v>
      </c>
      <c r="F251" t="s">
        <v>1149</v>
      </c>
      <c r="G251" t="s">
        <v>1153</v>
      </c>
      <c r="H251">
        <v>4</v>
      </c>
      <c r="I251">
        <v>72794</v>
      </c>
      <c r="J251" s="6">
        <v>20</v>
      </c>
      <c r="K251">
        <v>58235.199999999997</v>
      </c>
      <c r="L251">
        <v>232940.79999999999</v>
      </c>
      <c r="M251">
        <v>1000</v>
      </c>
      <c r="N251" t="s">
        <v>1159</v>
      </c>
      <c r="O251" t="s">
        <v>1162</v>
      </c>
      <c r="Q251" t="str">
        <f t="shared" si="9"/>
        <v>okay</v>
      </c>
      <c r="R251">
        <f t="shared" si="10"/>
        <v>2</v>
      </c>
      <c r="S251" s="6">
        <f t="shared" si="11"/>
        <v>0</v>
      </c>
    </row>
    <row r="252" spans="1:19" x14ac:dyDescent="0.3">
      <c r="A252" s="10">
        <v>45746</v>
      </c>
      <c r="B252" t="s">
        <v>268</v>
      </c>
      <c r="C252" t="s">
        <v>1131</v>
      </c>
      <c r="D252" t="s">
        <v>1136</v>
      </c>
      <c r="E252" t="s">
        <v>1145</v>
      </c>
      <c r="F252" t="s">
        <v>1149</v>
      </c>
      <c r="G252" t="s">
        <v>1153</v>
      </c>
      <c r="H252">
        <v>3</v>
      </c>
      <c r="I252">
        <v>20362</v>
      </c>
      <c r="J252" s="6">
        <v>15</v>
      </c>
      <c r="K252">
        <v>17307.7</v>
      </c>
      <c r="L252">
        <v>51923.100000000013</v>
      </c>
      <c r="M252">
        <v>1000</v>
      </c>
      <c r="N252" t="s">
        <v>1160</v>
      </c>
      <c r="O252" t="s">
        <v>1162</v>
      </c>
      <c r="Q252" t="str">
        <f t="shared" si="9"/>
        <v>okay</v>
      </c>
      <c r="R252">
        <f t="shared" si="10"/>
        <v>2</v>
      </c>
      <c r="S252" s="6">
        <f t="shared" si="11"/>
        <v>0</v>
      </c>
    </row>
    <row r="253" spans="1:19" x14ac:dyDescent="0.3">
      <c r="A253" s="10">
        <v>45683</v>
      </c>
      <c r="B253" t="s">
        <v>269</v>
      </c>
      <c r="C253" t="s">
        <v>1118</v>
      </c>
      <c r="D253" t="s">
        <v>1134</v>
      </c>
      <c r="E253" t="s">
        <v>1146</v>
      </c>
      <c r="F253" t="s">
        <v>1151</v>
      </c>
      <c r="G253" t="s">
        <v>1155</v>
      </c>
      <c r="H253">
        <v>1</v>
      </c>
      <c r="I253">
        <v>2720</v>
      </c>
      <c r="J253" s="6">
        <v>0</v>
      </c>
      <c r="K253">
        <v>2720</v>
      </c>
      <c r="L253">
        <v>2720</v>
      </c>
      <c r="M253">
        <v>1000</v>
      </c>
      <c r="N253" t="s">
        <v>1161</v>
      </c>
      <c r="O253" t="s">
        <v>1164</v>
      </c>
      <c r="P253" s="10">
        <v>45685</v>
      </c>
      <c r="Q253" t="str">
        <f t="shared" si="9"/>
        <v>excellent</v>
      </c>
      <c r="R253">
        <f t="shared" si="10"/>
        <v>3</v>
      </c>
      <c r="S253" s="6">
        <f t="shared" si="11"/>
        <v>2</v>
      </c>
    </row>
    <row r="254" spans="1:19" x14ac:dyDescent="0.3">
      <c r="A254" s="10">
        <v>45727</v>
      </c>
      <c r="B254" t="s">
        <v>270</v>
      </c>
      <c r="C254" t="s">
        <v>1117</v>
      </c>
      <c r="D254" t="s">
        <v>1133</v>
      </c>
      <c r="E254" t="s">
        <v>1148</v>
      </c>
      <c r="F254" t="s">
        <v>1149</v>
      </c>
      <c r="G254" t="s">
        <v>1152</v>
      </c>
      <c r="H254">
        <v>1</v>
      </c>
      <c r="I254">
        <v>37321</v>
      </c>
      <c r="J254" s="6">
        <v>10</v>
      </c>
      <c r="K254">
        <v>33588.9</v>
      </c>
      <c r="L254">
        <v>33588.9</v>
      </c>
      <c r="M254">
        <v>2000</v>
      </c>
      <c r="N254" t="s">
        <v>1160</v>
      </c>
      <c r="O254" t="s">
        <v>1164</v>
      </c>
      <c r="P254" s="10">
        <v>45730</v>
      </c>
      <c r="Q254" t="str">
        <f t="shared" si="9"/>
        <v>excellent</v>
      </c>
      <c r="R254">
        <f t="shared" si="10"/>
        <v>3</v>
      </c>
      <c r="S254" s="6">
        <f t="shared" si="11"/>
        <v>3</v>
      </c>
    </row>
    <row r="255" spans="1:19" x14ac:dyDescent="0.3">
      <c r="A255" s="10">
        <v>45767</v>
      </c>
      <c r="B255" t="s">
        <v>271</v>
      </c>
      <c r="C255" t="s">
        <v>1121</v>
      </c>
      <c r="D255" t="s">
        <v>1136</v>
      </c>
      <c r="E255" t="s">
        <v>1143</v>
      </c>
      <c r="F255" t="s">
        <v>1151</v>
      </c>
      <c r="G255" t="s">
        <v>1157</v>
      </c>
      <c r="H255">
        <v>3</v>
      </c>
      <c r="I255">
        <v>72362</v>
      </c>
      <c r="J255" s="6">
        <v>0</v>
      </c>
      <c r="K255">
        <v>72362</v>
      </c>
      <c r="L255">
        <v>217086</v>
      </c>
      <c r="M255">
        <v>2000</v>
      </c>
      <c r="N255" t="s">
        <v>1161</v>
      </c>
      <c r="O255" t="s">
        <v>1163</v>
      </c>
      <c r="Q255" t="str">
        <f t="shared" si="9"/>
        <v>no comment</v>
      </c>
      <c r="R255">
        <f t="shared" si="10"/>
        <v>1</v>
      </c>
      <c r="S255" s="6">
        <f t="shared" si="11"/>
        <v>0</v>
      </c>
    </row>
    <row r="256" spans="1:19" x14ac:dyDescent="0.3">
      <c r="A256" s="10">
        <v>45729</v>
      </c>
      <c r="B256" t="s">
        <v>272</v>
      </c>
      <c r="C256" t="s">
        <v>1121</v>
      </c>
      <c r="D256" t="s">
        <v>1136</v>
      </c>
      <c r="E256" t="s">
        <v>1137</v>
      </c>
      <c r="F256" t="s">
        <v>1149</v>
      </c>
      <c r="G256" t="s">
        <v>1152</v>
      </c>
      <c r="H256">
        <v>3</v>
      </c>
      <c r="I256">
        <v>21163</v>
      </c>
      <c r="J256" s="6">
        <v>0</v>
      </c>
      <c r="K256">
        <v>21163</v>
      </c>
      <c r="L256">
        <v>63489</v>
      </c>
      <c r="M256">
        <v>1500</v>
      </c>
      <c r="N256" t="s">
        <v>1161</v>
      </c>
      <c r="O256" t="s">
        <v>1163</v>
      </c>
      <c r="Q256" t="str">
        <f t="shared" si="9"/>
        <v>no comment</v>
      </c>
      <c r="R256">
        <f t="shared" si="10"/>
        <v>1</v>
      </c>
      <c r="S256" s="6">
        <f t="shared" si="11"/>
        <v>0</v>
      </c>
    </row>
    <row r="257" spans="1:19" x14ac:dyDescent="0.3">
      <c r="A257" s="10">
        <v>45674</v>
      </c>
      <c r="B257" t="s">
        <v>273</v>
      </c>
      <c r="C257" t="s">
        <v>1117</v>
      </c>
      <c r="D257" t="s">
        <v>1133</v>
      </c>
      <c r="E257" t="s">
        <v>1139</v>
      </c>
      <c r="F257" t="s">
        <v>1150</v>
      </c>
      <c r="G257" t="s">
        <v>1154</v>
      </c>
      <c r="H257">
        <v>4</v>
      </c>
      <c r="I257">
        <v>79703</v>
      </c>
      <c r="J257" s="6">
        <v>5</v>
      </c>
      <c r="K257">
        <v>75717.850000000006</v>
      </c>
      <c r="L257">
        <v>302871.40000000002</v>
      </c>
      <c r="M257">
        <v>1500</v>
      </c>
      <c r="N257" t="s">
        <v>1161</v>
      </c>
      <c r="O257" t="s">
        <v>1163</v>
      </c>
      <c r="Q257" t="str">
        <f t="shared" si="9"/>
        <v>no comment</v>
      </c>
      <c r="R257">
        <f t="shared" si="10"/>
        <v>1</v>
      </c>
      <c r="S257" s="6">
        <f t="shared" si="11"/>
        <v>0</v>
      </c>
    </row>
    <row r="258" spans="1:19" x14ac:dyDescent="0.3">
      <c r="A258" s="10">
        <v>45686</v>
      </c>
      <c r="B258" t="s">
        <v>274</v>
      </c>
      <c r="C258" t="s">
        <v>1124</v>
      </c>
      <c r="D258" t="s">
        <v>1135</v>
      </c>
      <c r="E258" t="s">
        <v>1137</v>
      </c>
      <c r="F258" t="s">
        <v>1149</v>
      </c>
      <c r="G258" t="s">
        <v>1152</v>
      </c>
      <c r="H258">
        <v>5</v>
      </c>
      <c r="I258">
        <v>73986</v>
      </c>
      <c r="J258" s="6">
        <v>10</v>
      </c>
      <c r="K258">
        <v>66587.399999999994</v>
      </c>
      <c r="L258">
        <v>332937</v>
      </c>
      <c r="M258">
        <v>2000</v>
      </c>
      <c r="N258" t="s">
        <v>1160</v>
      </c>
      <c r="O258" t="s">
        <v>1164</v>
      </c>
      <c r="P258" s="10">
        <v>45689</v>
      </c>
      <c r="Q258" t="str">
        <f t="shared" ref="Q258:Q321" si="12">IF(O258="delivered","excellent",IF(O258="in transit","okay",IF(O258="failed","no comment")))</f>
        <v>excellent</v>
      </c>
      <c r="R258">
        <f t="shared" si="10"/>
        <v>3</v>
      </c>
      <c r="S258" s="6">
        <f t="shared" si="11"/>
        <v>3</v>
      </c>
    </row>
    <row r="259" spans="1:19" x14ac:dyDescent="0.3">
      <c r="A259" s="10">
        <v>45705</v>
      </c>
      <c r="B259" t="s">
        <v>275</v>
      </c>
      <c r="C259" t="s">
        <v>1118</v>
      </c>
      <c r="D259" t="s">
        <v>1134</v>
      </c>
      <c r="E259" t="s">
        <v>1144</v>
      </c>
      <c r="F259" t="s">
        <v>1151</v>
      </c>
      <c r="G259" t="s">
        <v>1157</v>
      </c>
      <c r="H259">
        <v>2</v>
      </c>
      <c r="I259">
        <v>9004</v>
      </c>
      <c r="J259" s="6">
        <v>10</v>
      </c>
      <c r="K259">
        <v>8103.6</v>
      </c>
      <c r="L259">
        <v>16207.2</v>
      </c>
      <c r="M259">
        <v>2000</v>
      </c>
      <c r="N259" t="s">
        <v>1159</v>
      </c>
      <c r="O259" t="s">
        <v>1164</v>
      </c>
      <c r="P259" s="10">
        <v>45718</v>
      </c>
      <c r="Q259" t="str">
        <f t="shared" si="12"/>
        <v>excellent</v>
      </c>
      <c r="R259">
        <f t="shared" ref="R259:R322" si="13">IF(Q259="excellent",3,IF(Q259="no comment",1,IF(Q259="okay",2)))</f>
        <v>3</v>
      </c>
      <c r="S259" s="6">
        <f t="shared" ref="S259:S322" si="14">(IFERROR(DATEDIF(A259,P259,"d"),0))</f>
        <v>13</v>
      </c>
    </row>
    <row r="260" spans="1:19" x14ac:dyDescent="0.3">
      <c r="A260" s="10">
        <v>45694</v>
      </c>
      <c r="B260" t="s">
        <v>276</v>
      </c>
      <c r="C260" t="s">
        <v>1129</v>
      </c>
      <c r="D260" t="s">
        <v>1133</v>
      </c>
      <c r="E260" t="s">
        <v>1144</v>
      </c>
      <c r="F260" t="s">
        <v>1151</v>
      </c>
      <c r="G260" t="s">
        <v>1157</v>
      </c>
      <c r="H260">
        <v>2</v>
      </c>
      <c r="I260">
        <v>11958</v>
      </c>
      <c r="J260" s="6">
        <v>5</v>
      </c>
      <c r="K260">
        <v>11360.1</v>
      </c>
      <c r="L260">
        <v>22720.2</v>
      </c>
      <c r="M260">
        <v>2000</v>
      </c>
      <c r="N260" t="s">
        <v>1160</v>
      </c>
      <c r="O260" t="s">
        <v>1163</v>
      </c>
      <c r="Q260" t="str">
        <f t="shared" si="12"/>
        <v>no comment</v>
      </c>
      <c r="R260">
        <f t="shared" si="13"/>
        <v>1</v>
      </c>
      <c r="S260" s="6">
        <f t="shared" si="14"/>
        <v>0</v>
      </c>
    </row>
    <row r="261" spans="1:19" x14ac:dyDescent="0.3">
      <c r="A261" s="10">
        <v>45818</v>
      </c>
      <c r="B261" t="s">
        <v>277</v>
      </c>
      <c r="C261" t="s">
        <v>1118</v>
      </c>
      <c r="D261" t="s">
        <v>1134</v>
      </c>
      <c r="E261" t="s">
        <v>1144</v>
      </c>
      <c r="F261" t="s">
        <v>1151</v>
      </c>
      <c r="G261" t="s">
        <v>1157</v>
      </c>
      <c r="H261">
        <v>3</v>
      </c>
      <c r="I261">
        <v>69565</v>
      </c>
      <c r="J261" s="6">
        <v>20</v>
      </c>
      <c r="K261">
        <v>55652</v>
      </c>
      <c r="L261">
        <v>166956</v>
      </c>
      <c r="M261">
        <v>1500</v>
      </c>
      <c r="N261" t="s">
        <v>1161</v>
      </c>
      <c r="O261" t="s">
        <v>1164</v>
      </c>
      <c r="P261" s="10">
        <v>45825</v>
      </c>
      <c r="Q261" t="str">
        <f t="shared" si="12"/>
        <v>excellent</v>
      </c>
      <c r="R261">
        <f t="shared" si="13"/>
        <v>3</v>
      </c>
      <c r="S261" s="6">
        <f t="shared" si="14"/>
        <v>7</v>
      </c>
    </row>
    <row r="262" spans="1:19" x14ac:dyDescent="0.3">
      <c r="A262" s="10">
        <v>45769</v>
      </c>
      <c r="B262" t="s">
        <v>278</v>
      </c>
      <c r="C262" t="s">
        <v>1127</v>
      </c>
      <c r="D262" t="s">
        <v>1134</v>
      </c>
      <c r="E262" t="s">
        <v>1144</v>
      </c>
      <c r="F262" t="s">
        <v>1151</v>
      </c>
      <c r="G262" t="s">
        <v>1157</v>
      </c>
      <c r="H262">
        <v>1</v>
      </c>
      <c r="I262">
        <v>15601</v>
      </c>
      <c r="J262" s="6">
        <v>20</v>
      </c>
      <c r="K262">
        <v>12480.8</v>
      </c>
      <c r="L262">
        <v>12480.8</v>
      </c>
      <c r="M262">
        <v>2000</v>
      </c>
      <c r="N262" t="s">
        <v>1159</v>
      </c>
      <c r="O262" t="s">
        <v>1162</v>
      </c>
      <c r="Q262" t="str">
        <f t="shared" si="12"/>
        <v>okay</v>
      </c>
      <c r="R262">
        <f t="shared" si="13"/>
        <v>2</v>
      </c>
      <c r="S262" s="6">
        <f t="shared" si="14"/>
        <v>0</v>
      </c>
    </row>
    <row r="263" spans="1:19" x14ac:dyDescent="0.3">
      <c r="A263" s="10">
        <v>45681</v>
      </c>
      <c r="B263" t="s">
        <v>279</v>
      </c>
      <c r="C263" t="s">
        <v>1123</v>
      </c>
      <c r="D263" t="s">
        <v>1135</v>
      </c>
      <c r="E263" t="s">
        <v>1146</v>
      </c>
      <c r="F263" t="s">
        <v>1151</v>
      </c>
      <c r="G263" t="s">
        <v>1155</v>
      </c>
      <c r="H263">
        <v>3</v>
      </c>
      <c r="I263">
        <v>75046</v>
      </c>
      <c r="J263" s="6">
        <v>15</v>
      </c>
      <c r="K263">
        <v>63789.1</v>
      </c>
      <c r="L263">
        <v>191367.3</v>
      </c>
      <c r="M263">
        <v>2000</v>
      </c>
      <c r="N263" t="s">
        <v>1159</v>
      </c>
      <c r="O263" t="s">
        <v>1163</v>
      </c>
      <c r="Q263" t="str">
        <f t="shared" si="12"/>
        <v>no comment</v>
      </c>
      <c r="R263">
        <f t="shared" si="13"/>
        <v>1</v>
      </c>
      <c r="S263" s="6">
        <f t="shared" si="14"/>
        <v>0</v>
      </c>
    </row>
    <row r="264" spans="1:19" x14ac:dyDescent="0.3">
      <c r="A264" s="10">
        <v>45686</v>
      </c>
      <c r="B264" t="s">
        <v>280</v>
      </c>
      <c r="C264" t="s">
        <v>1131</v>
      </c>
      <c r="D264" t="s">
        <v>1136</v>
      </c>
      <c r="E264" t="s">
        <v>1144</v>
      </c>
      <c r="F264" t="s">
        <v>1151</v>
      </c>
      <c r="G264" t="s">
        <v>1157</v>
      </c>
      <c r="H264">
        <v>4</v>
      </c>
      <c r="I264">
        <v>33738</v>
      </c>
      <c r="J264" s="6">
        <v>15</v>
      </c>
      <c r="K264">
        <v>28677.3</v>
      </c>
      <c r="L264">
        <v>114709.2</v>
      </c>
      <c r="M264">
        <v>1000</v>
      </c>
      <c r="N264" t="s">
        <v>1161</v>
      </c>
      <c r="O264" t="s">
        <v>1162</v>
      </c>
      <c r="Q264" t="str">
        <f t="shared" si="12"/>
        <v>okay</v>
      </c>
      <c r="R264">
        <f t="shared" si="13"/>
        <v>2</v>
      </c>
      <c r="S264" s="6">
        <f t="shared" si="14"/>
        <v>0</v>
      </c>
    </row>
    <row r="265" spans="1:19" x14ac:dyDescent="0.3">
      <c r="A265" s="10">
        <v>45665</v>
      </c>
      <c r="B265" t="s">
        <v>281</v>
      </c>
      <c r="C265" t="s">
        <v>1122</v>
      </c>
      <c r="D265" t="s">
        <v>1136</v>
      </c>
      <c r="E265" t="s">
        <v>1147</v>
      </c>
      <c r="F265" t="s">
        <v>1150</v>
      </c>
      <c r="G265" t="s">
        <v>1156</v>
      </c>
      <c r="H265">
        <v>5</v>
      </c>
      <c r="I265">
        <v>16952</v>
      </c>
      <c r="J265" s="6">
        <v>15</v>
      </c>
      <c r="K265">
        <v>14409.2</v>
      </c>
      <c r="L265">
        <v>72046</v>
      </c>
      <c r="M265">
        <v>2000</v>
      </c>
      <c r="N265" t="s">
        <v>1160</v>
      </c>
      <c r="O265" t="s">
        <v>1162</v>
      </c>
      <c r="Q265" t="str">
        <f t="shared" si="12"/>
        <v>okay</v>
      </c>
      <c r="R265">
        <f t="shared" si="13"/>
        <v>2</v>
      </c>
      <c r="S265" s="6">
        <f t="shared" si="14"/>
        <v>0</v>
      </c>
    </row>
    <row r="266" spans="1:19" x14ac:dyDescent="0.3">
      <c r="A266" s="10">
        <v>45686</v>
      </c>
      <c r="B266" t="s">
        <v>282</v>
      </c>
      <c r="C266" t="s">
        <v>1119</v>
      </c>
      <c r="D266" t="s">
        <v>1134</v>
      </c>
      <c r="E266" t="s">
        <v>1142</v>
      </c>
      <c r="F266" t="s">
        <v>1150</v>
      </c>
      <c r="G266" t="s">
        <v>1156</v>
      </c>
      <c r="H266">
        <v>2</v>
      </c>
      <c r="I266">
        <v>14003</v>
      </c>
      <c r="J266" s="6">
        <v>0</v>
      </c>
      <c r="K266">
        <v>14003</v>
      </c>
      <c r="L266">
        <v>28006</v>
      </c>
      <c r="M266">
        <v>1500</v>
      </c>
      <c r="N266" t="s">
        <v>1160</v>
      </c>
      <c r="O266" t="s">
        <v>1162</v>
      </c>
      <c r="Q266" t="str">
        <f t="shared" si="12"/>
        <v>okay</v>
      </c>
      <c r="R266">
        <f t="shared" si="13"/>
        <v>2</v>
      </c>
      <c r="S266" s="6">
        <f t="shared" si="14"/>
        <v>0</v>
      </c>
    </row>
    <row r="267" spans="1:19" x14ac:dyDescent="0.3">
      <c r="A267" s="10">
        <v>45688</v>
      </c>
      <c r="B267" t="s">
        <v>283</v>
      </c>
      <c r="C267" t="s">
        <v>1118</v>
      </c>
      <c r="D267" t="s">
        <v>1134</v>
      </c>
      <c r="E267" t="s">
        <v>1145</v>
      </c>
      <c r="F267" t="s">
        <v>1149</v>
      </c>
      <c r="G267" t="s">
        <v>1153</v>
      </c>
      <c r="H267">
        <v>2</v>
      </c>
      <c r="I267">
        <v>50336</v>
      </c>
      <c r="J267" s="6">
        <v>10</v>
      </c>
      <c r="K267">
        <v>45302.400000000001</v>
      </c>
      <c r="L267">
        <v>90604.800000000003</v>
      </c>
      <c r="M267">
        <v>1500</v>
      </c>
      <c r="N267" t="s">
        <v>1159</v>
      </c>
      <c r="O267" t="s">
        <v>1163</v>
      </c>
      <c r="Q267" t="str">
        <f t="shared" si="12"/>
        <v>no comment</v>
      </c>
      <c r="R267">
        <f t="shared" si="13"/>
        <v>1</v>
      </c>
      <c r="S267" s="6">
        <f t="shared" si="14"/>
        <v>0</v>
      </c>
    </row>
    <row r="268" spans="1:19" x14ac:dyDescent="0.3">
      <c r="A268" s="10">
        <v>45743</v>
      </c>
      <c r="B268" t="s">
        <v>284</v>
      </c>
      <c r="C268" t="s">
        <v>1117</v>
      </c>
      <c r="D268" t="s">
        <v>1133</v>
      </c>
      <c r="E268" t="s">
        <v>1138</v>
      </c>
      <c r="F268" t="s">
        <v>1149</v>
      </c>
      <c r="G268" t="s">
        <v>1153</v>
      </c>
      <c r="H268">
        <v>5</v>
      </c>
      <c r="I268">
        <v>14991</v>
      </c>
      <c r="J268" s="6">
        <v>15</v>
      </c>
      <c r="K268">
        <v>12742.35</v>
      </c>
      <c r="L268">
        <v>63711.75</v>
      </c>
      <c r="M268">
        <v>2000</v>
      </c>
      <c r="N268" t="s">
        <v>1161</v>
      </c>
      <c r="O268" t="s">
        <v>1162</v>
      </c>
      <c r="Q268" t="str">
        <f t="shared" si="12"/>
        <v>okay</v>
      </c>
      <c r="R268">
        <f t="shared" si="13"/>
        <v>2</v>
      </c>
      <c r="S268" s="6">
        <f t="shared" si="14"/>
        <v>0</v>
      </c>
    </row>
    <row r="269" spans="1:19" x14ac:dyDescent="0.3">
      <c r="A269" s="10">
        <v>45818</v>
      </c>
      <c r="B269" t="s">
        <v>285</v>
      </c>
      <c r="C269" t="s">
        <v>1130</v>
      </c>
      <c r="D269" t="s">
        <v>1136</v>
      </c>
      <c r="E269" t="s">
        <v>1137</v>
      </c>
      <c r="F269" t="s">
        <v>1149</v>
      </c>
      <c r="G269" t="s">
        <v>1152</v>
      </c>
      <c r="H269">
        <v>3</v>
      </c>
      <c r="I269">
        <v>34511</v>
      </c>
      <c r="J269" s="6">
        <v>20</v>
      </c>
      <c r="K269">
        <v>27608.799999999999</v>
      </c>
      <c r="L269">
        <v>82826.399999999994</v>
      </c>
      <c r="M269">
        <v>1500</v>
      </c>
      <c r="N269" t="s">
        <v>1161</v>
      </c>
      <c r="O269" t="s">
        <v>1163</v>
      </c>
      <c r="Q269" t="str">
        <f t="shared" si="12"/>
        <v>no comment</v>
      </c>
      <c r="R269">
        <f t="shared" si="13"/>
        <v>1</v>
      </c>
      <c r="S269" s="6">
        <f t="shared" si="14"/>
        <v>0</v>
      </c>
    </row>
    <row r="270" spans="1:19" x14ac:dyDescent="0.3">
      <c r="A270" s="10">
        <v>45783</v>
      </c>
      <c r="B270" t="s">
        <v>286</v>
      </c>
      <c r="C270" t="s">
        <v>1131</v>
      </c>
      <c r="D270" t="s">
        <v>1136</v>
      </c>
      <c r="E270" t="s">
        <v>1139</v>
      </c>
      <c r="F270" t="s">
        <v>1150</v>
      </c>
      <c r="G270" t="s">
        <v>1154</v>
      </c>
      <c r="H270">
        <v>2</v>
      </c>
      <c r="I270">
        <v>78319</v>
      </c>
      <c r="J270" s="6">
        <v>20</v>
      </c>
      <c r="K270">
        <v>62655.199999999997</v>
      </c>
      <c r="L270">
        <v>125310.39999999999</v>
      </c>
      <c r="M270">
        <v>1000</v>
      </c>
      <c r="N270" t="s">
        <v>1159</v>
      </c>
      <c r="O270" t="s">
        <v>1163</v>
      </c>
      <c r="Q270" t="str">
        <f t="shared" si="12"/>
        <v>no comment</v>
      </c>
      <c r="R270">
        <f t="shared" si="13"/>
        <v>1</v>
      </c>
      <c r="S270" s="6">
        <f t="shared" si="14"/>
        <v>0</v>
      </c>
    </row>
    <row r="271" spans="1:19" x14ac:dyDescent="0.3">
      <c r="A271" s="10">
        <v>45806</v>
      </c>
      <c r="B271" t="s">
        <v>287</v>
      </c>
      <c r="C271" t="s">
        <v>1131</v>
      </c>
      <c r="D271" t="s">
        <v>1136</v>
      </c>
      <c r="E271" t="s">
        <v>1142</v>
      </c>
      <c r="F271" t="s">
        <v>1150</v>
      </c>
      <c r="G271" t="s">
        <v>1156</v>
      </c>
      <c r="H271">
        <v>1</v>
      </c>
      <c r="I271">
        <v>43873</v>
      </c>
      <c r="J271" s="6">
        <v>15</v>
      </c>
      <c r="K271">
        <v>37292.050000000003</v>
      </c>
      <c r="L271">
        <v>37292.050000000003</v>
      </c>
      <c r="M271">
        <v>1500</v>
      </c>
      <c r="N271" t="s">
        <v>1159</v>
      </c>
      <c r="O271" t="s">
        <v>1164</v>
      </c>
      <c r="P271" s="10">
        <v>45819</v>
      </c>
      <c r="Q271" t="str">
        <f t="shared" si="12"/>
        <v>excellent</v>
      </c>
      <c r="R271">
        <f t="shared" si="13"/>
        <v>3</v>
      </c>
      <c r="S271" s="6">
        <f t="shared" si="14"/>
        <v>13</v>
      </c>
    </row>
    <row r="272" spans="1:19" x14ac:dyDescent="0.3">
      <c r="A272" s="10">
        <v>45682</v>
      </c>
      <c r="B272" t="s">
        <v>288</v>
      </c>
      <c r="C272" t="s">
        <v>1124</v>
      </c>
      <c r="D272" t="s">
        <v>1135</v>
      </c>
      <c r="E272" t="s">
        <v>1137</v>
      </c>
      <c r="F272" t="s">
        <v>1149</v>
      </c>
      <c r="G272" t="s">
        <v>1152</v>
      </c>
      <c r="H272">
        <v>5</v>
      </c>
      <c r="I272">
        <v>46629</v>
      </c>
      <c r="J272" s="6">
        <v>15</v>
      </c>
      <c r="K272">
        <v>39634.65</v>
      </c>
      <c r="L272">
        <v>198173.25</v>
      </c>
      <c r="M272">
        <v>1500</v>
      </c>
      <c r="N272" t="s">
        <v>1159</v>
      </c>
      <c r="O272" t="s">
        <v>1162</v>
      </c>
      <c r="Q272" t="str">
        <f t="shared" si="12"/>
        <v>okay</v>
      </c>
      <c r="R272">
        <f t="shared" si="13"/>
        <v>2</v>
      </c>
      <c r="S272" s="6">
        <f t="shared" si="14"/>
        <v>0</v>
      </c>
    </row>
    <row r="273" spans="1:19" x14ac:dyDescent="0.3">
      <c r="A273" s="10">
        <v>45816</v>
      </c>
      <c r="B273" t="s">
        <v>289</v>
      </c>
      <c r="C273" t="s">
        <v>1132</v>
      </c>
      <c r="D273" t="s">
        <v>1134</v>
      </c>
      <c r="E273" t="s">
        <v>1146</v>
      </c>
      <c r="F273" t="s">
        <v>1151</v>
      </c>
      <c r="G273" t="s">
        <v>1155</v>
      </c>
      <c r="H273">
        <v>2</v>
      </c>
      <c r="I273">
        <v>40641</v>
      </c>
      <c r="J273" s="6">
        <v>20</v>
      </c>
      <c r="K273">
        <v>32512.799999999999</v>
      </c>
      <c r="L273">
        <v>65025.599999999999</v>
      </c>
      <c r="M273">
        <v>1500</v>
      </c>
      <c r="N273" t="s">
        <v>1161</v>
      </c>
      <c r="O273" t="s">
        <v>1162</v>
      </c>
      <c r="Q273" t="str">
        <f t="shared" si="12"/>
        <v>okay</v>
      </c>
      <c r="R273">
        <f t="shared" si="13"/>
        <v>2</v>
      </c>
      <c r="S273" s="6">
        <f t="shared" si="14"/>
        <v>0</v>
      </c>
    </row>
    <row r="274" spans="1:19" x14ac:dyDescent="0.3">
      <c r="A274" s="10">
        <v>45776</v>
      </c>
      <c r="B274" t="s">
        <v>290</v>
      </c>
      <c r="C274" t="s">
        <v>1125</v>
      </c>
      <c r="D274" t="s">
        <v>1133</v>
      </c>
      <c r="E274" t="s">
        <v>1139</v>
      </c>
      <c r="F274" t="s">
        <v>1150</v>
      </c>
      <c r="G274" t="s">
        <v>1154</v>
      </c>
      <c r="H274">
        <v>3</v>
      </c>
      <c r="I274">
        <v>37077</v>
      </c>
      <c r="J274" s="6">
        <v>0</v>
      </c>
      <c r="K274">
        <v>37077</v>
      </c>
      <c r="L274">
        <v>111231</v>
      </c>
      <c r="M274">
        <v>2000</v>
      </c>
      <c r="N274" t="s">
        <v>1160</v>
      </c>
      <c r="O274" t="s">
        <v>1163</v>
      </c>
      <c r="Q274" t="str">
        <f t="shared" si="12"/>
        <v>no comment</v>
      </c>
      <c r="R274">
        <f t="shared" si="13"/>
        <v>1</v>
      </c>
      <c r="S274" s="6">
        <f t="shared" si="14"/>
        <v>0</v>
      </c>
    </row>
    <row r="275" spans="1:19" x14ac:dyDescent="0.3">
      <c r="A275" s="10">
        <v>45720</v>
      </c>
      <c r="B275" t="s">
        <v>291</v>
      </c>
      <c r="C275" t="s">
        <v>1130</v>
      </c>
      <c r="D275" t="s">
        <v>1136</v>
      </c>
      <c r="E275" t="s">
        <v>1140</v>
      </c>
      <c r="F275" t="s">
        <v>1150</v>
      </c>
      <c r="G275" t="s">
        <v>1154</v>
      </c>
      <c r="H275">
        <v>4</v>
      </c>
      <c r="I275">
        <v>46420</v>
      </c>
      <c r="J275" s="6">
        <v>10</v>
      </c>
      <c r="K275">
        <v>41778</v>
      </c>
      <c r="L275">
        <v>167112</v>
      </c>
      <c r="M275">
        <v>1500</v>
      </c>
      <c r="N275" t="s">
        <v>1159</v>
      </c>
      <c r="O275" t="s">
        <v>1163</v>
      </c>
      <c r="Q275" t="str">
        <f t="shared" si="12"/>
        <v>no comment</v>
      </c>
      <c r="R275">
        <f t="shared" si="13"/>
        <v>1</v>
      </c>
      <c r="S275" s="6">
        <f t="shared" si="14"/>
        <v>0</v>
      </c>
    </row>
    <row r="276" spans="1:19" x14ac:dyDescent="0.3">
      <c r="A276" s="10">
        <v>45730</v>
      </c>
      <c r="B276" t="s">
        <v>292</v>
      </c>
      <c r="C276" t="s">
        <v>1118</v>
      </c>
      <c r="D276" t="s">
        <v>1134</v>
      </c>
      <c r="E276" t="s">
        <v>1138</v>
      </c>
      <c r="F276" t="s">
        <v>1149</v>
      </c>
      <c r="G276" t="s">
        <v>1153</v>
      </c>
      <c r="H276">
        <v>2</v>
      </c>
      <c r="I276">
        <v>56210</v>
      </c>
      <c r="J276" s="6">
        <v>20</v>
      </c>
      <c r="K276">
        <v>44968</v>
      </c>
      <c r="L276">
        <v>89936</v>
      </c>
      <c r="M276">
        <v>1500</v>
      </c>
      <c r="N276" t="s">
        <v>1160</v>
      </c>
      <c r="O276" t="s">
        <v>1162</v>
      </c>
      <c r="Q276" t="str">
        <f t="shared" si="12"/>
        <v>okay</v>
      </c>
      <c r="R276">
        <f t="shared" si="13"/>
        <v>2</v>
      </c>
      <c r="S276" s="6">
        <f t="shared" si="14"/>
        <v>0</v>
      </c>
    </row>
    <row r="277" spans="1:19" x14ac:dyDescent="0.3">
      <c r="A277" s="10">
        <v>45732</v>
      </c>
      <c r="B277" t="s">
        <v>293</v>
      </c>
      <c r="C277" t="s">
        <v>1120</v>
      </c>
      <c r="D277" t="s">
        <v>1135</v>
      </c>
      <c r="E277" t="s">
        <v>1139</v>
      </c>
      <c r="F277" t="s">
        <v>1150</v>
      </c>
      <c r="G277" t="s">
        <v>1154</v>
      </c>
      <c r="H277">
        <v>2</v>
      </c>
      <c r="I277">
        <v>10632</v>
      </c>
      <c r="J277" s="6">
        <v>0</v>
      </c>
      <c r="K277">
        <v>10632</v>
      </c>
      <c r="L277">
        <v>21264</v>
      </c>
      <c r="M277">
        <v>1500</v>
      </c>
      <c r="N277" t="s">
        <v>1161</v>
      </c>
      <c r="O277" t="s">
        <v>1162</v>
      </c>
      <c r="Q277" t="str">
        <f t="shared" si="12"/>
        <v>okay</v>
      </c>
      <c r="R277">
        <f t="shared" si="13"/>
        <v>2</v>
      </c>
      <c r="S277" s="6">
        <f t="shared" si="14"/>
        <v>0</v>
      </c>
    </row>
    <row r="278" spans="1:19" x14ac:dyDescent="0.3">
      <c r="A278" s="10">
        <v>45794</v>
      </c>
      <c r="B278" t="s">
        <v>294</v>
      </c>
      <c r="C278" t="s">
        <v>1122</v>
      </c>
      <c r="D278" t="s">
        <v>1136</v>
      </c>
      <c r="E278" t="s">
        <v>1141</v>
      </c>
      <c r="F278" t="s">
        <v>1151</v>
      </c>
      <c r="G278" t="s">
        <v>1155</v>
      </c>
      <c r="H278">
        <v>2</v>
      </c>
      <c r="I278">
        <v>32427</v>
      </c>
      <c r="J278" s="6">
        <v>20</v>
      </c>
      <c r="K278">
        <v>25941.599999999999</v>
      </c>
      <c r="L278">
        <v>51883.199999999997</v>
      </c>
      <c r="M278">
        <v>2000</v>
      </c>
      <c r="N278" t="s">
        <v>1159</v>
      </c>
      <c r="O278" t="s">
        <v>1162</v>
      </c>
      <c r="Q278" t="str">
        <f t="shared" si="12"/>
        <v>okay</v>
      </c>
      <c r="R278">
        <f t="shared" si="13"/>
        <v>2</v>
      </c>
      <c r="S278" s="6">
        <f t="shared" si="14"/>
        <v>0</v>
      </c>
    </row>
    <row r="279" spans="1:19" x14ac:dyDescent="0.3">
      <c r="A279" s="10">
        <v>45719</v>
      </c>
      <c r="B279" t="s">
        <v>295</v>
      </c>
      <c r="C279" t="s">
        <v>1117</v>
      </c>
      <c r="D279" t="s">
        <v>1133</v>
      </c>
      <c r="E279" t="s">
        <v>1145</v>
      </c>
      <c r="F279" t="s">
        <v>1149</v>
      </c>
      <c r="G279" t="s">
        <v>1153</v>
      </c>
      <c r="H279">
        <v>5</v>
      </c>
      <c r="I279">
        <v>56627</v>
      </c>
      <c r="J279" s="6">
        <v>20</v>
      </c>
      <c r="K279">
        <v>45301.599999999999</v>
      </c>
      <c r="L279">
        <v>226508</v>
      </c>
      <c r="M279">
        <v>1500</v>
      </c>
      <c r="N279" t="s">
        <v>1160</v>
      </c>
      <c r="O279" t="s">
        <v>1163</v>
      </c>
      <c r="Q279" t="str">
        <f t="shared" si="12"/>
        <v>no comment</v>
      </c>
      <c r="R279">
        <f t="shared" si="13"/>
        <v>1</v>
      </c>
      <c r="S279" s="6">
        <f t="shared" si="14"/>
        <v>0</v>
      </c>
    </row>
    <row r="280" spans="1:19" x14ac:dyDescent="0.3">
      <c r="A280" s="10">
        <v>45834</v>
      </c>
      <c r="B280" t="s">
        <v>296</v>
      </c>
      <c r="C280" t="s">
        <v>1118</v>
      </c>
      <c r="D280" t="s">
        <v>1134</v>
      </c>
      <c r="E280" t="s">
        <v>1143</v>
      </c>
      <c r="F280" t="s">
        <v>1151</v>
      </c>
      <c r="G280" t="s">
        <v>1157</v>
      </c>
      <c r="H280">
        <v>3</v>
      </c>
      <c r="I280">
        <v>79984</v>
      </c>
      <c r="J280" s="6">
        <v>20</v>
      </c>
      <c r="K280">
        <v>63987.199999999997</v>
      </c>
      <c r="L280">
        <v>191961.60000000001</v>
      </c>
      <c r="M280">
        <v>2000</v>
      </c>
      <c r="N280" t="s">
        <v>1161</v>
      </c>
      <c r="O280" t="s">
        <v>1163</v>
      </c>
      <c r="Q280" t="str">
        <f t="shared" si="12"/>
        <v>no comment</v>
      </c>
      <c r="R280">
        <f t="shared" si="13"/>
        <v>1</v>
      </c>
      <c r="S280" s="6">
        <f t="shared" si="14"/>
        <v>0</v>
      </c>
    </row>
    <row r="281" spans="1:19" x14ac:dyDescent="0.3">
      <c r="A281" s="10">
        <v>45775</v>
      </c>
      <c r="B281" t="s">
        <v>297</v>
      </c>
      <c r="C281" t="s">
        <v>1117</v>
      </c>
      <c r="D281" t="s">
        <v>1133</v>
      </c>
      <c r="E281" t="s">
        <v>1141</v>
      </c>
      <c r="F281" t="s">
        <v>1151</v>
      </c>
      <c r="G281" t="s">
        <v>1155</v>
      </c>
      <c r="H281">
        <v>1</v>
      </c>
      <c r="I281">
        <v>48691</v>
      </c>
      <c r="J281" s="6">
        <v>15</v>
      </c>
      <c r="K281">
        <v>41387.35</v>
      </c>
      <c r="L281">
        <v>41387.35</v>
      </c>
      <c r="M281">
        <v>1500</v>
      </c>
      <c r="N281" t="s">
        <v>1160</v>
      </c>
      <c r="O281" t="s">
        <v>1164</v>
      </c>
      <c r="P281" s="10">
        <v>45779</v>
      </c>
      <c r="Q281" t="str">
        <f t="shared" si="12"/>
        <v>excellent</v>
      </c>
      <c r="R281">
        <f t="shared" si="13"/>
        <v>3</v>
      </c>
      <c r="S281" s="6">
        <f t="shared" si="14"/>
        <v>4</v>
      </c>
    </row>
    <row r="282" spans="1:19" x14ac:dyDescent="0.3">
      <c r="A282" s="10">
        <v>45727</v>
      </c>
      <c r="B282" t="s">
        <v>298</v>
      </c>
      <c r="C282" t="s">
        <v>1117</v>
      </c>
      <c r="D282" t="s">
        <v>1133</v>
      </c>
      <c r="E282" t="s">
        <v>1140</v>
      </c>
      <c r="F282" t="s">
        <v>1150</v>
      </c>
      <c r="G282" t="s">
        <v>1154</v>
      </c>
      <c r="H282">
        <v>3</v>
      </c>
      <c r="I282">
        <v>59166</v>
      </c>
      <c r="J282" s="6">
        <v>20</v>
      </c>
      <c r="K282">
        <v>47332.800000000003</v>
      </c>
      <c r="L282">
        <v>141998.39999999999</v>
      </c>
      <c r="M282">
        <v>2000</v>
      </c>
      <c r="N282" t="s">
        <v>1159</v>
      </c>
      <c r="O282" t="s">
        <v>1162</v>
      </c>
      <c r="Q282" t="str">
        <f t="shared" si="12"/>
        <v>okay</v>
      </c>
      <c r="R282">
        <f t="shared" si="13"/>
        <v>2</v>
      </c>
      <c r="S282" s="6">
        <f t="shared" si="14"/>
        <v>0</v>
      </c>
    </row>
    <row r="283" spans="1:19" x14ac:dyDescent="0.3">
      <c r="A283" s="10">
        <v>45791</v>
      </c>
      <c r="B283" t="s">
        <v>299</v>
      </c>
      <c r="C283" t="s">
        <v>1128</v>
      </c>
      <c r="D283" t="s">
        <v>1135</v>
      </c>
      <c r="E283" t="s">
        <v>1147</v>
      </c>
      <c r="F283" t="s">
        <v>1150</v>
      </c>
      <c r="G283" t="s">
        <v>1156</v>
      </c>
      <c r="H283">
        <v>4</v>
      </c>
      <c r="I283">
        <v>68247</v>
      </c>
      <c r="J283" s="6">
        <v>10</v>
      </c>
      <c r="K283">
        <v>61422.3</v>
      </c>
      <c r="L283">
        <v>245689.2</v>
      </c>
      <c r="M283">
        <v>1500</v>
      </c>
      <c r="N283" t="s">
        <v>1160</v>
      </c>
      <c r="O283" t="s">
        <v>1164</v>
      </c>
      <c r="P283" s="10">
        <v>45801</v>
      </c>
      <c r="Q283" t="str">
        <f t="shared" si="12"/>
        <v>excellent</v>
      </c>
      <c r="R283">
        <f t="shared" si="13"/>
        <v>3</v>
      </c>
      <c r="S283" s="6">
        <f t="shared" si="14"/>
        <v>10</v>
      </c>
    </row>
    <row r="284" spans="1:19" x14ac:dyDescent="0.3">
      <c r="A284" s="10">
        <v>45837</v>
      </c>
      <c r="B284" t="s">
        <v>300</v>
      </c>
      <c r="C284" t="s">
        <v>1120</v>
      </c>
      <c r="D284" t="s">
        <v>1135</v>
      </c>
      <c r="E284" t="s">
        <v>1144</v>
      </c>
      <c r="F284" t="s">
        <v>1151</v>
      </c>
      <c r="G284" t="s">
        <v>1157</v>
      </c>
      <c r="H284">
        <v>3</v>
      </c>
      <c r="I284">
        <v>63767</v>
      </c>
      <c r="J284" s="6">
        <v>0</v>
      </c>
      <c r="K284">
        <v>63767</v>
      </c>
      <c r="L284">
        <v>191301</v>
      </c>
      <c r="M284">
        <v>1500</v>
      </c>
      <c r="N284" t="s">
        <v>1161</v>
      </c>
      <c r="O284" t="s">
        <v>1164</v>
      </c>
      <c r="P284" s="10">
        <v>45842</v>
      </c>
      <c r="Q284" t="str">
        <f t="shared" si="12"/>
        <v>excellent</v>
      </c>
      <c r="R284">
        <f t="shared" si="13"/>
        <v>3</v>
      </c>
      <c r="S284" s="6">
        <f t="shared" si="14"/>
        <v>5</v>
      </c>
    </row>
    <row r="285" spans="1:19" x14ac:dyDescent="0.3">
      <c r="A285" s="10">
        <v>45760</v>
      </c>
      <c r="B285" t="s">
        <v>301</v>
      </c>
      <c r="C285" t="s">
        <v>1127</v>
      </c>
      <c r="D285" t="s">
        <v>1134</v>
      </c>
      <c r="E285" t="s">
        <v>1145</v>
      </c>
      <c r="F285" t="s">
        <v>1149</v>
      </c>
      <c r="G285" t="s">
        <v>1153</v>
      </c>
      <c r="H285">
        <v>5</v>
      </c>
      <c r="I285">
        <v>68990</v>
      </c>
      <c r="J285" s="6">
        <v>20</v>
      </c>
      <c r="K285">
        <v>55192</v>
      </c>
      <c r="L285">
        <v>275960</v>
      </c>
      <c r="M285">
        <v>2000</v>
      </c>
      <c r="N285" t="s">
        <v>1159</v>
      </c>
      <c r="O285" t="s">
        <v>1163</v>
      </c>
      <c r="Q285" t="str">
        <f t="shared" si="12"/>
        <v>no comment</v>
      </c>
      <c r="R285">
        <f t="shared" si="13"/>
        <v>1</v>
      </c>
      <c r="S285" s="6">
        <f t="shared" si="14"/>
        <v>0</v>
      </c>
    </row>
    <row r="286" spans="1:19" x14ac:dyDescent="0.3">
      <c r="A286" s="10">
        <v>45707</v>
      </c>
      <c r="B286" t="s">
        <v>302</v>
      </c>
      <c r="C286" t="s">
        <v>1123</v>
      </c>
      <c r="D286" t="s">
        <v>1135</v>
      </c>
      <c r="E286" t="s">
        <v>1148</v>
      </c>
      <c r="F286" t="s">
        <v>1149</v>
      </c>
      <c r="G286" t="s">
        <v>1152</v>
      </c>
      <c r="H286">
        <v>3</v>
      </c>
      <c r="I286">
        <v>8183</v>
      </c>
      <c r="J286" s="6">
        <v>15</v>
      </c>
      <c r="K286">
        <v>6955.55</v>
      </c>
      <c r="L286">
        <v>20866.650000000001</v>
      </c>
      <c r="M286">
        <v>2000</v>
      </c>
      <c r="N286" t="s">
        <v>1161</v>
      </c>
      <c r="O286" t="s">
        <v>1163</v>
      </c>
      <c r="Q286" t="str">
        <f t="shared" si="12"/>
        <v>no comment</v>
      </c>
      <c r="R286">
        <f t="shared" si="13"/>
        <v>1</v>
      </c>
      <c r="S286" s="6">
        <f t="shared" si="14"/>
        <v>0</v>
      </c>
    </row>
    <row r="287" spans="1:19" x14ac:dyDescent="0.3">
      <c r="A287" s="10">
        <v>45824</v>
      </c>
      <c r="B287" t="s">
        <v>303</v>
      </c>
      <c r="C287" t="s">
        <v>1125</v>
      </c>
      <c r="D287" t="s">
        <v>1133</v>
      </c>
      <c r="E287" t="s">
        <v>1137</v>
      </c>
      <c r="F287" t="s">
        <v>1149</v>
      </c>
      <c r="G287" t="s">
        <v>1152</v>
      </c>
      <c r="H287">
        <v>2</v>
      </c>
      <c r="I287">
        <v>10194</v>
      </c>
      <c r="J287" s="6">
        <v>15</v>
      </c>
      <c r="K287">
        <v>8664.9</v>
      </c>
      <c r="L287">
        <v>17329.8</v>
      </c>
      <c r="M287">
        <v>2000</v>
      </c>
      <c r="N287" t="s">
        <v>1160</v>
      </c>
      <c r="O287" t="s">
        <v>1162</v>
      </c>
      <c r="Q287" t="str">
        <f t="shared" si="12"/>
        <v>okay</v>
      </c>
      <c r="R287">
        <f t="shared" si="13"/>
        <v>2</v>
      </c>
      <c r="S287" s="6">
        <f t="shared" si="14"/>
        <v>0</v>
      </c>
    </row>
    <row r="288" spans="1:19" x14ac:dyDescent="0.3">
      <c r="A288" s="10">
        <v>45687</v>
      </c>
      <c r="B288" t="s">
        <v>304</v>
      </c>
      <c r="C288" t="s">
        <v>1120</v>
      </c>
      <c r="D288" t="s">
        <v>1135</v>
      </c>
      <c r="E288" t="s">
        <v>1143</v>
      </c>
      <c r="F288" t="s">
        <v>1151</v>
      </c>
      <c r="G288" t="s">
        <v>1157</v>
      </c>
      <c r="H288">
        <v>1</v>
      </c>
      <c r="I288">
        <v>2422</v>
      </c>
      <c r="J288" s="6">
        <v>15</v>
      </c>
      <c r="K288">
        <v>2058.6999999999998</v>
      </c>
      <c r="L288">
        <v>2058.6999999999998</v>
      </c>
      <c r="M288">
        <v>1000</v>
      </c>
      <c r="N288" t="s">
        <v>1161</v>
      </c>
      <c r="O288" t="s">
        <v>1163</v>
      </c>
      <c r="Q288" t="str">
        <f t="shared" si="12"/>
        <v>no comment</v>
      </c>
      <c r="R288">
        <f t="shared" si="13"/>
        <v>1</v>
      </c>
      <c r="S288" s="6">
        <f t="shared" si="14"/>
        <v>0</v>
      </c>
    </row>
    <row r="289" spans="1:19" x14ac:dyDescent="0.3">
      <c r="A289" s="10">
        <v>45764</v>
      </c>
      <c r="B289" t="s">
        <v>305</v>
      </c>
      <c r="C289" t="s">
        <v>1120</v>
      </c>
      <c r="D289" t="s">
        <v>1135</v>
      </c>
      <c r="E289" t="s">
        <v>1138</v>
      </c>
      <c r="F289" t="s">
        <v>1149</v>
      </c>
      <c r="G289" t="s">
        <v>1153</v>
      </c>
      <c r="H289">
        <v>2</v>
      </c>
      <c r="I289">
        <v>66819</v>
      </c>
      <c r="J289" s="6">
        <v>20</v>
      </c>
      <c r="K289">
        <v>53455.199999999997</v>
      </c>
      <c r="L289">
        <v>106910.39999999999</v>
      </c>
      <c r="M289">
        <v>2000</v>
      </c>
      <c r="N289" t="s">
        <v>1159</v>
      </c>
      <c r="O289" t="s">
        <v>1162</v>
      </c>
      <c r="Q289" t="str">
        <f t="shared" si="12"/>
        <v>okay</v>
      </c>
      <c r="R289">
        <f t="shared" si="13"/>
        <v>2</v>
      </c>
      <c r="S289" s="6">
        <f t="shared" si="14"/>
        <v>0</v>
      </c>
    </row>
    <row r="290" spans="1:19" x14ac:dyDescent="0.3">
      <c r="A290" s="10">
        <v>45838</v>
      </c>
      <c r="B290" t="s">
        <v>306</v>
      </c>
      <c r="C290" t="s">
        <v>1127</v>
      </c>
      <c r="D290" t="s">
        <v>1134</v>
      </c>
      <c r="E290" t="s">
        <v>1142</v>
      </c>
      <c r="F290" t="s">
        <v>1150</v>
      </c>
      <c r="G290" t="s">
        <v>1156</v>
      </c>
      <c r="H290">
        <v>2</v>
      </c>
      <c r="I290">
        <v>14001</v>
      </c>
      <c r="J290" s="6">
        <v>20</v>
      </c>
      <c r="K290">
        <v>11200.8</v>
      </c>
      <c r="L290">
        <v>22401.599999999999</v>
      </c>
      <c r="M290">
        <v>1000</v>
      </c>
      <c r="N290" t="s">
        <v>1161</v>
      </c>
      <c r="O290" t="s">
        <v>1163</v>
      </c>
      <c r="Q290" t="str">
        <f t="shared" si="12"/>
        <v>no comment</v>
      </c>
      <c r="R290">
        <f t="shared" si="13"/>
        <v>1</v>
      </c>
      <c r="S290" s="6">
        <f t="shared" si="14"/>
        <v>0</v>
      </c>
    </row>
    <row r="291" spans="1:19" x14ac:dyDescent="0.3">
      <c r="A291" s="10">
        <v>45722</v>
      </c>
      <c r="B291" t="s">
        <v>307</v>
      </c>
      <c r="C291" t="s">
        <v>1132</v>
      </c>
      <c r="D291" t="s">
        <v>1134</v>
      </c>
      <c r="E291" t="s">
        <v>1138</v>
      </c>
      <c r="F291" t="s">
        <v>1149</v>
      </c>
      <c r="G291" t="s">
        <v>1153</v>
      </c>
      <c r="H291">
        <v>5</v>
      </c>
      <c r="I291">
        <v>79934</v>
      </c>
      <c r="J291" s="6">
        <v>10</v>
      </c>
      <c r="K291">
        <v>71940.600000000006</v>
      </c>
      <c r="L291">
        <v>359703</v>
      </c>
      <c r="M291">
        <v>1000</v>
      </c>
      <c r="N291" t="s">
        <v>1159</v>
      </c>
      <c r="O291" t="s">
        <v>1164</v>
      </c>
      <c r="P291" s="10">
        <v>45725</v>
      </c>
      <c r="Q291" t="str">
        <f t="shared" si="12"/>
        <v>excellent</v>
      </c>
      <c r="R291">
        <f t="shared" si="13"/>
        <v>3</v>
      </c>
      <c r="S291" s="6">
        <f t="shared" si="14"/>
        <v>3</v>
      </c>
    </row>
    <row r="292" spans="1:19" x14ac:dyDescent="0.3">
      <c r="A292" s="10">
        <v>45657</v>
      </c>
      <c r="B292" t="s">
        <v>308</v>
      </c>
      <c r="C292" t="s">
        <v>1120</v>
      </c>
      <c r="D292" t="s">
        <v>1135</v>
      </c>
      <c r="E292" t="s">
        <v>1147</v>
      </c>
      <c r="F292" t="s">
        <v>1150</v>
      </c>
      <c r="G292" t="s">
        <v>1156</v>
      </c>
      <c r="H292">
        <v>2</v>
      </c>
      <c r="I292">
        <v>67434</v>
      </c>
      <c r="J292" s="6">
        <v>5</v>
      </c>
      <c r="K292">
        <v>64062.3</v>
      </c>
      <c r="L292">
        <v>128124.6</v>
      </c>
      <c r="M292">
        <v>2000</v>
      </c>
      <c r="N292" t="s">
        <v>1159</v>
      </c>
      <c r="O292" t="s">
        <v>1163</v>
      </c>
      <c r="Q292" t="str">
        <f t="shared" si="12"/>
        <v>no comment</v>
      </c>
      <c r="R292">
        <f t="shared" si="13"/>
        <v>1</v>
      </c>
      <c r="S292" s="6">
        <f t="shared" si="14"/>
        <v>0</v>
      </c>
    </row>
    <row r="293" spans="1:19" x14ac:dyDescent="0.3">
      <c r="A293" s="10">
        <v>45703</v>
      </c>
      <c r="B293" t="s">
        <v>309</v>
      </c>
      <c r="C293" t="s">
        <v>1121</v>
      </c>
      <c r="D293" t="s">
        <v>1136</v>
      </c>
      <c r="E293" t="s">
        <v>1139</v>
      </c>
      <c r="F293" t="s">
        <v>1150</v>
      </c>
      <c r="G293" t="s">
        <v>1154</v>
      </c>
      <c r="H293">
        <v>5</v>
      </c>
      <c r="I293">
        <v>35274</v>
      </c>
      <c r="J293" s="6">
        <v>15</v>
      </c>
      <c r="K293">
        <v>29982.9</v>
      </c>
      <c r="L293">
        <v>149914.5</v>
      </c>
      <c r="M293">
        <v>2000</v>
      </c>
      <c r="N293" t="s">
        <v>1161</v>
      </c>
      <c r="O293" t="s">
        <v>1163</v>
      </c>
      <c r="Q293" t="str">
        <f t="shared" si="12"/>
        <v>no comment</v>
      </c>
      <c r="R293">
        <f t="shared" si="13"/>
        <v>1</v>
      </c>
      <c r="S293" s="6">
        <f t="shared" si="14"/>
        <v>0</v>
      </c>
    </row>
    <row r="294" spans="1:19" x14ac:dyDescent="0.3">
      <c r="A294" s="10">
        <v>45769</v>
      </c>
      <c r="B294" t="s">
        <v>310</v>
      </c>
      <c r="C294" t="s">
        <v>1124</v>
      </c>
      <c r="D294" t="s">
        <v>1135</v>
      </c>
      <c r="E294" t="s">
        <v>1145</v>
      </c>
      <c r="F294" t="s">
        <v>1149</v>
      </c>
      <c r="G294" t="s">
        <v>1153</v>
      </c>
      <c r="H294">
        <v>2</v>
      </c>
      <c r="I294">
        <v>30634</v>
      </c>
      <c r="J294" s="6">
        <v>20</v>
      </c>
      <c r="K294">
        <v>24507.200000000001</v>
      </c>
      <c r="L294">
        <v>49014.400000000001</v>
      </c>
      <c r="M294">
        <v>2000</v>
      </c>
      <c r="N294" t="s">
        <v>1159</v>
      </c>
      <c r="O294" t="s">
        <v>1162</v>
      </c>
      <c r="Q294" t="str">
        <f t="shared" si="12"/>
        <v>okay</v>
      </c>
      <c r="R294">
        <f t="shared" si="13"/>
        <v>2</v>
      </c>
      <c r="S294" s="6">
        <f t="shared" si="14"/>
        <v>0</v>
      </c>
    </row>
    <row r="295" spans="1:19" x14ac:dyDescent="0.3">
      <c r="A295" s="10">
        <v>45656</v>
      </c>
      <c r="B295" t="s">
        <v>311</v>
      </c>
      <c r="C295" t="s">
        <v>1121</v>
      </c>
      <c r="D295" t="s">
        <v>1136</v>
      </c>
      <c r="E295" t="s">
        <v>1142</v>
      </c>
      <c r="F295" t="s">
        <v>1150</v>
      </c>
      <c r="G295" t="s">
        <v>1156</v>
      </c>
      <c r="H295">
        <v>2</v>
      </c>
      <c r="I295">
        <v>44334</v>
      </c>
      <c r="J295" s="6">
        <v>5</v>
      </c>
      <c r="K295">
        <v>42117.3</v>
      </c>
      <c r="L295">
        <v>84234.6</v>
      </c>
      <c r="M295">
        <v>2000</v>
      </c>
      <c r="N295" t="s">
        <v>1159</v>
      </c>
      <c r="O295" t="s">
        <v>1164</v>
      </c>
      <c r="P295" s="10">
        <v>45658</v>
      </c>
      <c r="Q295" t="str">
        <f t="shared" si="12"/>
        <v>excellent</v>
      </c>
      <c r="R295">
        <f t="shared" si="13"/>
        <v>3</v>
      </c>
      <c r="S295" s="6">
        <f t="shared" si="14"/>
        <v>2</v>
      </c>
    </row>
    <row r="296" spans="1:19" x14ac:dyDescent="0.3">
      <c r="A296" s="10">
        <v>45715</v>
      </c>
      <c r="B296" t="s">
        <v>312</v>
      </c>
      <c r="C296" t="s">
        <v>1125</v>
      </c>
      <c r="D296" t="s">
        <v>1133</v>
      </c>
      <c r="E296" t="s">
        <v>1141</v>
      </c>
      <c r="F296" t="s">
        <v>1151</v>
      </c>
      <c r="G296" t="s">
        <v>1155</v>
      </c>
      <c r="H296">
        <v>5</v>
      </c>
      <c r="I296">
        <v>24902</v>
      </c>
      <c r="J296" s="6">
        <v>5</v>
      </c>
      <c r="K296">
        <v>23656.9</v>
      </c>
      <c r="L296">
        <v>118284.5</v>
      </c>
      <c r="M296">
        <v>1500</v>
      </c>
      <c r="N296" t="s">
        <v>1161</v>
      </c>
      <c r="O296" t="s">
        <v>1162</v>
      </c>
      <c r="Q296" t="str">
        <f t="shared" si="12"/>
        <v>okay</v>
      </c>
      <c r="R296">
        <f t="shared" si="13"/>
        <v>2</v>
      </c>
      <c r="S296" s="6">
        <f t="shared" si="14"/>
        <v>0</v>
      </c>
    </row>
    <row r="297" spans="1:19" x14ac:dyDescent="0.3">
      <c r="A297" s="10">
        <v>45752</v>
      </c>
      <c r="B297" t="s">
        <v>313</v>
      </c>
      <c r="C297" t="s">
        <v>1117</v>
      </c>
      <c r="D297" t="s">
        <v>1133</v>
      </c>
      <c r="E297" t="s">
        <v>1145</v>
      </c>
      <c r="F297" t="s">
        <v>1149</v>
      </c>
      <c r="G297" t="s">
        <v>1153</v>
      </c>
      <c r="H297">
        <v>4</v>
      </c>
      <c r="I297">
        <v>4929</v>
      </c>
      <c r="J297" s="6">
        <v>20</v>
      </c>
      <c r="K297">
        <v>3943.2</v>
      </c>
      <c r="L297">
        <v>15772.8</v>
      </c>
      <c r="M297">
        <v>1500</v>
      </c>
      <c r="N297" t="s">
        <v>1161</v>
      </c>
      <c r="O297" t="s">
        <v>1163</v>
      </c>
      <c r="Q297" t="str">
        <f t="shared" si="12"/>
        <v>no comment</v>
      </c>
      <c r="R297">
        <f t="shared" si="13"/>
        <v>1</v>
      </c>
      <c r="S297" s="6">
        <f t="shared" si="14"/>
        <v>0</v>
      </c>
    </row>
    <row r="298" spans="1:19" x14ac:dyDescent="0.3">
      <c r="A298" s="10">
        <v>45751</v>
      </c>
      <c r="B298" t="s">
        <v>314</v>
      </c>
      <c r="C298" t="s">
        <v>1131</v>
      </c>
      <c r="D298" t="s">
        <v>1136</v>
      </c>
      <c r="E298" t="s">
        <v>1142</v>
      </c>
      <c r="F298" t="s">
        <v>1150</v>
      </c>
      <c r="G298" t="s">
        <v>1156</v>
      </c>
      <c r="H298">
        <v>5</v>
      </c>
      <c r="I298">
        <v>12750</v>
      </c>
      <c r="J298" s="6">
        <v>10</v>
      </c>
      <c r="K298">
        <v>11475</v>
      </c>
      <c r="L298">
        <v>57375</v>
      </c>
      <c r="M298">
        <v>2000</v>
      </c>
      <c r="N298" t="s">
        <v>1159</v>
      </c>
      <c r="O298" t="s">
        <v>1163</v>
      </c>
      <c r="Q298" t="str">
        <f t="shared" si="12"/>
        <v>no comment</v>
      </c>
      <c r="R298">
        <f t="shared" si="13"/>
        <v>1</v>
      </c>
      <c r="S298" s="6">
        <f t="shared" si="14"/>
        <v>0</v>
      </c>
    </row>
    <row r="299" spans="1:19" x14ac:dyDescent="0.3">
      <c r="A299" s="10">
        <v>45797</v>
      </c>
      <c r="B299" t="s">
        <v>315</v>
      </c>
      <c r="C299" t="s">
        <v>1119</v>
      </c>
      <c r="D299" t="s">
        <v>1134</v>
      </c>
      <c r="E299" t="s">
        <v>1138</v>
      </c>
      <c r="F299" t="s">
        <v>1149</v>
      </c>
      <c r="G299" t="s">
        <v>1153</v>
      </c>
      <c r="H299">
        <v>2</v>
      </c>
      <c r="I299">
        <v>33473</v>
      </c>
      <c r="J299" s="6">
        <v>20</v>
      </c>
      <c r="K299">
        <v>26778.400000000001</v>
      </c>
      <c r="L299">
        <v>53556.800000000003</v>
      </c>
      <c r="M299">
        <v>1000</v>
      </c>
      <c r="N299" t="s">
        <v>1160</v>
      </c>
      <c r="O299" t="s">
        <v>1162</v>
      </c>
      <c r="Q299" t="str">
        <f t="shared" si="12"/>
        <v>okay</v>
      </c>
      <c r="R299">
        <f t="shared" si="13"/>
        <v>2</v>
      </c>
      <c r="S299" s="6">
        <f t="shared" si="14"/>
        <v>0</v>
      </c>
    </row>
    <row r="300" spans="1:19" x14ac:dyDescent="0.3">
      <c r="A300" s="10">
        <v>45762</v>
      </c>
      <c r="B300" t="s">
        <v>316</v>
      </c>
      <c r="C300" t="s">
        <v>1126</v>
      </c>
      <c r="D300" t="s">
        <v>1133</v>
      </c>
      <c r="E300" t="s">
        <v>1138</v>
      </c>
      <c r="F300" t="s">
        <v>1149</v>
      </c>
      <c r="G300" t="s">
        <v>1153</v>
      </c>
      <c r="H300">
        <v>2</v>
      </c>
      <c r="I300">
        <v>64888</v>
      </c>
      <c r="J300" s="6">
        <v>20</v>
      </c>
      <c r="K300">
        <v>51910.400000000001</v>
      </c>
      <c r="L300">
        <v>103820.8</v>
      </c>
      <c r="M300">
        <v>1500</v>
      </c>
      <c r="N300" t="s">
        <v>1159</v>
      </c>
      <c r="O300" t="s">
        <v>1163</v>
      </c>
      <c r="Q300" t="str">
        <f t="shared" si="12"/>
        <v>no comment</v>
      </c>
      <c r="R300">
        <f t="shared" si="13"/>
        <v>1</v>
      </c>
      <c r="S300" s="6">
        <f t="shared" si="14"/>
        <v>0</v>
      </c>
    </row>
    <row r="301" spans="1:19" x14ac:dyDescent="0.3">
      <c r="A301" s="10">
        <v>45697</v>
      </c>
      <c r="B301" t="s">
        <v>317</v>
      </c>
      <c r="C301" t="s">
        <v>1128</v>
      </c>
      <c r="D301" t="s">
        <v>1135</v>
      </c>
      <c r="E301" t="s">
        <v>1138</v>
      </c>
      <c r="F301" t="s">
        <v>1149</v>
      </c>
      <c r="G301" t="s">
        <v>1153</v>
      </c>
      <c r="H301">
        <v>4</v>
      </c>
      <c r="I301">
        <v>53299</v>
      </c>
      <c r="J301" s="6">
        <v>5</v>
      </c>
      <c r="K301">
        <v>50634.05</v>
      </c>
      <c r="L301">
        <v>202536.2</v>
      </c>
      <c r="M301">
        <v>1000</v>
      </c>
      <c r="N301" t="s">
        <v>1160</v>
      </c>
      <c r="O301" t="s">
        <v>1162</v>
      </c>
      <c r="Q301" t="str">
        <f t="shared" si="12"/>
        <v>okay</v>
      </c>
      <c r="R301">
        <f t="shared" si="13"/>
        <v>2</v>
      </c>
      <c r="S301" s="6">
        <f t="shared" si="14"/>
        <v>0</v>
      </c>
    </row>
    <row r="302" spans="1:19" x14ac:dyDescent="0.3">
      <c r="A302" s="10">
        <v>45749</v>
      </c>
      <c r="B302" t="s">
        <v>318</v>
      </c>
      <c r="C302" t="s">
        <v>1128</v>
      </c>
      <c r="D302" t="s">
        <v>1135</v>
      </c>
      <c r="E302" t="s">
        <v>1139</v>
      </c>
      <c r="F302" t="s">
        <v>1150</v>
      </c>
      <c r="G302" t="s">
        <v>1154</v>
      </c>
      <c r="H302">
        <v>2</v>
      </c>
      <c r="I302">
        <v>29531</v>
      </c>
      <c r="J302" s="6">
        <v>20</v>
      </c>
      <c r="K302">
        <v>23624.799999999999</v>
      </c>
      <c r="L302">
        <v>47249.599999999999</v>
      </c>
      <c r="M302">
        <v>2000</v>
      </c>
      <c r="N302" t="s">
        <v>1161</v>
      </c>
      <c r="O302" t="s">
        <v>1162</v>
      </c>
      <c r="Q302" t="str">
        <f t="shared" si="12"/>
        <v>okay</v>
      </c>
      <c r="R302">
        <f t="shared" si="13"/>
        <v>2</v>
      </c>
      <c r="S302" s="6">
        <f t="shared" si="14"/>
        <v>0</v>
      </c>
    </row>
    <row r="303" spans="1:19" x14ac:dyDescent="0.3">
      <c r="A303" s="10">
        <v>45813</v>
      </c>
      <c r="B303" t="s">
        <v>319</v>
      </c>
      <c r="C303" t="s">
        <v>1122</v>
      </c>
      <c r="D303" t="s">
        <v>1136</v>
      </c>
      <c r="E303" t="s">
        <v>1139</v>
      </c>
      <c r="F303" t="s">
        <v>1150</v>
      </c>
      <c r="G303" t="s">
        <v>1154</v>
      </c>
      <c r="H303">
        <v>5</v>
      </c>
      <c r="I303">
        <v>8953</v>
      </c>
      <c r="J303" s="6">
        <v>20</v>
      </c>
      <c r="K303">
        <v>7162.4</v>
      </c>
      <c r="L303">
        <v>35812</v>
      </c>
      <c r="M303">
        <v>2000</v>
      </c>
      <c r="N303" t="s">
        <v>1159</v>
      </c>
      <c r="O303" t="s">
        <v>1162</v>
      </c>
      <c r="Q303" t="str">
        <f t="shared" si="12"/>
        <v>okay</v>
      </c>
      <c r="R303">
        <f t="shared" si="13"/>
        <v>2</v>
      </c>
      <c r="S303" s="6">
        <f t="shared" si="14"/>
        <v>0</v>
      </c>
    </row>
    <row r="304" spans="1:19" x14ac:dyDescent="0.3">
      <c r="A304" s="10">
        <v>45766</v>
      </c>
      <c r="B304" t="s">
        <v>320</v>
      </c>
      <c r="C304" t="s">
        <v>1121</v>
      </c>
      <c r="D304" t="s">
        <v>1136</v>
      </c>
      <c r="E304" t="s">
        <v>1141</v>
      </c>
      <c r="F304" t="s">
        <v>1151</v>
      </c>
      <c r="G304" t="s">
        <v>1155</v>
      </c>
      <c r="H304">
        <v>2</v>
      </c>
      <c r="I304">
        <v>69388</v>
      </c>
      <c r="J304" s="6">
        <v>20</v>
      </c>
      <c r="K304">
        <v>55510.400000000001</v>
      </c>
      <c r="L304">
        <v>111020.8</v>
      </c>
      <c r="M304">
        <v>1000</v>
      </c>
      <c r="N304" t="s">
        <v>1160</v>
      </c>
      <c r="O304" t="s">
        <v>1163</v>
      </c>
      <c r="Q304" t="str">
        <f t="shared" si="12"/>
        <v>no comment</v>
      </c>
      <c r="R304">
        <f t="shared" si="13"/>
        <v>1</v>
      </c>
      <c r="S304" s="6">
        <f t="shared" si="14"/>
        <v>0</v>
      </c>
    </row>
    <row r="305" spans="1:19" x14ac:dyDescent="0.3">
      <c r="A305" s="10">
        <v>45784</v>
      </c>
      <c r="B305" t="s">
        <v>321</v>
      </c>
      <c r="C305" t="s">
        <v>1127</v>
      </c>
      <c r="D305" t="s">
        <v>1134</v>
      </c>
      <c r="E305" t="s">
        <v>1138</v>
      </c>
      <c r="F305" t="s">
        <v>1149</v>
      </c>
      <c r="G305" t="s">
        <v>1153</v>
      </c>
      <c r="H305">
        <v>5</v>
      </c>
      <c r="I305">
        <v>28049</v>
      </c>
      <c r="J305" s="6">
        <v>15</v>
      </c>
      <c r="K305">
        <v>23841.65</v>
      </c>
      <c r="L305">
        <v>119208.25</v>
      </c>
      <c r="M305">
        <v>2000</v>
      </c>
      <c r="N305" t="s">
        <v>1160</v>
      </c>
      <c r="O305" t="s">
        <v>1164</v>
      </c>
      <c r="P305" s="10">
        <v>45798</v>
      </c>
      <c r="Q305" t="str">
        <f t="shared" si="12"/>
        <v>excellent</v>
      </c>
      <c r="R305">
        <f t="shared" si="13"/>
        <v>3</v>
      </c>
      <c r="S305" s="6">
        <f t="shared" si="14"/>
        <v>14</v>
      </c>
    </row>
    <row r="306" spans="1:19" x14ac:dyDescent="0.3">
      <c r="A306" s="10">
        <v>45745</v>
      </c>
      <c r="B306" t="s">
        <v>322</v>
      </c>
      <c r="C306" t="s">
        <v>1124</v>
      </c>
      <c r="D306" t="s">
        <v>1135</v>
      </c>
      <c r="E306" t="s">
        <v>1138</v>
      </c>
      <c r="F306" t="s">
        <v>1149</v>
      </c>
      <c r="G306" t="s">
        <v>1153</v>
      </c>
      <c r="H306">
        <v>4</v>
      </c>
      <c r="I306">
        <v>67306</v>
      </c>
      <c r="J306" s="6">
        <v>20</v>
      </c>
      <c r="K306">
        <v>53844.800000000003</v>
      </c>
      <c r="L306">
        <v>215379.20000000001</v>
      </c>
      <c r="M306">
        <v>1000</v>
      </c>
      <c r="N306" t="s">
        <v>1161</v>
      </c>
      <c r="O306" t="s">
        <v>1163</v>
      </c>
      <c r="Q306" t="str">
        <f t="shared" si="12"/>
        <v>no comment</v>
      </c>
      <c r="R306">
        <f t="shared" si="13"/>
        <v>1</v>
      </c>
      <c r="S306" s="6">
        <f t="shared" si="14"/>
        <v>0</v>
      </c>
    </row>
    <row r="307" spans="1:19" x14ac:dyDescent="0.3">
      <c r="A307" s="10">
        <v>45742</v>
      </c>
      <c r="B307" t="s">
        <v>323</v>
      </c>
      <c r="C307" t="s">
        <v>1121</v>
      </c>
      <c r="D307" t="s">
        <v>1136</v>
      </c>
      <c r="E307" t="s">
        <v>1141</v>
      </c>
      <c r="F307" t="s">
        <v>1151</v>
      </c>
      <c r="G307" t="s">
        <v>1155</v>
      </c>
      <c r="H307">
        <v>4</v>
      </c>
      <c r="I307">
        <v>34330</v>
      </c>
      <c r="J307" s="6">
        <v>5</v>
      </c>
      <c r="K307">
        <v>32613.5</v>
      </c>
      <c r="L307">
        <v>130454</v>
      </c>
      <c r="M307">
        <v>1500</v>
      </c>
      <c r="N307" t="s">
        <v>1160</v>
      </c>
      <c r="O307" t="s">
        <v>1162</v>
      </c>
      <c r="Q307" t="str">
        <f t="shared" si="12"/>
        <v>okay</v>
      </c>
      <c r="R307">
        <f t="shared" si="13"/>
        <v>2</v>
      </c>
      <c r="S307" s="6">
        <f t="shared" si="14"/>
        <v>0</v>
      </c>
    </row>
    <row r="308" spans="1:19" x14ac:dyDescent="0.3">
      <c r="A308" s="10">
        <v>45686</v>
      </c>
      <c r="B308" t="s">
        <v>324</v>
      </c>
      <c r="C308" t="s">
        <v>1124</v>
      </c>
      <c r="D308" t="s">
        <v>1135</v>
      </c>
      <c r="E308" t="s">
        <v>1137</v>
      </c>
      <c r="F308" t="s">
        <v>1149</v>
      </c>
      <c r="G308" t="s">
        <v>1152</v>
      </c>
      <c r="H308">
        <v>2</v>
      </c>
      <c r="I308">
        <v>9003</v>
      </c>
      <c r="J308" s="6">
        <v>20</v>
      </c>
      <c r="K308">
        <v>7202.4</v>
      </c>
      <c r="L308">
        <v>14404.8</v>
      </c>
      <c r="M308">
        <v>2000</v>
      </c>
      <c r="N308" t="s">
        <v>1159</v>
      </c>
      <c r="O308" t="s">
        <v>1162</v>
      </c>
      <c r="Q308" t="str">
        <f t="shared" si="12"/>
        <v>okay</v>
      </c>
      <c r="R308">
        <f t="shared" si="13"/>
        <v>2</v>
      </c>
      <c r="S308" s="6">
        <f t="shared" si="14"/>
        <v>0</v>
      </c>
    </row>
    <row r="309" spans="1:19" x14ac:dyDescent="0.3">
      <c r="A309" s="10">
        <v>45798</v>
      </c>
      <c r="B309" t="s">
        <v>325</v>
      </c>
      <c r="C309" t="s">
        <v>1130</v>
      </c>
      <c r="D309" t="s">
        <v>1136</v>
      </c>
      <c r="E309" t="s">
        <v>1139</v>
      </c>
      <c r="F309" t="s">
        <v>1150</v>
      </c>
      <c r="G309" t="s">
        <v>1154</v>
      </c>
      <c r="H309">
        <v>4</v>
      </c>
      <c r="I309">
        <v>20597</v>
      </c>
      <c r="J309" s="6">
        <v>0</v>
      </c>
      <c r="K309">
        <v>20597</v>
      </c>
      <c r="L309">
        <v>82388</v>
      </c>
      <c r="M309">
        <v>1000</v>
      </c>
      <c r="N309" t="s">
        <v>1161</v>
      </c>
      <c r="O309" t="s">
        <v>1162</v>
      </c>
      <c r="Q309" t="str">
        <f t="shared" si="12"/>
        <v>okay</v>
      </c>
      <c r="R309">
        <f t="shared" si="13"/>
        <v>2</v>
      </c>
      <c r="S309" s="6">
        <f t="shared" si="14"/>
        <v>0</v>
      </c>
    </row>
    <row r="310" spans="1:19" x14ac:dyDescent="0.3">
      <c r="A310" s="10">
        <v>45833</v>
      </c>
      <c r="B310" t="s">
        <v>326</v>
      </c>
      <c r="C310" t="s">
        <v>1120</v>
      </c>
      <c r="D310" t="s">
        <v>1135</v>
      </c>
      <c r="E310" t="s">
        <v>1141</v>
      </c>
      <c r="F310" t="s">
        <v>1151</v>
      </c>
      <c r="G310" t="s">
        <v>1155</v>
      </c>
      <c r="H310">
        <v>2</v>
      </c>
      <c r="I310">
        <v>64566</v>
      </c>
      <c r="J310" s="6">
        <v>10</v>
      </c>
      <c r="K310">
        <v>58109.4</v>
      </c>
      <c r="L310">
        <v>116218.8</v>
      </c>
      <c r="M310">
        <v>1000</v>
      </c>
      <c r="N310" t="s">
        <v>1161</v>
      </c>
      <c r="O310" t="s">
        <v>1164</v>
      </c>
      <c r="P310" s="10">
        <v>45839</v>
      </c>
      <c r="Q310" t="str">
        <f t="shared" si="12"/>
        <v>excellent</v>
      </c>
      <c r="R310">
        <f t="shared" si="13"/>
        <v>3</v>
      </c>
      <c r="S310" s="6">
        <f t="shared" si="14"/>
        <v>6</v>
      </c>
    </row>
    <row r="311" spans="1:19" x14ac:dyDescent="0.3">
      <c r="A311" s="10">
        <v>45657</v>
      </c>
      <c r="B311" t="s">
        <v>327</v>
      </c>
      <c r="C311" t="s">
        <v>1119</v>
      </c>
      <c r="D311" t="s">
        <v>1134</v>
      </c>
      <c r="E311" t="s">
        <v>1138</v>
      </c>
      <c r="F311" t="s">
        <v>1149</v>
      </c>
      <c r="G311" t="s">
        <v>1153</v>
      </c>
      <c r="H311">
        <v>3</v>
      </c>
      <c r="I311">
        <v>61390</v>
      </c>
      <c r="J311" s="6">
        <v>20</v>
      </c>
      <c r="K311">
        <v>49112</v>
      </c>
      <c r="L311">
        <v>147336</v>
      </c>
      <c r="M311">
        <v>1000</v>
      </c>
      <c r="N311" t="s">
        <v>1160</v>
      </c>
      <c r="O311" t="s">
        <v>1162</v>
      </c>
      <c r="Q311" t="str">
        <f t="shared" si="12"/>
        <v>okay</v>
      </c>
      <c r="R311">
        <f t="shared" si="13"/>
        <v>2</v>
      </c>
      <c r="S311" s="6">
        <f t="shared" si="14"/>
        <v>0</v>
      </c>
    </row>
    <row r="312" spans="1:19" x14ac:dyDescent="0.3">
      <c r="A312" s="10">
        <v>45728</v>
      </c>
      <c r="B312" t="s">
        <v>328</v>
      </c>
      <c r="C312" t="s">
        <v>1128</v>
      </c>
      <c r="D312" t="s">
        <v>1135</v>
      </c>
      <c r="E312" t="s">
        <v>1146</v>
      </c>
      <c r="F312" t="s">
        <v>1151</v>
      </c>
      <c r="G312" t="s">
        <v>1155</v>
      </c>
      <c r="H312">
        <v>1</v>
      </c>
      <c r="I312">
        <v>22184</v>
      </c>
      <c r="J312" s="6">
        <v>20</v>
      </c>
      <c r="K312">
        <v>17747.2</v>
      </c>
      <c r="L312">
        <v>17747.2</v>
      </c>
      <c r="M312">
        <v>1500</v>
      </c>
      <c r="N312" t="s">
        <v>1159</v>
      </c>
      <c r="O312" t="s">
        <v>1163</v>
      </c>
      <c r="Q312" t="str">
        <f t="shared" si="12"/>
        <v>no comment</v>
      </c>
      <c r="R312">
        <f t="shared" si="13"/>
        <v>1</v>
      </c>
      <c r="S312" s="6">
        <f t="shared" si="14"/>
        <v>0</v>
      </c>
    </row>
    <row r="313" spans="1:19" x14ac:dyDescent="0.3">
      <c r="A313" s="10">
        <v>45706</v>
      </c>
      <c r="B313" t="s">
        <v>329</v>
      </c>
      <c r="C313" t="s">
        <v>1128</v>
      </c>
      <c r="D313" t="s">
        <v>1135</v>
      </c>
      <c r="E313" t="s">
        <v>1146</v>
      </c>
      <c r="F313" t="s">
        <v>1151</v>
      </c>
      <c r="G313" t="s">
        <v>1155</v>
      </c>
      <c r="H313">
        <v>4</v>
      </c>
      <c r="I313">
        <v>44767</v>
      </c>
      <c r="J313" s="6">
        <v>20</v>
      </c>
      <c r="K313">
        <v>35813.599999999999</v>
      </c>
      <c r="L313">
        <v>143254.39999999999</v>
      </c>
      <c r="M313">
        <v>1500</v>
      </c>
      <c r="N313" t="s">
        <v>1160</v>
      </c>
      <c r="O313" t="s">
        <v>1164</v>
      </c>
      <c r="P313" s="10">
        <v>45708</v>
      </c>
      <c r="Q313" t="str">
        <f t="shared" si="12"/>
        <v>excellent</v>
      </c>
      <c r="R313">
        <f t="shared" si="13"/>
        <v>3</v>
      </c>
      <c r="S313" s="6">
        <f t="shared" si="14"/>
        <v>2</v>
      </c>
    </row>
    <row r="314" spans="1:19" x14ac:dyDescent="0.3">
      <c r="A314" s="10">
        <v>45786</v>
      </c>
      <c r="B314" t="s">
        <v>330</v>
      </c>
      <c r="C314" t="s">
        <v>1132</v>
      </c>
      <c r="D314" t="s">
        <v>1134</v>
      </c>
      <c r="E314" t="s">
        <v>1138</v>
      </c>
      <c r="F314" t="s">
        <v>1149</v>
      </c>
      <c r="G314" t="s">
        <v>1153</v>
      </c>
      <c r="H314">
        <v>2</v>
      </c>
      <c r="I314">
        <v>11407</v>
      </c>
      <c r="J314" s="6">
        <v>10</v>
      </c>
      <c r="K314">
        <v>10266.299999999999</v>
      </c>
      <c r="L314">
        <v>20532.599999999999</v>
      </c>
      <c r="M314">
        <v>1500</v>
      </c>
      <c r="N314" t="s">
        <v>1159</v>
      </c>
      <c r="O314" t="s">
        <v>1163</v>
      </c>
      <c r="Q314" t="str">
        <f t="shared" si="12"/>
        <v>no comment</v>
      </c>
      <c r="R314">
        <f t="shared" si="13"/>
        <v>1</v>
      </c>
      <c r="S314" s="6">
        <f t="shared" si="14"/>
        <v>0</v>
      </c>
    </row>
    <row r="315" spans="1:19" x14ac:dyDescent="0.3">
      <c r="A315" s="10">
        <v>45732</v>
      </c>
      <c r="B315" t="s">
        <v>331</v>
      </c>
      <c r="C315" t="s">
        <v>1123</v>
      </c>
      <c r="D315" t="s">
        <v>1135</v>
      </c>
      <c r="E315" t="s">
        <v>1139</v>
      </c>
      <c r="F315" t="s">
        <v>1150</v>
      </c>
      <c r="G315" t="s">
        <v>1154</v>
      </c>
      <c r="H315">
        <v>3</v>
      </c>
      <c r="I315">
        <v>1888</v>
      </c>
      <c r="J315" s="6">
        <v>20</v>
      </c>
      <c r="K315">
        <v>1510.4</v>
      </c>
      <c r="L315">
        <v>4531.2000000000007</v>
      </c>
      <c r="M315">
        <v>1500</v>
      </c>
      <c r="N315" t="s">
        <v>1159</v>
      </c>
      <c r="O315" t="s">
        <v>1162</v>
      </c>
      <c r="Q315" t="str">
        <f t="shared" si="12"/>
        <v>okay</v>
      </c>
      <c r="R315">
        <f t="shared" si="13"/>
        <v>2</v>
      </c>
      <c r="S315" s="6">
        <f t="shared" si="14"/>
        <v>0</v>
      </c>
    </row>
    <row r="316" spans="1:19" x14ac:dyDescent="0.3">
      <c r="A316" s="10">
        <v>45769</v>
      </c>
      <c r="B316" t="s">
        <v>332</v>
      </c>
      <c r="C316" t="s">
        <v>1119</v>
      </c>
      <c r="D316" t="s">
        <v>1134</v>
      </c>
      <c r="E316" t="s">
        <v>1137</v>
      </c>
      <c r="F316" t="s">
        <v>1149</v>
      </c>
      <c r="G316" t="s">
        <v>1152</v>
      </c>
      <c r="H316">
        <v>3</v>
      </c>
      <c r="I316">
        <v>29653</v>
      </c>
      <c r="J316" s="6">
        <v>5</v>
      </c>
      <c r="K316">
        <v>28170.35</v>
      </c>
      <c r="L316">
        <v>84511.049999999988</v>
      </c>
      <c r="M316">
        <v>1500</v>
      </c>
      <c r="N316" t="s">
        <v>1160</v>
      </c>
      <c r="O316" t="s">
        <v>1164</v>
      </c>
      <c r="P316" s="10">
        <v>45771</v>
      </c>
      <c r="Q316" t="str">
        <f t="shared" si="12"/>
        <v>excellent</v>
      </c>
      <c r="R316">
        <f t="shared" si="13"/>
        <v>3</v>
      </c>
      <c r="S316" s="6">
        <f t="shared" si="14"/>
        <v>2</v>
      </c>
    </row>
    <row r="317" spans="1:19" x14ac:dyDescent="0.3">
      <c r="A317" s="10">
        <v>45770</v>
      </c>
      <c r="B317" t="s">
        <v>333</v>
      </c>
      <c r="C317" t="s">
        <v>1128</v>
      </c>
      <c r="D317" t="s">
        <v>1135</v>
      </c>
      <c r="E317" t="s">
        <v>1146</v>
      </c>
      <c r="F317" t="s">
        <v>1151</v>
      </c>
      <c r="G317" t="s">
        <v>1155</v>
      </c>
      <c r="H317">
        <v>1</v>
      </c>
      <c r="I317">
        <v>9249</v>
      </c>
      <c r="J317" s="6">
        <v>0</v>
      </c>
      <c r="K317">
        <v>9249</v>
      </c>
      <c r="L317">
        <v>9249</v>
      </c>
      <c r="M317">
        <v>2000</v>
      </c>
      <c r="N317" t="s">
        <v>1160</v>
      </c>
      <c r="O317" t="s">
        <v>1164</v>
      </c>
      <c r="P317" s="10">
        <v>45783</v>
      </c>
      <c r="Q317" t="str">
        <f t="shared" si="12"/>
        <v>excellent</v>
      </c>
      <c r="R317">
        <f t="shared" si="13"/>
        <v>3</v>
      </c>
      <c r="S317" s="6">
        <f t="shared" si="14"/>
        <v>13</v>
      </c>
    </row>
    <row r="318" spans="1:19" x14ac:dyDescent="0.3">
      <c r="A318" s="10">
        <v>45688</v>
      </c>
      <c r="B318" t="s">
        <v>334</v>
      </c>
      <c r="C318" t="s">
        <v>1131</v>
      </c>
      <c r="D318" t="s">
        <v>1136</v>
      </c>
      <c r="E318" t="s">
        <v>1147</v>
      </c>
      <c r="F318" t="s">
        <v>1150</v>
      </c>
      <c r="G318" t="s">
        <v>1156</v>
      </c>
      <c r="H318">
        <v>2</v>
      </c>
      <c r="I318">
        <v>35080</v>
      </c>
      <c r="J318" s="6">
        <v>5</v>
      </c>
      <c r="K318">
        <v>33326</v>
      </c>
      <c r="L318">
        <v>66652</v>
      </c>
      <c r="M318">
        <v>1000</v>
      </c>
      <c r="N318" t="s">
        <v>1161</v>
      </c>
      <c r="O318" t="s">
        <v>1164</v>
      </c>
      <c r="P318" s="10">
        <v>45693</v>
      </c>
      <c r="Q318" t="str">
        <f t="shared" si="12"/>
        <v>excellent</v>
      </c>
      <c r="R318">
        <f t="shared" si="13"/>
        <v>3</v>
      </c>
      <c r="S318" s="6">
        <f t="shared" si="14"/>
        <v>5</v>
      </c>
    </row>
    <row r="319" spans="1:19" x14ac:dyDescent="0.3">
      <c r="A319" s="10">
        <v>45661</v>
      </c>
      <c r="B319" t="s">
        <v>335</v>
      </c>
      <c r="C319" t="s">
        <v>1122</v>
      </c>
      <c r="D319" t="s">
        <v>1136</v>
      </c>
      <c r="E319" t="s">
        <v>1137</v>
      </c>
      <c r="F319" t="s">
        <v>1149</v>
      </c>
      <c r="G319" t="s">
        <v>1152</v>
      </c>
      <c r="H319">
        <v>2</v>
      </c>
      <c r="I319">
        <v>69401</v>
      </c>
      <c r="J319" s="6">
        <v>5</v>
      </c>
      <c r="K319">
        <v>65930.95</v>
      </c>
      <c r="L319">
        <v>131861.9</v>
      </c>
      <c r="M319">
        <v>1000</v>
      </c>
      <c r="N319" t="s">
        <v>1159</v>
      </c>
      <c r="O319" t="s">
        <v>1162</v>
      </c>
      <c r="Q319" t="str">
        <f t="shared" si="12"/>
        <v>okay</v>
      </c>
      <c r="R319">
        <f t="shared" si="13"/>
        <v>2</v>
      </c>
      <c r="S319" s="6">
        <f t="shared" si="14"/>
        <v>0</v>
      </c>
    </row>
    <row r="320" spans="1:19" x14ac:dyDescent="0.3">
      <c r="A320" s="10">
        <v>45707</v>
      </c>
      <c r="B320" t="s">
        <v>336</v>
      </c>
      <c r="C320" t="s">
        <v>1118</v>
      </c>
      <c r="D320" t="s">
        <v>1134</v>
      </c>
      <c r="E320" t="s">
        <v>1137</v>
      </c>
      <c r="F320" t="s">
        <v>1149</v>
      </c>
      <c r="G320" t="s">
        <v>1152</v>
      </c>
      <c r="H320">
        <v>2</v>
      </c>
      <c r="I320">
        <v>49043</v>
      </c>
      <c r="J320" s="6">
        <v>10</v>
      </c>
      <c r="K320">
        <v>44138.7</v>
      </c>
      <c r="L320">
        <v>88277.4</v>
      </c>
      <c r="M320">
        <v>2000</v>
      </c>
      <c r="N320" t="s">
        <v>1159</v>
      </c>
      <c r="O320" t="s">
        <v>1162</v>
      </c>
      <c r="Q320" t="str">
        <f t="shared" si="12"/>
        <v>okay</v>
      </c>
      <c r="R320">
        <f t="shared" si="13"/>
        <v>2</v>
      </c>
      <c r="S320" s="6">
        <f t="shared" si="14"/>
        <v>0</v>
      </c>
    </row>
    <row r="321" spans="1:19" x14ac:dyDescent="0.3">
      <c r="A321" s="10">
        <v>45767</v>
      </c>
      <c r="B321" t="s">
        <v>337</v>
      </c>
      <c r="C321" t="s">
        <v>1125</v>
      </c>
      <c r="D321" t="s">
        <v>1133</v>
      </c>
      <c r="E321" t="s">
        <v>1139</v>
      </c>
      <c r="F321" t="s">
        <v>1150</v>
      </c>
      <c r="G321" t="s">
        <v>1154</v>
      </c>
      <c r="H321">
        <v>3</v>
      </c>
      <c r="I321">
        <v>58257</v>
      </c>
      <c r="J321" s="6">
        <v>10</v>
      </c>
      <c r="K321">
        <v>52431.3</v>
      </c>
      <c r="L321">
        <v>157293.9</v>
      </c>
      <c r="M321">
        <v>1000</v>
      </c>
      <c r="N321" t="s">
        <v>1161</v>
      </c>
      <c r="O321" t="s">
        <v>1164</v>
      </c>
      <c r="P321" s="10">
        <v>45773</v>
      </c>
      <c r="Q321" t="str">
        <f t="shared" si="12"/>
        <v>excellent</v>
      </c>
      <c r="R321">
        <f t="shared" si="13"/>
        <v>3</v>
      </c>
      <c r="S321" s="6">
        <f t="shared" si="14"/>
        <v>6</v>
      </c>
    </row>
    <row r="322" spans="1:19" x14ac:dyDescent="0.3">
      <c r="A322" s="10">
        <v>45678</v>
      </c>
      <c r="B322" t="s">
        <v>338</v>
      </c>
      <c r="C322" t="s">
        <v>1131</v>
      </c>
      <c r="D322" t="s">
        <v>1136</v>
      </c>
      <c r="E322" t="s">
        <v>1137</v>
      </c>
      <c r="F322" t="s">
        <v>1149</v>
      </c>
      <c r="G322" t="s">
        <v>1152</v>
      </c>
      <c r="H322">
        <v>5</v>
      </c>
      <c r="I322">
        <v>11096</v>
      </c>
      <c r="J322" s="6">
        <v>5</v>
      </c>
      <c r="K322">
        <v>10541.2</v>
      </c>
      <c r="L322">
        <v>52706</v>
      </c>
      <c r="M322">
        <v>1000</v>
      </c>
      <c r="N322" t="s">
        <v>1159</v>
      </c>
      <c r="O322" t="s">
        <v>1162</v>
      </c>
      <c r="Q322" t="str">
        <f t="shared" ref="Q322:Q385" si="15">IF(O322="delivered","excellent",IF(O322="in transit","okay",IF(O322="failed","no comment")))</f>
        <v>okay</v>
      </c>
      <c r="R322">
        <f t="shared" si="13"/>
        <v>2</v>
      </c>
      <c r="S322" s="6">
        <f t="shared" si="14"/>
        <v>0</v>
      </c>
    </row>
    <row r="323" spans="1:19" x14ac:dyDescent="0.3">
      <c r="A323" s="10">
        <v>45700</v>
      </c>
      <c r="B323" t="s">
        <v>339</v>
      </c>
      <c r="C323" t="s">
        <v>1125</v>
      </c>
      <c r="D323" t="s">
        <v>1133</v>
      </c>
      <c r="E323" t="s">
        <v>1137</v>
      </c>
      <c r="F323" t="s">
        <v>1149</v>
      </c>
      <c r="G323" t="s">
        <v>1152</v>
      </c>
      <c r="H323">
        <v>2</v>
      </c>
      <c r="I323">
        <v>61615</v>
      </c>
      <c r="J323" s="6">
        <v>15</v>
      </c>
      <c r="K323">
        <v>52372.75</v>
      </c>
      <c r="L323">
        <v>104745.5</v>
      </c>
      <c r="M323">
        <v>2000</v>
      </c>
      <c r="N323" t="s">
        <v>1161</v>
      </c>
      <c r="O323" t="s">
        <v>1163</v>
      </c>
      <c r="Q323" t="str">
        <f t="shared" si="15"/>
        <v>no comment</v>
      </c>
      <c r="R323">
        <f t="shared" ref="R323:R386" si="16">IF(Q323="excellent",3,IF(Q323="no comment",1,IF(Q323="okay",2)))</f>
        <v>1</v>
      </c>
      <c r="S323" s="6">
        <f t="shared" ref="S323:S386" si="17">(IFERROR(DATEDIF(A323,P323,"d"),0))</f>
        <v>0</v>
      </c>
    </row>
    <row r="324" spans="1:19" x14ac:dyDescent="0.3">
      <c r="A324" s="10">
        <v>45833</v>
      </c>
      <c r="B324" t="s">
        <v>340</v>
      </c>
      <c r="C324" t="s">
        <v>1122</v>
      </c>
      <c r="D324" t="s">
        <v>1136</v>
      </c>
      <c r="E324" t="s">
        <v>1137</v>
      </c>
      <c r="F324" t="s">
        <v>1149</v>
      </c>
      <c r="G324" t="s">
        <v>1152</v>
      </c>
      <c r="H324">
        <v>1</v>
      </c>
      <c r="I324">
        <v>16489</v>
      </c>
      <c r="J324" s="6">
        <v>10</v>
      </c>
      <c r="K324">
        <v>14840.1</v>
      </c>
      <c r="L324">
        <v>14840.1</v>
      </c>
      <c r="M324">
        <v>1500</v>
      </c>
      <c r="N324" t="s">
        <v>1159</v>
      </c>
      <c r="O324" t="s">
        <v>1162</v>
      </c>
      <c r="Q324" t="str">
        <f t="shared" si="15"/>
        <v>okay</v>
      </c>
      <c r="R324">
        <f t="shared" si="16"/>
        <v>2</v>
      </c>
      <c r="S324" s="6">
        <f t="shared" si="17"/>
        <v>0</v>
      </c>
    </row>
    <row r="325" spans="1:19" x14ac:dyDescent="0.3">
      <c r="A325" s="10">
        <v>45722</v>
      </c>
      <c r="B325" t="s">
        <v>341</v>
      </c>
      <c r="C325" t="s">
        <v>1128</v>
      </c>
      <c r="D325" t="s">
        <v>1135</v>
      </c>
      <c r="E325" t="s">
        <v>1137</v>
      </c>
      <c r="F325" t="s">
        <v>1149</v>
      </c>
      <c r="G325" t="s">
        <v>1152</v>
      </c>
      <c r="H325">
        <v>4</v>
      </c>
      <c r="I325">
        <v>16578</v>
      </c>
      <c r="J325" s="6">
        <v>5</v>
      </c>
      <c r="K325">
        <v>15749.1</v>
      </c>
      <c r="L325">
        <v>62996.4</v>
      </c>
      <c r="M325">
        <v>2000</v>
      </c>
      <c r="N325" t="s">
        <v>1161</v>
      </c>
      <c r="O325" t="s">
        <v>1163</v>
      </c>
      <c r="Q325" t="str">
        <f t="shared" si="15"/>
        <v>no comment</v>
      </c>
      <c r="R325">
        <f t="shared" si="16"/>
        <v>1</v>
      </c>
      <c r="S325" s="6">
        <f t="shared" si="17"/>
        <v>0</v>
      </c>
    </row>
    <row r="326" spans="1:19" x14ac:dyDescent="0.3">
      <c r="A326" s="10">
        <v>45717</v>
      </c>
      <c r="B326" t="s">
        <v>342</v>
      </c>
      <c r="C326" t="s">
        <v>1127</v>
      </c>
      <c r="D326" t="s">
        <v>1134</v>
      </c>
      <c r="E326" t="s">
        <v>1137</v>
      </c>
      <c r="F326" t="s">
        <v>1149</v>
      </c>
      <c r="G326" t="s">
        <v>1152</v>
      </c>
      <c r="H326">
        <v>4</v>
      </c>
      <c r="I326">
        <v>28333</v>
      </c>
      <c r="J326" s="6">
        <v>10</v>
      </c>
      <c r="K326">
        <v>25499.7</v>
      </c>
      <c r="L326">
        <v>101998.8</v>
      </c>
      <c r="M326">
        <v>1500</v>
      </c>
      <c r="N326" t="s">
        <v>1161</v>
      </c>
      <c r="O326" t="s">
        <v>1162</v>
      </c>
      <c r="Q326" t="str">
        <f t="shared" si="15"/>
        <v>okay</v>
      </c>
      <c r="R326">
        <f t="shared" si="16"/>
        <v>2</v>
      </c>
      <c r="S326" s="6">
        <f t="shared" si="17"/>
        <v>0</v>
      </c>
    </row>
    <row r="327" spans="1:19" x14ac:dyDescent="0.3">
      <c r="A327" s="10">
        <v>45815</v>
      </c>
      <c r="B327" t="s">
        <v>343</v>
      </c>
      <c r="C327" t="s">
        <v>1130</v>
      </c>
      <c r="D327" t="s">
        <v>1136</v>
      </c>
      <c r="E327" t="s">
        <v>1138</v>
      </c>
      <c r="F327" t="s">
        <v>1149</v>
      </c>
      <c r="G327" t="s">
        <v>1153</v>
      </c>
      <c r="H327">
        <v>4</v>
      </c>
      <c r="I327">
        <v>57436</v>
      </c>
      <c r="J327" s="6">
        <v>5</v>
      </c>
      <c r="K327">
        <v>54564.2</v>
      </c>
      <c r="L327">
        <v>218256.8</v>
      </c>
      <c r="M327">
        <v>2000</v>
      </c>
      <c r="N327" t="s">
        <v>1161</v>
      </c>
      <c r="O327" t="s">
        <v>1162</v>
      </c>
      <c r="Q327" t="str">
        <f t="shared" si="15"/>
        <v>okay</v>
      </c>
      <c r="R327">
        <f t="shared" si="16"/>
        <v>2</v>
      </c>
      <c r="S327" s="6">
        <f t="shared" si="17"/>
        <v>0</v>
      </c>
    </row>
    <row r="328" spans="1:19" x14ac:dyDescent="0.3">
      <c r="A328" s="10">
        <v>45785</v>
      </c>
      <c r="B328" t="s">
        <v>344</v>
      </c>
      <c r="C328" t="s">
        <v>1130</v>
      </c>
      <c r="D328" t="s">
        <v>1136</v>
      </c>
      <c r="E328" t="s">
        <v>1146</v>
      </c>
      <c r="F328" t="s">
        <v>1151</v>
      </c>
      <c r="G328" t="s">
        <v>1155</v>
      </c>
      <c r="H328">
        <v>4</v>
      </c>
      <c r="I328">
        <v>27050</v>
      </c>
      <c r="J328" s="6">
        <v>20</v>
      </c>
      <c r="K328">
        <v>21640</v>
      </c>
      <c r="L328">
        <v>86560</v>
      </c>
      <c r="M328">
        <v>1500</v>
      </c>
      <c r="N328" t="s">
        <v>1159</v>
      </c>
      <c r="O328" t="s">
        <v>1163</v>
      </c>
      <c r="Q328" t="str">
        <f t="shared" si="15"/>
        <v>no comment</v>
      </c>
      <c r="R328">
        <f t="shared" si="16"/>
        <v>1</v>
      </c>
      <c r="S328" s="6">
        <f t="shared" si="17"/>
        <v>0</v>
      </c>
    </row>
    <row r="329" spans="1:19" x14ac:dyDescent="0.3">
      <c r="A329" s="10">
        <v>45815</v>
      </c>
      <c r="B329" t="s">
        <v>345</v>
      </c>
      <c r="C329" t="s">
        <v>1118</v>
      </c>
      <c r="D329" t="s">
        <v>1134</v>
      </c>
      <c r="E329" t="s">
        <v>1145</v>
      </c>
      <c r="F329" t="s">
        <v>1149</v>
      </c>
      <c r="G329" t="s">
        <v>1153</v>
      </c>
      <c r="H329">
        <v>1</v>
      </c>
      <c r="I329">
        <v>40171</v>
      </c>
      <c r="J329" s="6">
        <v>10</v>
      </c>
      <c r="K329">
        <v>36153.9</v>
      </c>
      <c r="L329">
        <v>36153.9</v>
      </c>
      <c r="M329">
        <v>2000</v>
      </c>
      <c r="N329" t="s">
        <v>1159</v>
      </c>
      <c r="O329" t="s">
        <v>1164</v>
      </c>
      <c r="P329" s="10">
        <v>45825</v>
      </c>
      <c r="Q329" t="str">
        <f t="shared" si="15"/>
        <v>excellent</v>
      </c>
      <c r="R329">
        <f t="shared" si="16"/>
        <v>3</v>
      </c>
      <c r="S329" s="6">
        <f t="shared" si="17"/>
        <v>10</v>
      </c>
    </row>
    <row r="330" spans="1:19" x14ac:dyDescent="0.3">
      <c r="A330" s="10">
        <v>45797</v>
      </c>
      <c r="B330" t="s">
        <v>346</v>
      </c>
      <c r="C330" t="s">
        <v>1121</v>
      </c>
      <c r="D330" t="s">
        <v>1136</v>
      </c>
      <c r="E330" t="s">
        <v>1141</v>
      </c>
      <c r="F330" t="s">
        <v>1151</v>
      </c>
      <c r="G330" t="s">
        <v>1155</v>
      </c>
      <c r="H330">
        <v>2</v>
      </c>
      <c r="I330">
        <v>56511</v>
      </c>
      <c r="J330" s="6">
        <v>0</v>
      </c>
      <c r="K330">
        <v>56511</v>
      </c>
      <c r="L330">
        <v>113022</v>
      </c>
      <c r="M330">
        <v>1000</v>
      </c>
      <c r="N330" t="s">
        <v>1161</v>
      </c>
      <c r="O330" t="s">
        <v>1162</v>
      </c>
      <c r="Q330" t="str">
        <f t="shared" si="15"/>
        <v>okay</v>
      </c>
      <c r="R330">
        <f t="shared" si="16"/>
        <v>2</v>
      </c>
      <c r="S330" s="6">
        <f t="shared" si="17"/>
        <v>0</v>
      </c>
    </row>
    <row r="331" spans="1:19" x14ac:dyDescent="0.3">
      <c r="A331" s="10">
        <v>45684</v>
      </c>
      <c r="B331" t="s">
        <v>347</v>
      </c>
      <c r="C331" t="s">
        <v>1123</v>
      </c>
      <c r="D331" t="s">
        <v>1135</v>
      </c>
      <c r="E331" t="s">
        <v>1145</v>
      </c>
      <c r="F331" t="s">
        <v>1149</v>
      </c>
      <c r="G331" t="s">
        <v>1153</v>
      </c>
      <c r="H331">
        <v>3</v>
      </c>
      <c r="I331">
        <v>27223</v>
      </c>
      <c r="J331" s="6">
        <v>10</v>
      </c>
      <c r="K331">
        <v>24500.7</v>
      </c>
      <c r="L331">
        <v>73502.100000000006</v>
      </c>
      <c r="M331">
        <v>2000</v>
      </c>
      <c r="N331" t="s">
        <v>1160</v>
      </c>
      <c r="O331" t="s">
        <v>1163</v>
      </c>
      <c r="Q331" t="str">
        <f t="shared" si="15"/>
        <v>no comment</v>
      </c>
      <c r="R331">
        <f t="shared" si="16"/>
        <v>1</v>
      </c>
      <c r="S331" s="6">
        <f t="shared" si="17"/>
        <v>0</v>
      </c>
    </row>
    <row r="332" spans="1:19" x14ac:dyDescent="0.3">
      <c r="A332" s="10">
        <v>45798</v>
      </c>
      <c r="B332" t="s">
        <v>348</v>
      </c>
      <c r="C332" t="s">
        <v>1122</v>
      </c>
      <c r="D332" t="s">
        <v>1136</v>
      </c>
      <c r="E332" t="s">
        <v>1137</v>
      </c>
      <c r="F332" t="s">
        <v>1149</v>
      </c>
      <c r="G332" t="s">
        <v>1152</v>
      </c>
      <c r="H332">
        <v>3</v>
      </c>
      <c r="I332">
        <v>17264</v>
      </c>
      <c r="J332" s="6">
        <v>15</v>
      </c>
      <c r="K332">
        <v>14674.4</v>
      </c>
      <c r="L332">
        <v>44023.199999999997</v>
      </c>
      <c r="M332">
        <v>1500</v>
      </c>
      <c r="N332" t="s">
        <v>1159</v>
      </c>
      <c r="O332" t="s">
        <v>1164</v>
      </c>
      <c r="P332" s="10">
        <v>45800</v>
      </c>
      <c r="Q332" t="str">
        <f t="shared" si="15"/>
        <v>excellent</v>
      </c>
      <c r="R332">
        <f t="shared" si="16"/>
        <v>3</v>
      </c>
      <c r="S332" s="6">
        <f t="shared" si="17"/>
        <v>2</v>
      </c>
    </row>
    <row r="333" spans="1:19" x14ac:dyDescent="0.3">
      <c r="A333" s="10">
        <v>45669</v>
      </c>
      <c r="B333" t="s">
        <v>349</v>
      </c>
      <c r="C333" t="s">
        <v>1127</v>
      </c>
      <c r="D333" t="s">
        <v>1134</v>
      </c>
      <c r="E333" t="s">
        <v>1141</v>
      </c>
      <c r="F333" t="s">
        <v>1151</v>
      </c>
      <c r="G333" t="s">
        <v>1155</v>
      </c>
      <c r="H333">
        <v>4</v>
      </c>
      <c r="I333">
        <v>17924</v>
      </c>
      <c r="J333" s="6">
        <v>15</v>
      </c>
      <c r="K333">
        <v>15235.4</v>
      </c>
      <c r="L333">
        <v>60941.599999999999</v>
      </c>
      <c r="M333">
        <v>2000</v>
      </c>
      <c r="N333" t="s">
        <v>1161</v>
      </c>
      <c r="O333" t="s">
        <v>1163</v>
      </c>
      <c r="Q333" t="str">
        <f t="shared" si="15"/>
        <v>no comment</v>
      </c>
      <c r="R333">
        <f t="shared" si="16"/>
        <v>1</v>
      </c>
      <c r="S333" s="6">
        <f t="shared" si="17"/>
        <v>0</v>
      </c>
    </row>
    <row r="334" spans="1:19" x14ac:dyDescent="0.3">
      <c r="A334" s="10">
        <v>45670</v>
      </c>
      <c r="B334" t="s">
        <v>350</v>
      </c>
      <c r="C334" t="s">
        <v>1118</v>
      </c>
      <c r="D334" t="s">
        <v>1134</v>
      </c>
      <c r="E334" t="s">
        <v>1144</v>
      </c>
      <c r="F334" t="s">
        <v>1151</v>
      </c>
      <c r="G334" t="s">
        <v>1157</v>
      </c>
      <c r="H334">
        <v>3</v>
      </c>
      <c r="I334">
        <v>32579</v>
      </c>
      <c r="J334" s="6">
        <v>5</v>
      </c>
      <c r="K334">
        <v>30950.05</v>
      </c>
      <c r="L334">
        <v>92850.15</v>
      </c>
      <c r="M334">
        <v>2000</v>
      </c>
      <c r="N334" t="s">
        <v>1161</v>
      </c>
      <c r="O334" t="s">
        <v>1162</v>
      </c>
      <c r="Q334" t="str">
        <f t="shared" si="15"/>
        <v>okay</v>
      </c>
      <c r="R334">
        <f t="shared" si="16"/>
        <v>2</v>
      </c>
      <c r="S334" s="6">
        <f t="shared" si="17"/>
        <v>0</v>
      </c>
    </row>
    <row r="335" spans="1:19" x14ac:dyDescent="0.3">
      <c r="A335" s="10">
        <v>45735</v>
      </c>
      <c r="B335" t="s">
        <v>351</v>
      </c>
      <c r="C335" t="s">
        <v>1117</v>
      </c>
      <c r="D335" t="s">
        <v>1133</v>
      </c>
      <c r="E335" t="s">
        <v>1144</v>
      </c>
      <c r="F335" t="s">
        <v>1151</v>
      </c>
      <c r="G335" t="s">
        <v>1157</v>
      </c>
      <c r="H335">
        <v>4</v>
      </c>
      <c r="I335">
        <v>52145</v>
      </c>
      <c r="J335" s="6">
        <v>20</v>
      </c>
      <c r="K335">
        <v>41716</v>
      </c>
      <c r="L335">
        <v>166864</v>
      </c>
      <c r="M335">
        <v>1000</v>
      </c>
      <c r="N335" t="s">
        <v>1159</v>
      </c>
      <c r="O335" t="s">
        <v>1162</v>
      </c>
      <c r="Q335" t="str">
        <f t="shared" si="15"/>
        <v>okay</v>
      </c>
      <c r="R335">
        <f t="shared" si="16"/>
        <v>2</v>
      </c>
      <c r="S335" s="6">
        <f t="shared" si="17"/>
        <v>0</v>
      </c>
    </row>
    <row r="336" spans="1:19" x14ac:dyDescent="0.3">
      <c r="A336" s="10">
        <v>45752</v>
      </c>
      <c r="B336" t="s">
        <v>352</v>
      </c>
      <c r="C336" t="s">
        <v>1128</v>
      </c>
      <c r="D336" t="s">
        <v>1135</v>
      </c>
      <c r="E336" t="s">
        <v>1143</v>
      </c>
      <c r="F336" t="s">
        <v>1151</v>
      </c>
      <c r="G336" t="s">
        <v>1157</v>
      </c>
      <c r="H336">
        <v>2</v>
      </c>
      <c r="I336">
        <v>51832</v>
      </c>
      <c r="J336" s="6">
        <v>15</v>
      </c>
      <c r="K336">
        <v>44057.2</v>
      </c>
      <c r="L336">
        <v>88114.4</v>
      </c>
      <c r="M336">
        <v>2000</v>
      </c>
      <c r="N336" t="s">
        <v>1161</v>
      </c>
      <c r="O336" t="s">
        <v>1163</v>
      </c>
      <c r="Q336" t="str">
        <f t="shared" si="15"/>
        <v>no comment</v>
      </c>
      <c r="R336">
        <f t="shared" si="16"/>
        <v>1</v>
      </c>
      <c r="S336" s="6">
        <f t="shared" si="17"/>
        <v>0</v>
      </c>
    </row>
    <row r="337" spans="1:19" x14ac:dyDescent="0.3">
      <c r="A337" s="10">
        <v>45770</v>
      </c>
      <c r="B337" t="s">
        <v>353</v>
      </c>
      <c r="C337" t="s">
        <v>1124</v>
      </c>
      <c r="D337" t="s">
        <v>1135</v>
      </c>
      <c r="E337" t="s">
        <v>1143</v>
      </c>
      <c r="F337" t="s">
        <v>1151</v>
      </c>
      <c r="G337" t="s">
        <v>1157</v>
      </c>
      <c r="H337">
        <v>5</v>
      </c>
      <c r="I337">
        <v>8175</v>
      </c>
      <c r="J337" s="6">
        <v>10</v>
      </c>
      <c r="K337">
        <v>7357.5</v>
      </c>
      <c r="L337">
        <v>36787.5</v>
      </c>
      <c r="M337">
        <v>2000</v>
      </c>
      <c r="N337" t="s">
        <v>1159</v>
      </c>
      <c r="O337" t="s">
        <v>1163</v>
      </c>
      <c r="Q337" t="str">
        <f t="shared" si="15"/>
        <v>no comment</v>
      </c>
      <c r="R337">
        <f t="shared" si="16"/>
        <v>1</v>
      </c>
      <c r="S337" s="6">
        <f t="shared" si="17"/>
        <v>0</v>
      </c>
    </row>
    <row r="338" spans="1:19" x14ac:dyDescent="0.3">
      <c r="A338" s="10">
        <v>45705</v>
      </c>
      <c r="B338" t="s">
        <v>354</v>
      </c>
      <c r="C338" t="s">
        <v>1118</v>
      </c>
      <c r="D338" t="s">
        <v>1134</v>
      </c>
      <c r="E338" t="s">
        <v>1145</v>
      </c>
      <c r="F338" t="s">
        <v>1149</v>
      </c>
      <c r="G338" t="s">
        <v>1153</v>
      </c>
      <c r="H338">
        <v>4</v>
      </c>
      <c r="I338">
        <v>12893</v>
      </c>
      <c r="J338" s="6">
        <v>15</v>
      </c>
      <c r="K338">
        <v>10959.05</v>
      </c>
      <c r="L338">
        <v>43836.2</v>
      </c>
      <c r="M338">
        <v>1500</v>
      </c>
      <c r="N338" t="s">
        <v>1160</v>
      </c>
      <c r="O338" t="s">
        <v>1162</v>
      </c>
      <c r="Q338" t="str">
        <f t="shared" si="15"/>
        <v>okay</v>
      </c>
      <c r="R338">
        <f t="shared" si="16"/>
        <v>2</v>
      </c>
      <c r="S338" s="6">
        <f t="shared" si="17"/>
        <v>0</v>
      </c>
    </row>
    <row r="339" spans="1:19" x14ac:dyDescent="0.3">
      <c r="A339" s="10">
        <v>45724</v>
      </c>
      <c r="B339" t="s">
        <v>355</v>
      </c>
      <c r="C339" t="s">
        <v>1127</v>
      </c>
      <c r="D339" t="s">
        <v>1134</v>
      </c>
      <c r="E339" t="s">
        <v>1147</v>
      </c>
      <c r="F339" t="s">
        <v>1150</v>
      </c>
      <c r="G339" t="s">
        <v>1156</v>
      </c>
      <c r="H339">
        <v>1</v>
      </c>
      <c r="I339">
        <v>35549</v>
      </c>
      <c r="J339" s="6">
        <v>15</v>
      </c>
      <c r="K339">
        <v>30216.65</v>
      </c>
      <c r="L339">
        <v>30216.65</v>
      </c>
      <c r="M339">
        <v>1000</v>
      </c>
      <c r="N339" t="s">
        <v>1159</v>
      </c>
      <c r="O339" t="s">
        <v>1162</v>
      </c>
      <c r="Q339" t="str">
        <f t="shared" si="15"/>
        <v>okay</v>
      </c>
      <c r="R339">
        <f t="shared" si="16"/>
        <v>2</v>
      </c>
      <c r="S339" s="6">
        <f t="shared" si="17"/>
        <v>0</v>
      </c>
    </row>
    <row r="340" spans="1:19" x14ac:dyDescent="0.3">
      <c r="A340" s="10">
        <v>45730</v>
      </c>
      <c r="B340" t="s">
        <v>356</v>
      </c>
      <c r="C340" t="s">
        <v>1122</v>
      </c>
      <c r="D340" t="s">
        <v>1136</v>
      </c>
      <c r="E340" t="s">
        <v>1148</v>
      </c>
      <c r="F340" t="s">
        <v>1149</v>
      </c>
      <c r="G340" t="s">
        <v>1152</v>
      </c>
      <c r="H340">
        <v>4</v>
      </c>
      <c r="I340">
        <v>11058</v>
      </c>
      <c r="J340" s="6">
        <v>5</v>
      </c>
      <c r="K340">
        <v>10505.1</v>
      </c>
      <c r="L340">
        <v>42020.4</v>
      </c>
      <c r="M340">
        <v>1500</v>
      </c>
      <c r="N340" t="s">
        <v>1161</v>
      </c>
      <c r="O340" t="s">
        <v>1163</v>
      </c>
      <c r="Q340" t="str">
        <f t="shared" si="15"/>
        <v>no comment</v>
      </c>
      <c r="R340">
        <f t="shared" si="16"/>
        <v>1</v>
      </c>
      <c r="S340" s="6">
        <f t="shared" si="17"/>
        <v>0</v>
      </c>
    </row>
    <row r="341" spans="1:19" x14ac:dyDescent="0.3">
      <c r="A341" s="10">
        <v>45672</v>
      </c>
      <c r="B341" t="s">
        <v>357</v>
      </c>
      <c r="C341" t="s">
        <v>1126</v>
      </c>
      <c r="D341" t="s">
        <v>1133</v>
      </c>
      <c r="E341" t="s">
        <v>1140</v>
      </c>
      <c r="F341" t="s">
        <v>1150</v>
      </c>
      <c r="G341" t="s">
        <v>1154</v>
      </c>
      <c r="H341">
        <v>1</v>
      </c>
      <c r="I341">
        <v>75041</v>
      </c>
      <c r="J341" s="6">
        <v>15</v>
      </c>
      <c r="K341">
        <v>63784.85</v>
      </c>
      <c r="L341">
        <v>63784.85</v>
      </c>
      <c r="M341">
        <v>1000</v>
      </c>
      <c r="N341" t="s">
        <v>1161</v>
      </c>
      <c r="O341" t="s">
        <v>1164</v>
      </c>
      <c r="P341" s="10">
        <v>45677</v>
      </c>
      <c r="Q341" t="str">
        <f t="shared" si="15"/>
        <v>excellent</v>
      </c>
      <c r="R341">
        <f t="shared" si="16"/>
        <v>3</v>
      </c>
      <c r="S341" s="6">
        <f t="shared" si="17"/>
        <v>5</v>
      </c>
    </row>
    <row r="342" spans="1:19" x14ac:dyDescent="0.3">
      <c r="A342" s="10">
        <v>45821</v>
      </c>
      <c r="B342" t="s">
        <v>358</v>
      </c>
      <c r="C342" t="s">
        <v>1127</v>
      </c>
      <c r="D342" t="s">
        <v>1134</v>
      </c>
      <c r="E342" t="s">
        <v>1144</v>
      </c>
      <c r="F342" t="s">
        <v>1151</v>
      </c>
      <c r="G342" t="s">
        <v>1157</v>
      </c>
      <c r="H342">
        <v>2</v>
      </c>
      <c r="I342">
        <v>45223</v>
      </c>
      <c r="J342" s="6">
        <v>10</v>
      </c>
      <c r="K342">
        <v>40700.699999999997</v>
      </c>
      <c r="L342">
        <v>81401.399999999994</v>
      </c>
      <c r="M342">
        <v>1000</v>
      </c>
      <c r="N342" t="s">
        <v>1160</v>
      </c>
      <c r="O342" t="s">
        <v>1164</v>
      </c>
      <c r="P342" s="10">
        <v>45833</v>
      </c>
      <c r="Q342" t="str">
        <f t="shared" si="15"/>
        <v>excellent</v>
      </c>
      <c r="R342">
        <f t="shared" si="16"/>
        <v>3</v>
      </c>
      <c r="S342" s="6">
        <f t="shared" si="17"/>
        <v>12</v>
      </c>
    </row>
    <row r="343" spans="1:19" x14ac:dyDescent="0.3">
      <c r="A343" s="10">
        <v>45731</v>
      </c>
      <c r="B343" t="s">
        <v>359</v>
      </c>
      <c r="C343" t="s">
        <v>1118</v>
      </c>
      <c r="D343" t="s">
        <v>1134</v>
      </c>
      <c r="E343" t="s">
        <v>1145</v>
      </c>
      <c r="F343" t="s">
        <v>1149</v>
      </c>
      <c r="G343" t="s">
        <v>1153</v>
      </c>
      <c r="H343">
        <v>1</v>
      </c>
      <c r="I343">
        <v>28605</v>
      </c>
      <c r="J343" s="6">
        <v>0</v>
      </c>
      <c r="K343">
        <v>28605</v>
      </c>
      <c r="L343">
        <v>28605</v>
      </c>
      <c r="M343">
        <v>2000</v>
      </c>
      <c r="N343" t="s">
        <v>1160</v>
      </c>
      <c r="O343" t="s">
        <v>1164</v>
      </c>
      <c r="P343" s="10">
        <v>45733</v>
      </c>
      <c r="Q343" t="str">
        <f t="shared" si="15"/>
        <v>excellent</v>
      </c>
      <c r="R343">
        <f t="shared" si="16"/>
        <v>3</v>
      </c>
      <c r="S343" s="6">
        <f t="shared" si="17"/>
        <v>2</v>
      </c>
    </row>
    <row r="344" spans="1:19" x14ac:dyDescent="0.3">
      <c r="A344" s="10">
        <v>45758</v>
      </c>
      <c r="B344" t="s">
        <v>360</v>
      </c>
      <c r="C344" t="s">
        <v>1130</v>
      </c>
      <c r="D344" t="s">
        <v>1136</v>
      </c>
      <c r="E344" t="s">
        <v>1147</v>
      </c>
      <c r="F344" t="s">
        <v>1150</v>
      </c>
      <c r="G344" t="s">
        <v>1156</v>
      </c>
      <c r="H344">
        <v>3</v>
      </c>
      <c r="I344">
        <v>55650</v>
      </c>
      <c r="J344" s="6">
        <v>15</v>
      </c>
      <c r="K344">
        <v>47302.5</v>
      </c>
      <c r="L344">
        <v>141907.5</v>
      </c>
      <c r="M344">
        <v>1500</v>
      </c>
      <c r="N344" t="s">
        <v>1160</v>
      </c>
      <c r="O344" t="s">
        <v>1164</v>
      </c>
      <c r="P344" s="10">
        <v>45768</v>
      </c>
      <c r="Q344" t="str">
        <f t="shared" si="15"/>
        <v>excellent</v>
      </c>
      <c r="R344">
        <f t="shared" si="16"/>
        <v>3</v>
      </c>
      <c r="S344" s="6">
        <f t="shared" si="17"/>
        <v>10</v>
      </c>
    </row>
    <row r="345" spans="1:19" x14ac:dyDescent="0.3">
      <c r="A345" s="10">
        <v>45793</v>
      </c>
      <c r="B345" t="s">
        <v>361</v>
      </c>
      <c r="C345" t="s">
        <v>1129</v>
      </c>
      <c r="D345" t="s">
        <v>1133</v>
      </c>
      <c r="E345" t="s">
        <v>1144</v>
      </c>
      <c r="F345" t="s">
        <v>1151</v>
      </c>
      <c r="G345" t="s">
        <v>1157</v>
      </c>
      <c r="H345">
        <v>5</v>
      </c>
      <c r="I345">
        <v>30646</v>
      </c>
      <c r="J345" s="6">
        <v>20</v>
      </c>
      <c r="K345">
        <v>24516.799999999999</v>
      </c>
      <c r="L345">
        <v>122584</v>
      </c>
      <c r="M345">
        <v>1500</v>
      </c>
      <c r="N345" t="s">
        <v>1159</v>
      </c>
      <c r="O345" t="s">
        <v>1163</v>
      </c>
      <c r="Q345" t="str">
        <f t="shared" si="15"/>
        <v>no comment</v>
      </c>
      <c r="R345">
        <f t="shared" si="16"/>
        <v>1</v>
      </c>
      <c r="S345" s="6">
        <f t="shared" si="17"/>
        <v>0</v>
      </c>
    </row>
    <row r="346" spans="1:19" x14ac:dyDescent="0.3">
      <c r="A346" s="10">
        <v>45829</v>
      </c>
      <c r="B346" t="s">
        <v>362</v>
      </c>
      <c r="C346" t="s">
        <v>1121</v>
      </c>
      <c r="D346" t="s">
        <v>1136</v>
      </c>
      <c r="E346" t="s">
        <v>1137</v>
      </c>
      <c r="F346" t="s">
        <v>1149</v>
      </c>
      <c r="G346" t="s">
        <v>1152</v>
      </c>
      <c r="H346">
        <v>1</v>
      </c>
      <c r="I346">
        <v>37948</v>
      </c>
      <c r="J346" s="6">
        <v>0</v>
      </c>
      <c r="K346">
        <v>37948</v>
      </c>
      <c r="L346">
        <v>37948</v>
      </c>
      <c r="M346">
        <v>2000</v>
      </c>
      <c r="N346" t="s">
        <v>1160</v>
      </c>
      <c r="O346" t="s">
        <v>1163</v>
      </c>
      <c r="Q346" t="str">
        <f t="shared" si="15"/>
        <v>no comment</v>
      </c>
      <c r="R346">
        <f t="shared" si="16"/>
        <v>1</v>
      </c>
      <c r="S346" s="6">
        <f t="shared" si="17"/>
        <v>0</v>
      </c>
    </row>
    <row r="347" spans="1:19" x14ac:dyDescent="0.3">
      <c r="A347" s="10">
        <v>45801</v>
      </c>
      <c r="B347" t="s">
        <v>363</v>
      </c>
      <c r="C347" t="s">
        <v>1130</v>
      </c>
      <c r="D347" t="s">
        <v>1136</v>
      </c>
      <c r="E347" t="s">
        <v>1143</v>
      </c>
      <c r="F347" t="s">
        <v>1151</v>
      </c>
      <c r="G347" t="s">
        <v>1157</v>
      </c>
      <c r="H347">
        <v>4</v>
      </c>
      <c r="I347">
        <v>41257</v>
      </c>
      <c r="J347" s="6">
        <v>15</v>
      </c>
      <c r="K347">
        <v>35068.449999999997</v>
      </c>
      <c r="L347">
        <v>140273.79999999999</v>
      </c>
      <c r="M347">
        <v>1500</v>
      </c>
      <c r="N347" t="s">
        <v>1160</v>
      </c>
      <c r="O347" t="s">
        <v>1163</v>
      </c>
      <c r="Q347" t="str">
        <f t="shared" si="15"/>
        <v>no comment</v>
      </c>
      <c r="R347">
        <f t="shared" si="16"/>
        <v>1</v>
      </c>
      <c r="S347" s="6">
        <f t="shared" si="17"/>
        <v>0</v>
      </c>
    </row>
    <row r="348" spans="1:19" x14ac:dyDescent="0.3">
      <c r="A348" s="10">
        <v>45688</v>
      </c>
      <c r="B348" t="s">
        <v>364</v>
      </c>
      <c r="C348" t="s">
        <v>1124</v>
      </c>
      <c r="D348" t="s">
        <v>1135</v>
      </c>
      <c r="E348" t="s">
        <v>1144</v>
      </c>
      <c r="F348" t="s">
        <v>1151</v>
      </c>
      <c r="G348" t="s">
        <v>1157</v>
      </c>
      <c r="H348">
        <v>4</v>
      </c>
      <c r="I348">
        <v>56866</v>
      </c>
      <c r="J348" s="6">
        <v>20</v>
      </c>
      <c r="K348">
        <v>45492.800000000003</v>
      </c>
      <c r="L348">
        <v>181971.20000000001</v>
      </c>
      <c r="M348">
        <v>1000</v>
      </c>
      <c r="N348" t="s">
        <v>1161</v>
      </c>
      <c r="O348" t="s">
        <v>1162</v>
      </c>
      <c r="Q348" t="str">
        <f t="shared" si="15"/>
        <v>okay</v>
      </c>
      <c r="R348">
        <f t="shared" si="16"/>
        <v>2</v>
      </c>
      <c r="S348" s="6">
        <f t="shared" si="17"/>
        <v>0</v>
      </c>
    </row>
    <row r="349" spans="1:19" x14ac:dyDescent="0.3">
      <c r="A349" s="10">
        <v>45829</v>
      </c>
      <c r="B349" t="s">
        <v>365</v>
      </c>
      <c r="C349" t="s">
        <v>1120</v>
      </c>
      <c r="D349" t="s">
        <v>1135</v>
      </c>
      <c r="E349" t="s">
        <v>1144</v>
      </c>
      <c r="F349" t="s">
        <v>1151</v>
      </c>
      <c r="G349" t="s">
        <v>1157</v>
      </c>
      <c r="H349">
        <v>5</v>
      </c>
      <c r="I349">
        <v>21336</v>
      </c>
      <c r="J349" s="6">
        <v>20</v>
      </c>
      <c r="K349">
        <v>17068.8</v>
      </c>
      <c r="L349">
        <v>85344</v>
      </c>
      <c r="M349">
        <v>1000</v>
      </c>
      <c r="N349" t="s">
        <v>1159</v>
      </c>
      <c r="O349" t="s">
        <v>1164</v>
      </c>
      <c r="P349" s="10">
        <v>45841</v>
      </c>
      <c r="Q349" t="str">
        <f t="shared" si="15"/>
        <v>excellent</v>
      </c>
      <c r="R349">
        <f t="shared" si="16"/>
        <v>3</v>
      </c>
      <c r="S349" s="6">
        <f t="shared" si="17"/>
        <v>12</v>
      </c>
    </row>
    <row r="350" spans="1:19" x14ac:dyDescent="0.3">
      <c r="A350" s="10">
        <v>45830</v>
      </c>
      <c r="B350" t="s">
        <v>366</v>
      </c>
      <c r="C350" t="s">
        <v>1125</v>
      </c>
      <c r="D350" t="s">
        <v>1133</v>
      </c>
      <c r="E350" t="s">
        <v>1142</v>
      </c>
      <c r="F350" t="s">
        <v>1150</v>
      </c>
      <c r="G350" t="s">
        <v>1156</v>
      </c>
      <c r="H350">
        <v>1</v>
      </c>
      <c r="I350">
        <v>12572</v>
      </c>
      <c r="J350" s="6">
        <v>15</v>
      </c>
      <c r="K350">
        <v>10686.2</v>
      </c>
      <c r="L350">
        <v>10686.2</v>
      </c>
      <c r="M350">
        <v>1000</v>
      </c>
      <c r="N350" t="s">
        <v>1159</v>
      </c>
      <c r="O350" t="s">
        <v>1163</v>
      </c>
      <c r="Q350" t="str">
        <f t="shared" si="15"/>
        <v>no comment</v>
      </c>
      <c r="R350">
        <f t="shared" si="16"/>
        <v>1</v>
      </c>
      <c r="S350" s="6">
        <f t="shared" si="17"/>
        <v>0</v>
      </c>
    </row>
    <row r="351" spans="1:19" x14ac:dyDescent="0.3">
      <c r="A351" s="10">
        <v>45826</v>
      </c>
      <c r="B351" t="s">
        <v>367</v>
      </c>
      <c r="C351" t="s">
        <v>1119</v>
      </c>
      <c r="D351" t="s">
        <v>1134</v>
      </c>
      <c r="E351" t="s">
        <v>1144</v>
      </c>
      <c r="F351" t="s">
        <v>1151</v>
      </c>
      <c r="G351" t="s">
        <v>1157</v>
      </c>
      <c r="H351">
        <v>4</v>
      </c>
      <c r="I351">
        <v>7265</v>
      </c>
      <c r="J351" s="6">
        <v>5</v>
      </c>
      <c r="K351">
        <v>6901.75</v>
      </c>
      <c r="L351">
        <v>27607</v>
      </c>
      <c r="M351">
        <v>1500</v>
      </c>
      <c r="N351" t="s">
        <v>1159</v>
      </c>
      <c r="O351" t="s">
        <v>1163</v>
      </c>
      <c r="Q351" t="str">
        <f t="shared" si="15"/>
        <v>no comment</v>
      </c>
      <c r="R351">
        <f t="shared" si="16"/>
        <v>1</v>
      </c>
      <c r="S351" s="6">
        <f t="shared" si="17"/>
        <v>0</v>
      </c>
    </row>
    <row r="352" spans="1:19" x14ac:dyDescent="0.3">
      <c r="A352" s="10">
        <v>45688</v>
      </c>
      <c r="B352" t="s">
        <v>368</v>
      </c>
      <c r="C352" t="s">
        <v>1121</v>
      </c>
      <c r="D352" t="s">
        <v>1136</v>
      </c>
      <c r="E352" t="s">
        <v>1139</v>
      </c>
      <c r="F352" t="s">
        <v>1150</v>
      </c>
      <c r="G352" t="s">
        <v>1154</v>
      </c>
      <c r="H352">
        <v>2</v>
      </c>
      <c r="I352">
        <v>8796</v>
      </c>
      <c r="J352" s="6">
        <v>15</v>
      </c>
      <c r="K352">
        <v>7476.6</v>
      </c>
      <c r="L352">
        <v>14953.2</v>
      </c>
      <c r="M352">
        <v>2000</v>
      </c>
      <c r="N352" t="s">
        <v>1159</v>
      </c>
      <c r="O352" t="s">
        <v>1162</v>
      </c>
      <c r="Q352" t="str">
        <f t="shared" si="15"/>
        <v>okay</v>
      </c>
      <c r="R352">
        <f t="shared" si="16"/>
        <v>2</v>
      </c>
      <c r="S352" s="6">
        <f t="shared" si="17"/>
        <v>0</v>
      </c>
    </row>
    <row r="353" spans="1:19" x14ac:dyDescent="0.3">
      <c r="A353" s="10">
        <v>45801</v>
      </c>
      <c r="B353" t="s">
        <v>369</v>
      </c>
      <c r="C353" t="s">
        <v>1128</v>
      </c>
      <c r="D353" t="s">
        <v>1135</v>
      </c>
      <c r="E353" t="s">
        <v>1141</v>
      </c>
      <c r="F353" t="s">
        <v>1151</v>
      </c>
      <c r="G353" t="s">
        <v>1155</v>
      </c>
      <c r="H353">
        <v>4</v>
      </c>
      <c r="I353">
        <v>22060</v>
      </c>
      <c r="J353" s="6">
        <v>10</v>
      </c>
      <c r="K353">
        <v>19854</v>
      </c>
      <c r="L353">
        <v>79416</v>
      </c>
      <c r="M353">
        <v>1000</v>
      </c>
      <c r="N353" t="s">
        <v>1161</v>
      </c>
      <c r="O353" t="s">
        <v>1163</v>
      </c>
      <c r="Q353" t="str">
        <f t="shared" si="15"/>
        <v>no comment</v>
      </c>
      <c r="R353">
        <f t="shared" si="16"/>
        <v>1</v>
      </c>
      <c r="S353" s="6">
        <f t="shared" si="17"/>
        <v>0</v>
      </c>
    </row>
    <row r="354" spans="1:19" x14ac:dyDescent="0.3">
      <c r="A354" s="10">
        <v>45752</v>
      </c>
      <c r="B354" t="s">
        <v>370</v>
      </c>
      <c r="C354" t="s">
        <v>1128</v>
      </c>
      <c r="D354" t="s">
        <v>1135</v>
      </c>
      <c r="E354" t="s">
        <v>1148</v>
      </c>
      <c r="F354" t="s">
        <v>1149</v>
      </c>
      <c r="G354" t="s">
        <v>1152</v>
      </c>
      <c r="H354">
        <v>2</v>
      </c>
      <c r="I354">
        <v>23932</v>
      </c>
      <c r="J354" s="6">
        <v>5</v>
      </c>
      <c r="K354">
        <v>22735.4</v>
      </c>
      <c r="L354">
        <v>45470.8</v>
      </c>
      <c r="M354">
        <v>1000</v>
      </c>
      <c r="N354" t="s">
        <v>1161</v>
      </c>
      <c r="O354" t="s">
        <v>1162</v>
      </c>
      <c r="Q354" t="str">
        <f t="shared" si="15"/>
        <v>okay</v>
      </c>
      <c r="R354">
        <f t="shared" si="16"/>
        <v>2</v>
      </c>
      <c r="S354" s="6">
        <f t="shared" si="17"/>
        <v>0</v>
      </c>
    </row>
    <row r="355" spans="1:19" x14ac:dyDescent="0.3">
      <c r="A355" s="10">
        <v>45681</v>
      </c>
      <c r="B355" t="s">
        <v>371</v>
      </c>
      <c r="C355" t="s">
        <v>1129</v>
      </c>
      <c r="D355" t="s">
        <v>1133</v>
      </c>
      <c r="E355" t="s">
        <v>1146</v>
      </c>
      <c r="F355" t="s">
        <v>1151</v>
      </c>
      <c r="G355" t="s">
        <v>1155</v>
      </c>
      <c r="H355">
        <v>4</v>
      </c>
      <c r="I355">
        <v>76718</v>
      </c>
      <c r="J355" s="6">
        <v>10</v>
      </c>
      <c r="K355">
        <v>69046.2</v>
      </c>
      <c r="L355">
        <v>276184.8</v>
      </c>
      <c r="M355">
        <v>2000</v>
      </c>
      <c r="N355" t="s">
        <v>1161</v>
      </c>
      <c r="O355" t="s">
        <v>1164</v>
      </c>
      <c r="P355" s="10">
        <v>45695</v>
      </c>
      <c r="Q355" t="str">
        <f t="shared" si="15"/>
        <v>excellent</v>
      </c>
      <c r="R355">
        <f t="shared" si="16"/>
        <v>3</v>
      </c>
      <c r="S355" s="6">
        <f t="shared" si="17"/>
        <v>14</v>
      </c>
    </row>
    <row r="356" spans="1:19" x14ac:dyDescent="0.3">
      <c r="A356" s="10">
        <v>45820</v>
      </c>
      <c r="B356" t="s">
        <v>372</v>
      </c>
      <c r="C356" t="s">
        <v>1124</v>
      </c>
      <c r="D356" t="s">
        <v>1135</v>
      </c>
      <c r="E356" t="s">
        <v>1142</v>
      </c>
      <c r="F356" t="s">
        <v>1150</v>
      </c>
      <c r="G356" t="s">
        <v>1156</v>
      </c>
      <c r="H356">
        <v>4</v>
      </c>
      <c r="I356">
        <v>13291</v>
      </c>
      <c r="J356" s="6">
        <v>5</v>
      </c>
      <c r="K356">
        <v>12626.45</v>
      </c>
      <c r="L356">
        <v>50505.8</v>
      </c>
      <c r="M356">
        <v>2000</v>
      </c>
      <c r="N356" t="s">
        <v>1159</v>
      </c>
      <c r="O356" t="s">
        <v>1164</v>
      </c>
      <c r="P356" s="10">
        <v>45831</v>
      </c>
      <c r="Q356" t="str">
        <f t="shared" si="15"/>
        <v>excellent</v>
      </c>
      <c r="R356">
        <f t="shared" si="16"/>
        <v>3</v>
      </c>
      <c r="S356" s="6">
        <f t="shared" si="17"/>
        <v>11</v>
      </c>
    </row>
    <row r="357" spans="1:19" x14ac:dyDescent="0.3">
      <c r="A357" s="10">
        <v>45656</v>
      </c>
      <c r="B357" t="s">
        <v>373</v>
      </c>
      <c r="C357" t="s">
        <v>1127</v>
      </c>
      <c r="D357" t="s">
        <v>1134</v>
      </c>
      <c r="E357" t="s">
        <v>1145</v>
      </c>
      <c r="F357" t="s">
        <v>1149</v>
      </c>
      <c r="G357" t="s">
        <v>1153</v>
      </c>
      <c r="H357">
        <v>2</v>
      </c>
      <c r="I357">
        <v>68483</v>
      </c>
      <c r="J357" s="6">
        <v>5</v>
      </c>
      <c r="K357">
        <v>65058.85</v>
      </c>
      <c r="L357">
        <v>130117.7</v>
      </c>
      <c r="M357">
        <v>2000</v>
      </c>
      <c r="N357" t="s">
        <v>1161</v>
      </c>
      <c r="O357" t="s">
        <v>1162</v>
      </c>
      <c r="Q357" t="str">
        <f t="shared" si="15"/>
        <v>okay</v>
      </c>
      <c r="R357">
        <f t="shared" si="16"/>
        <v>2</v>
      </c>
      <c r="S357" s="6">
        <f t="shared" si="17"/>
        <v>0</v>
      </c>
    </row>
    <row r="358" spans="1:19" x14ac:dyDescent="0.3">
      <c r="A358" s="10">
        <v>45756</v>
      </c>
      <c r="B358" t="s">
        <v>374</v>
      </c>
      <c r="C358" t="s">
        <v>1127</v>
      </c>
      <c r="D358" t="s">
        <v>1134</v>
      </c>
      <c r="E358" t="s">
        <v>1138</v>
      </c>
      <c r="F358" t="s">
        <v>1149</v>
      </c>
      <c r="G358" t="s">
        <v>1153</v>
      </c>
      <c r="H358">
        <v>4</v>
      </c>
      <c r="I358">
        <v>57392</v>
      </c>
      <c r="J358" s="6">
        <v>10</v>
      </c>
      <c r="K358">
        <v>51652.800000000003</v>
      </c>
      <c r="L358">
        <v>206611.20000000001</v>
      </c>
      <c r="M358">
        <v>1000</v>
      </c>
      <c r="N358" t="s">
        <v>1160</v>
      </c>
      <c r="O358" t="s">
        <v>1162</v>
      </c>
      <c r="Q358" t="str">
        <f t="shared" si="15"/>
        <v>okay</v>
      </c>
      <c r="R358">
        <f t="shared" si="16"/>
        <v>2</v>
      </c>
      <c r="S358" s="6">
        <f t="shared" si="17"/>
        <v>0</v>
      </c>
    </row>
    <row r="359" spans="1:19" x14ac:dyDescent="0.3">
      <c r="A359" s="10">
        <v>45813</v>
      </c>
      <c r="B359" t="s">
        <v>375</v>
      </c>
      <c r="C359" t="s">
        <v>1132</v>
      </c>
      <c r="D359" t="s">
        <v>1134</v>
      </c>
      <c r="E359" t="s">
        <v>1137</v>
      </c>
      <c r="F359" t="s">
        <v>1149</v>
      </c>
      <c r="G359" t="s">
        <v>1152</v>
      </c>
      <c r="H359">
        <v>4</v>
      </c>
      <c r="I359">
        <v>50085</v>
      </c>
      <c r="J359" s="6">
        <v>15</v>
      </c>
      <c r="K359">
        <v>42572.25</v>
      </c>
      <c r="L359">
        <v>170289</v>
      </c>
      <c r="M359">
        <v>1000</v>
      </c>
      <c r="N359" t="s">
        <v>1160</v>
      </c>
      <c r="O359" t="s">
        <v>1162</v>
      </c>
      <c r="Q359" t="str">
        <f t="shared" si="15"/>
        <v>okay</v>
      </c>
      <c r="R359">
        <f t="shared" si="16"/>
        <v>2</v>
      </c>
      <c r="S359" s="6">
        <f t="shared" si="17"/>
        <v>0</v>
      </c>
    </row>
    <row r="360" spans="1:19" x14ac:dyDescent="0.3">
      <c r="A360" s="10">
        <v>45806</v>
      </c>
      <c r="B360" t="s">
        <v>376</v>
      </c>
      <c r="C360" t="s">
        <v>1124</v>
      </c>
      <c r="D360" t="s">
        <v>1135</v>
      </c>
      <c r="E360" t="s">
        <v>1148</v>
      </c>
      <c r="F360" t="s">
        <v>1149</v>
      </c>
      <c r="G360" t="s">
        <v>1152</v>
      </c>
      <c r="H360">
        <v>3</v>
      </c>
      <c r="I360">
        <v>53521</v>
      </c>
      <c r="J360" s="6">
        <v>0</v>
      </c>
      <c r="K360">
        <v>53521</v>
      </c>
      <c r="L360">
        <v>160563</v>
      </c>
      <c r="M360">
        <v>1000</v>
      </c>
      <c r="N360" t="s">
        <v>1161</v>
      </c>
      <c r="O360" t="s">
        <v>1164</v>
      </c>
      <c r="P360" s="10">
        <v>45820</v>
      </c>
      <c r="Q360" t="str">
        <f t="shared" si="15"/>
        <v>excellent</v>
      </c>
      <c r="R360">
        <f t="shared" si="16"/>
        <v>3</v>
      </c>
      <c r="S360" s="6">
        <f t="shared" si="17"/>
        <v>14</v>
      </c>
    </row>
    <row r="361" spans="1:19" x14ac:dyDescent="0.3">
      <c r="A361" s="10">
        <v>45663</v>
      </c>
      <c r="B361" t="s">
        <v>377</v>
      </c>
      <c r="C361" t="s">
        <v>1122</v>
      </c>
      <c r="D361" t="s">
        <v>1136</v>
      </c>
      <c r="E361" t="s">
        <v>1138</v>
      </c>
      <c r="F361" t="s">
        <v>1149</v>
      </c>
      <c r="G361" t="s">
        <v>1153</v>
      </c>
      <c r="H361">
        <v>2</v>
      </c>
      <c r="I361">
        <v>76741</v>
      </c>
      <c r="J361" s="6">
        <v>0</v>
      </c>
      <c r="K361">
        <v>76741</v>
      </c>
      <c r="L361">
        <v>153482</v>
      </c>
      <c r="M361">
        <v>1500</v>
      </c>
      <c r="N361" t="s">
        <v>1160</v>
      </c>
      <c r="O361" t="s">
        <v>1163</v>
      </c>
      <c r="Q361" t="str">
        <f t="shared" si="15"/>
        <v>no comment</v>
      </c>
      <c r="R361">
        <f t="shared" si="16"/>
        <v>1</v>
      </c>
      <c r="S361" s="6">
        <f t="shared" si="17"/>
        <v>0</v>
      </c>
    </row>
    <row r="362" spans="1:19" x14ac:dyDescent="0.3">
      <c r="A362" s="10">
        <v>45697</v>
      </c>
      <c r="B362" t="s">
        <v>378</v>
      </c>
      <c r="C362" t="s">
        <v>1123</v>
      </c>
      <c r="D362" t="s">
        <v>1135</v>
      </c>
      <c r="E362" t="s">
        <v>1144</v>
      </c>
      <c r="F362" t="s">
        <v>1151</v>
      </c>
      <c r="G362" t="s">
        <v>1157</v>
      </c>
      <c r="H362">
        <v>5</v>
      </c>
      <c r="I362">
        <v>30291</v>
      </c>
      <c r="J362" s="6">
        <v>0</v>
      </c>
      <c r="K362">
        <v>30291</v>
      </c>
      <c r="L362">
        <v>151455</v>
      </c>
      <c r="M362">
        <v>1500</v>
      </c>
      <c r="N362" t="s">
        <v>1160</v>
      </c>
      <c r="O362" t="s">
        <v>1164</v>
      </c>
      <c r="P362" s="10">
        <v>45705</v>
      </c>
      <c r="Q362" t="str">
        <f t="shared" si="15"/>
        <v>excellent</v>
      </c>
      <c r="R362">
        <f t="shared" si="16"/>
        <v>3</v>
      </c>
      <c r="S362" s="6">
        <f t="shared" si="17"/>
        <v>8</v>
      </c>
    </row>
    <row r="363" spans="1:19" x14ac:dyDescent="0.3">
      <c r="A363" s="10">
        <v>45770</v>
      </c>
      <c r="B363" t="s">
        <v>379</v>
      </c>
      <c r="C363" t="s">
        <v>1124</v>
      </c>
      <c r="D363" t="s">
        <v>1135</v>
      </c>
      <c r="E363" t="s">
        <v>1148</v>
      </c>
      <c r="F363" t="s">
        <v>1149</v>
      </c>
      <c r="G363" t="s">
        <v>1152</v>
      </c>
      <c r="H363">
        <v>3</v>
      </c>
      <c r="I363">
        <v>65879</v>
      </c>
      <c r="J363" s="6">
        <v>20</v>
      </c>
      <c r="K363">
        <v>52703.199999999997</v>
      </c>
      <c r="L363">
        <v>158109.6</v>
      </c>
      <c r="M363">
        <v>1000</v>
      </c>
      <c r="N363" t="s">
        <v>1159</v>
      </c>
      <c r="O363" t="s">
        <v>1163</v>
      </c>
      <c r="Q363" t="str">
        <f t="shared" si="15"/>
        <v>no comment</v>
      </c>
      <c r="R363">
        <f t="shared" si="16"/>
        <v>1</v>
      </c>
      <c r="S363" s="6">
        <f t="shared" si="17"/>
        <v>0</v>
      </c>
    </row>
    <row r="364" spans="1:19" x14ac:dyDescent="0.3">
      <c r="A364" s="10">
        <v>45806</v>
      </c>
      <c r="B364" t="s">
        <v>380</v>
      </c>
      <c r="C364" t="s">
        <v>1125</v>
      </c>
      <c r="D364" t="s">
        <v>1133</v>
      </c>
      <c r="E364" t="s">
        <v>1146</v>
      </c>
      <c r="F364" t="s">
        <v>1151</v>
      </c>
      <c r="G364" t="s">
        <v>1155</v>
      </c>
      <c r="H364">
        <v>3</v>
      </c>
      <c r="I364">
        <v>39199</v>
      </c>
      <c r="J364" s="6">
        <v>15</v>
      </c>
      <c r="K364">
        <v>33319.15</v>
      </c>
      <c r="L364">
        <v>99957.450000000012</v>
      </c>
      <c r="M364">
        <v>1500</v>
      </c>
      <c r="N364" t="s">
        <v>1160</v>
      </c>
      <c r="O364" t="s">
        <v>1163</v>
      </c>
      <c r="Q364" t="str">
        <f t="shared" si="15"/>
        <v>no comment</v>
      </c>
      <c r="R364">
        <f t="shared" si="16"/>
        <v>1</v>
      </c>
      <c r="S364" s="6">
        <f t="shared" si="17"/>
        <v>0</v>
      </c>
    </row>
    <row r="365" spans="1:19" x14ac:dyDescent="0.3">
      <c r="A365" s="10">
        <v>45799</v>
      </c>
      <c r="B365" t="s">
        <v>381</v>
      </c>
      <c r="C365" t="s">
        <v>1132</v>
      </c>
      <c r="D365" t="s">
        <v>1134</v>
      </c>
      <c r="E365" t="s">
        <v>1141</v>
      </c>
      <c r="F365" t="s">
        <v>1151</v>
      </c>
      <c r="G365" t="s">
        <v>1155</v>
      </c>
      <c r="H365">
        <v>4</v>
      </c>
      <c r="I365">
        <v>26784</v>
      </c>
      <c r="J365" s="6">
        <v>20</v>
      </c>
      <c r="K365">
        <v>21427.200000000001</v>
      </c>
      <c r="L365">
        <v>85708.800000000003</v>
      </c>
      <c r="M365">
        <v>1500</v>
      </c>
      <c r="N365" t="s">
        <v>1160</v>
      </c>
      <c r="O365" t="s">
        <v>1163</v>
      </c>
      <c r="Q365" t="str">
        <f t="shared" si="15"/>
        <v>no comment</v>
      </c>
      <c r="R365">
        <f t="shared" si="16"/>
        <v>1</v>
      </c>
      <c r="S365" s="6">
        <f t="shared" si="17"/>
        <v>0</v>
      </c>
    </row>
    <row r="366" spans="1:19" x14ac:dyDescent="0.3">
      <c r="A366" s="10">
        <v>45689</v>
      </c>
      <c r="B366" t="s">
        <v>382</v>
      </c>
      <c r="C366" t="s">
        <v>1124</v>
      </c>
      <c r="D366" t="s">
        <v>1135</v>
      </c>
      <c r="E366" t="s">
        <v>1138</v>
      </c>
      <c r="F366" t="s">
        <v>1149</v>
      </c>
      <c r="G366" t="s">
        <v>1153</v>
      </c>
      <c r="H366">
        <v>5</v>
      </c>
      <c r="I366">
        <v>2509</v>
      </c>
      <c r="J366" s="6">
        <v>5</v>
      </c>
      <c r="K366">
        <v>2383.5500000000002</v>
      </c>
      <c r="L366">
        <v>11917.75</v>
      </c>
      <c r="M366">
        <v>2000</v>
      </c>
      <c r="N366" t="s">
        <v>1161</v>
      </c>
      <c r="O366" t="s">
        <v>1163</v>
      </c>
      <c r="Q366" t="str">
        <f t="shared" si="15"/>
        <v>no comment</v>
      </c>
      <c r="R366">
        <f t="shared" si="16"/>
        <v>1</v>
      </c>
      <c r="S366" s="6">
        <f t="shared" si="17"/>
        <v>0</v>
      </c>
    </row>
    <row r="367" spans="1:19" x14ac:dyDescent="0.3">
      <c r="A367" s="10">
        <v>45691</v>
      </c>
      <c r="B367" t="s">
        <v>383</v>
      </c>
      <c r="C367" t="s">
        <v>1120</v>
      </c>
      <c r="D367" t="s">
        <v>1135</v>
      </c>
      <c r="E367" t="s">
        <v>1147</v>
      </c>
      <c r="F367" t="s">
        <v>1150</v>
      </c>
      <c r="G367" t="s">
        <v>1156</v>
      </c>
      <c r="H367">
        <v>4</v>
      </c>
      <c r="I367">
        <v>62027</v>
      </c>
      <c r="J367" s="6">
        <v>0</v>
      </c>
      <c r="K367">
        <v>62027</v>
      </c>
      <c r="L367">
        <v>248108</v>
      </c>
      <c r="M367">
        <v>1500</v>
      </c>
      <c r="N367" t="s">
        <v>1161</v>
      </c>
      <c r="O367" t="s">
        <v>1162</v>
      </c>
      <c r="Q367" t="str">
        <f t="shared" si="15"/>
        <v>okay</v>
      </c>
      <c r="R367">
        <f t="shared" si="16"/>
        <v>2</v>
      </c>
      <c r="S367" s="6">
        <f t="shared" si="17"/>
        <v>0</v>
      </c>
    </row>
    <row r="368" spans="1:19" x14ac:dyDescent="0.3">
      <c r="A368" s="10">
        <v>45723</v>
      </c>
      <c r="B368" t="s">
        <v>384</v>
      </c>
      <c r="C368" t="s">
        <v>1132</v>
      </c>
      <c r="D368" t="s">
        <v>1134</v>
      </c>
      <c r="E368" t="s">
        <v>1139</v>
      </c>
      <c r="F368" t="s">
        <v>1150</v>
      </c>
      <c r="G368" t="s">
        <v>1154</v>
      </c>
      <c r="H368">
        <v>2</v>
      </c>
      <c r="I368">
        <v>54700</v>
      </c>
      <c r="J368" s="6">
        <v>0</v>
      </c>
      <c r="K368">
        <v>54700</v>
      </c>
      <c r="L368">
        <v>109400</v>
      </c>
      <c r="M368">
        <v>1500</v>
      </c>
      <c r="N368" t="s">
        <v>1161</v>
      </c>
      <c r="O368" t="s">
        <v>1163</v>
      </c>
      <c r="Q368" t="str">
        <f t="shared" si="15"/>
        <v>no comment</v>
      </c>
      <c r="R368">
        <f t="shared" si="16"/>
        <v>1</v>
      </c>
      <c r="S368" s="6">
        <f t="shared" si="17"/>
        <v>0</v>
      </c>
    </row>
    <row r="369" spans="1:19" x14ac:dyDescent="0.3">
      <c r="A369" s="10">
        <v>45677</v>
      </c>
      <c r="B369" t="s">
        <v>385</v>
      </c>
      <c r="C369" t="s">
        <v>1124</v>
      </c>
      <c r="D369" t="s">
        <v>1135</v>
      </c>
      <c r="E369" t="s">
        <v>1147</v>
      </c>
      <c r="F369" t="s">
        <v>1150</v>
      </c>
      <c r="G369" t="s">
        <v>1156</v>
      </c>
      <c r="H369">
        <v>2</v>
      </c>
      <c r="I369">
        <v>35759</v>
      </c>
      <c r="J369" s="6">
        <v>5</v>
      </c>
      <c r="K369">
        <v>33971.050000000003</v>
      </c>
      <c r="L369">
        <v>67942.100000000006</v>
      </c>
      <c r="M369">
        <v>1000</v>
      </c>
      <c r="N369" t="s">
        <v>1161</v>
      </c>
      <c r="O369" t="s">
        <v>1162</v>
      </c>
      <c r="Q369" t="str">
        <f t="shared" si="15"/>
        <v>okay</v>
      </c>
      <c r="R369">
        <f t="shared" si="16"/>
        <v>2</v>
      </c>
      <c r="S369" s="6">
        <f t="shared" si="17"/>
        <v>0</v>
      </c>
    </row>
    <row r="370" spans="1:19" x14ac:dyDescent="0.3">
      <c r="A370" s="10">
        <v>45766</v>
      </c>
      <c r="B370" t="s">
        <v>386</v>
      </c>
      <c r="C370" t="s">
        <v>1121</v>
      </c>
      <c r="D370" t="s">
        <v>1136</v>
      </c>
      <c r="E370" t="s">
        <v>1138</v>
      </c>
      <c r="F370" t="s">
        <v>1149</v>
      </c>
      <c r="G370" t="s">
        <v>1153</v>
      </c>
      <c r="H370">
        <v>5</v>
      </c>
      <c r="I370">
        <v>6463</v>
      </c>
      <c r="J370" s="6">
        <v>10</v>
      </c>
      <c r="K370">
        <v>5816.7</v>
      </c>
      <c r="L370">
        <v>29083.5</v>
      </c>
      <c r="M370">
        <v>1000</v>
      </c>
      <c r="N370" t="s">
        <v>1160</v>
      </c>
      <c r="O370" t="s">
        <v>1163</v>
      </c>
      <c r="Q370" t="str">
        <f t="shared" si="15"/>
        <v>no comment</v>
      </c>
      <c r="R370">
        <f t="shared" si="16"/>
        <v>1</v>
      </c>
      <c r="S370" s="6">
        <f t="shared" si="17"/>
        <v>0</v>
      </c>
    </row>
    <row r="371" spans="1:19" x14ac:dyDescent="0.3">
      <c r="A371" s="10">
        <v>45747</v>
      </c>
      <c r="B371" t="s">
        <v>387</v>
      </c>
      <c r="C371" t="s">
        <v>1119</v>
      </c>
      <c r="D371" t="s">
        <v>1134</v>
      </c>
      <c r="E371" t="s">
        <v>1145</v>
      </c>
      <c r="F371" t="s">
        <v>1149</v>
      </c>
      <c r="G371" t="s">
        <v>1153</v>
      </c>
      <c r="H371">
        <v>5</v>
      </c>
      <c r="I371">
        <v>11857</v>
      </c>
      <c r="J371" s="6">
        <v>10</v>
      </c>
      <c r="K371">
        <v>10671.3</v>
      </c>
      <c r="L371">
        <v>53356.5</v>
      </c>
      <c r="M371">
        <v>1500</v>
      </c>
      <c r="N371" t="s">
        <v>1160</v>
      </c>
      <c r="O371" t="s">
        <v>1162</v>
      </c>
      <c r="Q371" t="str">
        <f t="shared" si="15"/>
        <v>okay</v>
      </c>
      <c r="R371">
        <f t="shared" si="16"/>
        <v>2</v>
      </c>
      <c r="S371" s="6">
        <f t="shared" si="17"/>
        <v>0</v>
      </c>
    </row>
    <row r="372" spans="1:19" x14ac:dyDescent="0.3">
      <c r="A372" s="10">
        <v>45765</v>
      </c>
      <c r="B372" t="s">
        <v>388</v>
      </c>
      <c r="C372" t="s">
        <v>1130</v>
      </c>
      <c r="D372" t="s">
        <v>1136</v>
      </c>
      <c r="E372" t="s">
        <v>1138</v>
      </c>
      <c r="F372" t="s">
        <v>1149</v>
      </c>
      <c r="G372" t="s">
        <v>1153</v>
      </c>
      <c r="H372">
        <v>1</v>
      </c>
      <c r="I372">
        <v>17894</v>
      </c>
      <c r="J372" s="6">
        <v>20</v>
      </c>
      <c r="K372">
        <v>14315.2</v>
      </c>
      <c r="L372">
        <v>14315.2</v>
      </c>
      <c r="M372">
        <v>1000</v>
      </c>
      <c r="N372" t="s">
        <v>1160</v>
      </c>
      <c r="O372" t="s">
        <v>1162</v>
      </c>
      <c r="Q372" t="str">
        <f t="shared" si="15"/>
        <v>okay</v>
      </c>
      <c r="R372">
        <f t="shared" si="16"/>
        <v>2</v>
      </c>
      <c r="S372" s="6">
        <f t="shared" si="17"/>
        <v>0</v>
      </c>
    </row>
    <row r="373" spans="1:19" x14ac:dyDescent="0.3">
      <c r="A373" s="10">
        <v>45826</v>
      </c>
      <c r="B373" t="s">
        <v>389</v>
      </c>
      <c r="C373" t="s">
        <v>1123</v>
      </c>
      <c r="D373" t="s">
        <v>1135</v>
      </c>
      <c r="E373" t="s">
        <v>1148</v>
      </c>
      <c r="F373" t="s">
        <v>1149</v>
      </c>
      <c r="G373" t="s">
        <v>1152</v>
      </c>
      <c r="H373">
        <v>4</v>
      </c>
      <c r="I373">
        <v>57179</v>
      </c>
      <c r="J373" s="6">
        <v>15</v>
      </c>
      <c r="K373">
        <v>48602.15</v>
      </c>
      <c r="L373">
        <v>194408.6</v>
      </c>
      <c r="M373">
        <v>1500</v>
      </c>
      <c r="N373" t="s">
        <v>1161</v>
      </c>
      <c r="O373" t="s">
        <v>1164</v>
      </c>
      <c r="P373" s="10">
        <v>45834</v>
      </c>
      <c r="Q373" t="str">
        <f t="shared" si="15"/>
        <v>excellent</v>
      </c>
      <c r="R373">
        <f t="shared" si="16"/>
        <v>3</v>
      </c>
      <c r="S373" s="6">
        <f t="shared" si="17"/>
        <v>8</v>
      </c>
    </row>
    <row r="374" spans="1:19" x14ac:dyDescent="0.3">
      <c r="A374" s="10">
        <v>45748</v>
      </c>
      <c r="B374" t="s">
        <v>390</v>
      </c>
      <c r="C374" t="s">
        <v>1119</v>
      </c>
      <c r="D374" t="s">
        <v>1134</v>
      </c>
      <c r="E374" t="s">
        <v>1145</v>
      </c>
      <c r="F374" t="s">
        <v>1149</v>
      </c>
      <c r="G374" t="s">
        <v>1153</v>
      </c>
      <c r="H374">
        <v>1</v>
      </c>
      <c r="I374">
        <v>12657</v>
      </c>
      <c r="J374" s="6">
        <v>20</v>
      </c>
      <c r="K374">
        <v>10125.6</v>
      </c>
      <c r="L374">
        <v>10125.6</v>
      </c>
      <c r="M374">
        <v>2000</v>
      </c>
      <c r="N374" t="s">
        <v>1160</v>
      </c>
      <c r="O374" t="s">
        <v>1162</v>
      </c>
      <c r="Q374" t="str">
        <f t="shared" si="15"/>
        <v>okay</v>
      </c>
      <c r="R374">
        <f t="shared" si="16"/>
        <v>2</v>
      </c>
      <c r="S374" s="6">
        <f t="shared" si="17"/>
        <v>0</v>
      </c>
    </row>
    <row r="375" spans="1:19" x14ac:dyDescent="0.3">
      <c r="A375" s="10">
        <v>45798</v>
      </c>
      <c r="B375" t="s">
        <v>391</v>
      </c>
      <c r="C375" t="s">
        <v>1128</v>
      </c>
      <c r="D375" t="s">
        <v>1135</v>
      </c>
      <c r="E375" t="s">
        <v>1141</v>
      </c>
      <c r="F375" t="s">
        <v>1151</v>
      </c>
      <c r="G375" t="s">
        <v>1155</v>
      </c>
      <c r="H375">
        <v>3</v>
      </c>
      <c r="I375">
        <v>13363</v>
      </c>
      <c r="J375" s="6">
        <v>0</v>
      </c>
      <c r="K375">
        <v>13363</v>
      </c>
      <c r="L375">
        <v>40089</v>
      </c>
      <c r="M375">
        <v>2000</v>
      </c>
      <c r="N375" t="s">
        <v>1160</v>
      </c>
      <c r="O375" t="s">
        <v>1164</v>
      </c>
      <c r="P375" s="10">
        <v>45811</v>
      </c>
      <c r="Q375" t="str">
        <f t="shared" si="15"/>
        <v>excellent</v>
      </c>
      <c r="R375">
        <f t="shared" si="16"/>
        <v>3</v>
      </c>
      <c r="S375" s="6">
        <f t="shared" si="17"/>
        <v>13</v>
      </c>
    </row>
    <row r="376" spans="1:19" x14ac:dyDescent="0.3">
      <c r="A376" s="10">
        <v>45763</v>
      </c>
      <c r="B376" t="s">
        <v>392</v>
      </c>
      <c r="C376" t="s">
        <v>1117</v>
      </c>
      <c r="D376" t="s">
        <v>1133</v>
      </c>
      <c r="E376" t="s">
        <v>1148</v>
      </c>
      <c r="F376" t="s">
        <v>1149</v>
      </c>
      <c r="G376" t="s">
        <v>1152</v>
      </c>
      <c r="H376">
        <v>2</v>
      </c>
      <c r="I376">
        <v>14042</v>
      </c>
      <c r="J376" s="6">
        <v>10</v>
      </c>
      <c r="K376">
        <v>11233.6</v>
      </c>
      <c r="L376">
        <v>22467.200000000001</v>
      </c>
      <c r="M376">
        <v>1000</v>
      </c>
      <c r="N376" t="s">
        <v>1161</v>
      </c>
      <c r="O376" t="s">
        <v>1164</v>
      </c>
      <c r="P376" s="10">
        <v>45771</v>
      </c>
      <c r="Q376" t="str">
        <f t="shared" si="15"/>
        <v>excellent</v>
      </c>
      <c r="R376">
        <f t="shared" si="16"/>
        <v>3</v>
      </c>
      <c r="S376" s="6">
        <f t="shared" si="17"/>
        <v>8</v>
      </c>
    </row>
    <row r="377" spans="1:19" x14ac:dyDescent="0.3">
      <c r="A377" s="10">
        <v>45706</v>
      </c>
      <c r="B377" t="s">
        <v>393</v>
      </c>
      <c r="C377" t="s">
        <v>1131</v>
      </c>
      <c r="D377" t="s">
        <v>1136</v>
      </c>
      <c r="E377" t="s">
        <v>1148</v>
      </c>
      <c r="F377" t="s">
        <v>1149</v>
      </c>
      <c r="G377" t="s">
        <v>1152</v>
      </c>
      <c r="H377">
        <v>2</v>
      </c>
      <c r="I377">
        <v>63696</v>
      </c>
      <c r="J377" s="6">
        <v>10</v>
      </c>
      <c r="K377">
        <v>57326.400000000001</v>
      </c>
      <c r="L377">
        <v>114652.8</v>
      </c>
      <c r="M377">
        <v>1500</v>
      </c>
      <c r="N377" t="s">
        <v>1161</v>
      </c>
      <c r="O377" t="s">
        <v>1163</v>
      </c>
      <c r="Q377" t="str">
        <f t="shared" si="15"/>
        <v>no comment</v>
      </c>
      <c r="R377">
        <f t="shared" si="16"/>
        <v>1</v>
      </c>
      <c r="S377" s="6">
        <f t="shared" si="17"/>
        <v>0</v>
      </c>
    </row>
    <row r="378" spans="1:19" x14ac:dyDescent="0.3">
      <c r="A378" s="10">
        <v>45661</v>
      </c>
      <c r="B378" t="s">
        <v>394</v>
      </c>
      <c r="C378" t="s">
        <v>1122</v>
      </c>
      <c r="D378" t="s">
        <v>1136</v>
      </c>
      <c r="E378" t="s">
        <v>1144</v>
      </c>
      <c r="F378" t="s">
        <v>1151</v>
      </c>
      <c r="G378" t="s">
        <v>1157</v>
      </c>
      <c r="H378">
        <v>4</v>
      </c>
      <c r="I378">
        <v>64084</v>
      </c>
      <c r="J378" s="6">
        <v>0</v>
      </c>
      <c r="K378">
        <v>64084</v>
      </c>
      <c r="L378">
        <v>256336</v>
      </c>
      <c r="M378">
        <v>2000</v>
      </c>
      <c r="N378" t="s">
        <v>1160</v>
      </c>
      <c r="O378" t="s">
        <v>1164</v>
      </c>
      <c r="P378" s="10">
        <v>45665</v>
      </c>
      <c r="Q378" t="str">
        <f t="shared" si="15"/>
        <v>excellent</v>
      </c>
      <c r="R378">
        <f t="shared" si="16"/>
        <v>3</v>
      </c>
      <c r="S378" s="6">
        <f t="shared" si="17"/>
        <v>4</v>
      </c>
    </row>
    <row r="379" spans="1:19" x14ac:dyDescent="0.3">
      <c r="A379" s="10">
        <v>45716</v>
      </c>
      <c r="B379" t="s">
        <v>395</v>
      </c>
      <c r="C379" t="s">
        <v>1126</v>
      </c>
      <c r="D379" t="s">
        <v>1133</v>
      </c>
      <c r="E379" t="s">
        <v>1142</v>
      </c>
      <c r="F379" t="s">
        <v>1150</v>
      </c>
      <c r="G379" t="s">
        <v>1156</v>
      </c>
      <c r="H379">
        <v>5</v>
      </c>
      <c r="I379">
        <v>7962</v>
      </c>
      <c r="J379" s="6">
        <v>15</v>
      </c>
      <c r="K379">
        <v>6767.7</v>
      </c>
      <c r="L379">
        <v>33838.5</v>
      </c>
      <c r="M379">
        <v>1000</v>
      </c>
      <c r="N379" t="s">
        <v>1159</v>
      </c>
      <c r="O379" t="s">
        <v>1163</v>
      </c>
      <c r="Q379" t="str">
        <f t="shared" si="15"/>
        <v>no comment</v>
      </c>
      <c r="R379">
        <f t="shared" si="16"/>
        <v>1</v>
      </c>
      <c r="S379" s="6">
        <f t="shared" si="17"/>
        <v>0</v>
      </c>
    </row>
    <row r="380" spans="1:19" x14ac:dyDescent="0.3">
      <c r="A380" s="10">
        <v>45703</v>
      </c>
      <c r="B380" t="s">
        <v>396</v>
      </c>
      <c r="C380" t="s">
        <v>1127</v>
      </c>
      <c r="D380" t="s">
        <v>1134</v>
      </c>
      <c r="E380" t="s">
        <v>1146</v>
      </c>
      <c r="F380" t="s">
        <v>1151</v>
      </c>
      <c r="G380" t="s">
        <v>1155</v>
      </c>
      <c r="H380">
        <v>5</v>
      </c>
      <c r="I380">
        <v>66028</v>
      </c>
      <c r="J380" s="6">
        <v>0</v>
      </c>
      <c r="K380">
        <v>66028</v>
      </c>
      <c r="L380">
        <v>330140</v>
      </c>
      <c r="M380">
        <v>1000</v>
      </c>
      <c r="N380" t="s">
        <v>1161</v>
      </c>
      <c r="O380" t="s">
        <v>1164</v>
      </c>
      <c r="P380" s="10">
        <v>45715</v>
      </c>
      <c r="Q380" t="str">
        <f t="shared" si="15"/>
        <v>excellent</v>
      </c>
      <c r="R380">
        <f t="shared" si="16"/>
        <v>3</v>
      </c>
      <c r="S380" s="6">
        <f t="shared" si="17"/>
        <v>12</v>
      </c>
    </row>
    <row r="381" spans="1:19" x14ac:dyDescent="0.3">
      <c r="A381" s="10">
        <v>45696</v>
      </c>
      <c r="B381" t="s">
        <v>397</v>
      </c>
      <c r="C381" t="s">
        <v>1129</v>
      </c>
      <c r="D381" t="s">
        <v>1133</v>
      </c>
      <c r="E381" t="s">
        <v>1137</v>
      </c>
      <c r="F381" t="s">
        <v>1149</v>
      </c>
      <c r="G381" t="s">
        <v>1152</v>
      </c>
      <c r="H381">
        <v>4</v>
      </c>
      <c r="I381">
        <v>13043</v>
      </c>
      <c r="J381" s="6">
        <v>10</v>
      </c>
      <c r="K381">
        <v>11738.7</v>
      </c>
      <c r="L381">
        <v>46954.8</v>
      </c>
      <c r="M381">
        <v>1000</v>
      </c>
      <c r="N381" t="s">
        <v>1160</v>
      </c>
      <c r="O381" t="s">
        <v>1163</v>
      </c>
      <c r="Q381" t="str">
        <f t="shared" si="15"/>
        <v>no comment</v>
      </c>
      <c r="R381">
        <f t="shared" si="16"/>
        <v>1</v>
      </c>
      <c r="S381" s="6">
        <f t="shared" si="17"/>
        <v>0</v>
      </c>
    </row>
    <row r="382" spans="1:19" x14ac:dyDescent="0.3">
      <c r="A382" s="10">
        <v>45670</v>
      </c>
      <c r="B382" t="s">
        <v>398</v>
      </c>
      <c r="C382" t="s">
        <v>1124</v>
      </c>
      <c r="D382" t="s">
        <v>1135</v>
      </c>
      <c r="E382" t="s">
        <v>1145</v>
      </c>
      <c r="F382" t="s">
        <v>1149</v>
      </c>
      <c r="G382" t="s">
        <v>1153</v>
      </c>
      <c r="H382">
        <v>3</v>
      </c>
      <c r="I382">
        <v>21875</v>
      </c>
      <c r="J382" s="6">
        <v>15</v>
      </c>
      <c r="K382">
        <v>18593.75</v>
      </c>
      <c r="L382">
        <v>55781.25</v>
      </c>
      <c r="M382">
        <v>1500</v>
      </c>
      <c r="N382" t="s">
        <v>1160</v>
      </c>
      <c r="O382" t="s">
        <v>1164</v>
      </c>
      <c r="P382" s="10">
        <v>45675</v>
      </c>
      <c r="Q382" t="str">
        <f t="shared" si="15"/>
        <v>excellent</v>
      </c>
      <c r="R382">
        <f t="shared" si="16"/>
        <v>3</v>
      </c>
      <c r="S382" s="6">
        <f t="shared" si="17"/>
        <v>5</v>
      </c>
    </row>
    <row r="383" spans="1:19" x14ac:dyDescent="0.3">
      <c r="A383" s="10">
        <v>45665</v>
      </c>
      <c r="B383" t="s">
        <v>399</v>
      </c>
      <c r="C383" t="s">
        <v>1123</v>
      </c>
      <c r="D383" t="s">
        <v>1135</v>
      </c>
      <c r="E383" t="s">
        <v>1144</v>
      </c>
      <c r="F383" t="s">
        <v>1151</v>
      </c>
      <c r="G383" t="s">
        <v>1157</v>
      </c>
      <c r="H383">
        <v>5</v>
      </c>
      <c r="I383">
        <v>53337</v>
      </c>
      <c r="J383" s="6">
        <v>10</v>
      </c>
      <c r="K383">
        <v>48003.3</v>
      </c>
      <c r="L383">
        <v>240016.5</v>
      </c>
      <c r="M383">
        <v>2000</v>
      </c>
      <c r="N383" t="s">
        <v>1160</v>
      </c>
      <c r="O383" t="s">
        <v>1164</v>
      </c>
      <c r="P383" s="10">
        <v>45674</v>
      </c>
      <c r="Q383" t="str">
        <f t="shared" si="15"/>
        <v>excellent</v>
      </c>
      <c r="R383">
        <f t="shared" si="16"/>
        <v>3</v>
      </c>
      <c r="S383" s="6">
        <f t="shared" si="17"/>
        <v>9</v>
      </c>
    </row>
    <row r="384" spans="1:19" x14ac:dyDescent="0.3">
      <c r="A384" s="10">
        <v>45692</v>
      </c>
      <c r="B384" t="s">
        <v>400</v>
      </c>
      <c r="C384" t="s">
        <v>1132</v>
      </c>
      <c r="D384" t="s">
        <v>1134</v>
      </c>
      <c r="E384" t="s">
        <v>1139</v>
      </c>
      <c r="F384" t="s">
        <v>1150</v>
      </c>
      <c r="G384" t="s">
        <v>1154</v>
      </c>
      <c r="H384">
        <v>2</v>
      </c>
      <c r="I384">
        <v>58247</v>
      </c>
      <c r="J384" s="6">
        <v>5</v>
      </c>
      <c r="K384">
        <v>55334.65</v>
      </c>
      <c r="L384">
        <v>110669.3</v>
      </c>
      <c r="M384">
        <v>2000</v>
      </c>
      <c r="N384" t="s">
        <v>1161</v>
      </c>
      <c r="O384" t="s">
        <v>1164</v>
      </c>
      <c r="P384" s="10">
        <v>45702</v>
      </c>
      <c r="Q384" t="str">
        <f t="shared" si="15"/>
        <v>excellent</v>
      </c>
      <c r="R384">
        <f t="shared" si="16"/>
        <v>3</v>
      </c>
      <c r="S384" s="6">
        <f t="shared" si="17"/>
        <v>10</v>
      </c>
    </row>
    <row r="385" spans="1:19" x14ac:dyDescent="0.3">
      <c r="A385" s="10">
        <v>45750</v>
      </c>
      <c r="B385" t="s">
        <v>401</v>
      </c>
      <c r="C385" t="s">
        <v>1117</v>
      </c>
      <c r="D385" t="s">
        <v>1133</v>
      </c>
      <c r="E385" t="s">
        <v>1147</v>
      </c>
      <c r="F385" t="s">
        <v>1150</v>
      </c>
      <c r="G385" t="s">
        <v>1156</v>
      </c>
      <c r="H385">
        <v>3</v>
      </c>
      <c r="I385">
        <v>27787</v>
      </c>
      <c r="J385" s="6">
        <v>10</v>
      </c>
      <c r="K385">
        <v>25008.3</v>
      </c>
      <c r="L385">
        <v>75024.899999999994</v>
      </c>
      <c r="M385">
        <v>1500</v>
      </c>
      <c r="N385" t="s">
        <v>1160</v>
      </c>
      <c r="O385" t="s">
        <v>1162</v>
      </c>
      <c r="Q385" t="str">
        <f t="shared" si="15"/>
        <v>okay</v>
      </c>
      <c r="R385">
        <f t="shared" si="16"/>
        <v>2</v>
      </c>
      <c r="S385" s="6">
        <f t="shared" si="17"/>
        <v>0</v>
      </c>
    </row>
    <row r="386" spans="1:19" x14ac:dyDescent="0.3">
      <c r="A386" s="10">
        <v>45769</v>
      </c>
      <c r="B386" t="s">
        <v>402</v>
      </c>
      <c r="C386" t="s">
        <v>1131</v>
      </c>
      <c r="D386" t="s">
        <v>1136</v>
      </c>
      <c r="E386" t="s">
        <v>1137</v>
      </c>
      <c r="F386" t="s">
        <v>1149</v>
      </c>
      <c r="G386" t="s">
        <v>1152</v>
      </c>
      <c r="H386">
        <v>4</v>
      </c>
      <c r="I386">
        <v>72733</v>
      </c>
      <c r="J386" s="6">
        <v>15</v>
      </c>
      <c r="K386">
        <v>61823.05</v>
      </c>
      <c r="L386">
        <v>247292.2</v>
      </c>
      <c r="M386">
        <v>2000</v>
      </c>
      <c r="N386" t="s">
        <v>1160</v>
      </c>
      <c r="O386" t="s">
        <v>1163</v>
      </c>
      <c r="Q386" t="str">
        <f t="shared" ref="Q386:Q449" si="18">IF(O386="delivered","excellent",IF(O386="in transit","okay",IF(O386="failed","no comment")))</f>
        <v>no comment</v>
      </c>
      <c r="R386">
        <f t="shared" si="16"/>
        <v>1</v>
      </c>
      <c r="S386" s="6">
        <f t="shared" si="17"/>
        <v>0</v>
      </c>
    </row>
    <row r="387" spans="1:19" x14ac:dyDescent="0.3">
      <c r="A387" s="10">
        <v>45836</v>
      </c>
      <c r="B387" t="s">
        <v>88</v>
      </c>
      <c r="C387" t="s">
        <v>1120</v>
      </c>
      <c r="D387" t="s">
        <v>1135</v>
      </c>
      <c r="E387" t="s">
        <v>1140</v>
      </c>
      <c r="F387" t="s">
        <v>1150</v>
      </c>
      <c r="G387" t="s">
        <v>1154</v>
      </c>
      <c r="H387">
        <v>5</v>
      </c>
      <c r="I387">
        <v>23231</v>
      </c>
      <c r="J387" s="6">
        <v>0</v>
      </c>
      <c r="K387">
        <v>23231</v>
      </c>
      <c r="L387">
        <v>116155</v>
      </c>
      <c r="M387">
        <v>2000</v>
      </c>
      <c r="N387" t="s">
        <v>1161</v>
      </c>
      <c r="O387" t="s">
        <v>1162</v>
      </c>
      <c r="Q387" t="str">
        <f t="shared" si="18"/>
        <v>okay</v>
      </c>
      <c r="R387">
        <f t="shared" ref="R387:R450" si="19">IF(Q387="excellent",3,IF(Q387="no comment",1,IF(Q387="okay",2)))</f>
        <v>2</v>
      </c>
      <c r="S387" s="6">
        <f t="shared" ref="S387:S450" si="20">(IFERROR(DATEDIF(A387,P387,"d"),0))</f>
        <v>0</v>
      </c>
    </row>
    <row r="388" spans="1:19" x14ac:dyDescent="0.3">
      <c r="A388" s="10">
        <v>45685</v>
      </c>
      <c r="B388" t="s">
        <v>403</v>
      </c>
      <c r="C388" t="s">
        <v>1132</v>
      </c>
      <c r="D388" t="s">
        <v>1134</v>
      </c>
      <c r="E388" t="s">
        <v>1145</v>
      </c>
      <c r="F388" t="s">
        <v>1149</v>
      </c>
      <c r="G388" t="s">
        <v>1153</v>
      </c>
      <c r="H388">
        <v>5</v>
      </c>
      <c r="I388">
        <v>7519</v>
      </c>
      <c r="J388" s="6">
        <v>20</v>
      </c>
      <c r="K388">
        <v>6015.2</v>
      </c>
      <c r="L388">
        <v>30076</v>
      </c>
      <c r="M388">
        <v>1000</v>
      </c>
      <c r="N388" t="s">
        <v>1159</v>
      </c>
      <c r="O388" t="s">
        <v>1164</v>
      </c>
      <c r="P388" s="10">
        <v>45695</v>
      </c>
      <c r="Q388" t="str">
        <f t="shared" si="18"/>
        <v>excellent</v>
      </c>
      <c r="R388">
        <f t="shared" si="19"/>
        <v>3</v>
      </c>
      <c r="S388" s="6">
        <f t="shared" si="20"/>
        <v>10</v>
      </c>
    </row>
    <row r="389" spans="1:19" x14ac:dyDescent="0.3">
      <c r="A389" s="10">
        <v>45837</v>
      </c>
      <c r="B389" t="s">
        <v>404</v>
      </c>
      <c r="C389" t="s">
        <v>1127</v>
      </c>
      <c r="D389" t="s">
        <v>1134</v>
      </c>
      <c r="E389" t="s">
        <v>1137</v>
      </c>
      <c r="F389" t="s">
        <v>1149</v>
      </c>
      <c r="G389" t="s">
        <v>1152</v>
      </c>
      <c r="H389">
        <v>2</v>
      </c>
      <c r="I389">
        <v>35596</v>
      </c>
      <c r="J389" s="6">
        <v>5</v>
      </c>
      <c r="K389">
        <v>33816.199999999997</v>
      </c>
      <c r="L389">
        <v>67632.399999999994</v>
      </c>
      <c r="M389">
        <v>2000</v>
      </c>
      <c r="N389" t="s">
        <v>1159</v>
      </c>
      <c r="O389" t="s">
        <v>1162</v>
      </c>
      <c r="Q389" t="str">
        <f t="shared" si="18"/>
        <v>okay</v>
      </c>
      <c r="R389">
        <f t="shared" si="19"/>
        <v>2</v>
      </c>
      <c r="S389" s="6">
        <f t="shared" si="20"/>
        <v>0</v>
      </c>
    </row>
    <row r="390" spans="1:19" x14ac:dyDescent="0.3">
      <c r="A390" s="10">
        <v>45799</v>
      </c>
      <c r="B390" t="s">
        <v>405</v>
      </c>
      <c r="C390" t="s">
        <v>1130</v>
      </c>
      <c r="D390" t="s">
        <v>1136</v>
      </c>
      <c r="E390" t="s">
        <v>1140</v>
      </c>
      <c r="F390" t="s">
        <v>1150</v>
      </c>
      <c r="G390" t="s">
        <v>1154</v>
      </c>
      <c r="H390">
        <v>5</v>
      </c>
      <c r="I390">
        <v>41146</v>
      </c>
      <c r="J390" s="6">
        <v>5</v>
      </c>
      <c r="K390">
        <v>39088.699999999997</v>
      </c>
      <c r="L390">
        <v>195443.5</v>
      </c>
      <c r="M390">
        <v>1500</v>
      </c>
      <c r="N390" t="s">
        <v>1161</v>
      </c>
      <c r="O390" t="s">
        <v>1163</v>
      </c>
      <c r="Q390" t="str">
        <f t="shared" si="18"/>
        <v>no comment</v>
      </c>
      <c r="R390">
        <f t="shared" si="19"/>
        <v>1</v>
      </c>
      <c r="S390" s="6">
        <f t="shared" si="20"/>
        <v>0</v>
      </c>
    </row>
    <row r="391" spans="1:19" x14ac:dyDescent="0.3">
      <c r="A391" s="10">
        <v>45734</v>
      </c>
      <c r="B391" t="s">
        <v>406</v>
      </c>
      <c r="C391" t="s">
        <v>1125</v>
      </c>
      <c r="D391" t="s">
        <v>1133</v>
      </c>
      <c r="E391" t="s">
        <v>1143</v>
      </c>
      <c r="F391" t="s">
        <v>1151</v>
      </c>
      <c r="G391" t="s">
        <v>1157</v>
      </c>
      <c r="H391">
        <v>2</v>
      </c>
      <c r="I391">
        <v>20171</v>
      </c>
      <c r="J391" s="6">
        <v>10</v>
      </c>
      <c r="K391">
        <v>18153.900000000001</v>
      </c>
      <c r="L391">
        <v>36307.800000000003</v>
      </c>
      <c r="M391">
        <v>1500</v>
      </c>
      <c r="N391" t="s">
        <v>1161</v>
      </c>
      <c r="O391" t="s">
        <v>1162</v>
      </c>
      <c r="Q391" t="str">
        <f t="shared" si="18"/>
        <v>okay</v>
      </c>
      <c r="R391">
        <f t="shared" si="19"/>
        <v>2</v>
      </c>
      <c r="S391" s="6">
        <f t="shared" si="20"/>
        <v>0</v>
      </c>
    </row>
    <row r="392" spans="1:19" x14ac:dyDescent="0.3">
      <c r="A392" s="10">
        <v>45680</v>
      </c>
      <c r="B392" t="s">
        <v>407</v>
      </c>
      <c r="C392" t="s">
        <v>1123</v>
      </c>
      <c r="D392" t="s">
        <v>1135</v>
      </c>
      <c r="E392" t="s">
        <v>1138</v>
      </c>
      <c r="F392" t="s">
        <v>1149</v>
      </c>
      <c r="G392" t="s">
        <v>1153</v>
      </c>
      <c r="H392">
        <v>5</v>
      </c>
      <c r="I392">
        <v>24385</v>
      </c>
      <c r="J392" s="6">
        <v>0</v>
      </c>
      <c r="K392">
        <v>24385</v>
      </c>
      <c r="L392">
        <v>121925</v>
      </c>
      <c r="M392">
        <v>2000</v>
      </c>
      <c r="N392" t="s">
        <v>1159</v>
      </c>
      <c r="O392" t="s">
        <v>1163</v>
      </c>
      <c r="Q392" t="str">
        <f t="shared" si="18"/>
        <v>no comment</v>
      </c>
      <c r="R392">
        <f t="shared" si="19"/>
        <v>1</v>
      </c>
      <c r="S392" s="6">
        <f t="shared" si="20"/>
        <v>0</v>
      </c>
    </row>
    <row r="393" spans="1:19" x14ac:dyDescent="0.3">
      <c r="A393" s="10">
        <v>45824</v>
      </c>
      <c r="B393" t="s">
        <v>408</v>
      </c>
      <c r="C393" t="s">
        <v>1131</v>
      </c>
      <c r="D393" t="s">
        <v>1136</v>
      </c>
      <c r="E393" t="s">
        <v>1146</v>
      </c>
      <c r="F393" t="s">
        <v>1151</v>
      </c>
      <c r="G393" t="s">
        <v>1155</v>
      </c>
      <c r="H393">
        <v>3</v>
      </c>
      <c r="I393">
        <v>17275</v>
      </c>
      <c r="J393" s="6">
        <v>5</v>
      </c>
      <c r="K393">
        <v>16411.25</v>
      </c>
      <c r="L393">
        <v>49233.75</v>
      </c>
      <c r="M393">
        <v>1500</v>
      </c>
      <c r="N393" t="s">
        <v>1159</v>
      </c>
      <c r="O393" t="s">
        <v>1164</v>
      </c>
      <c r="P393" s="10">
        <v>45830</v>
      </c>
      <c r="Q393" t="str">
        <f t="shared" si="18"/>
        <v>excellent</v>
      </c>
      <c r="R393">
        <f t="shared" si="19"/>
        <v>3</v>
      </c>
      <c r="S393" s="6">
        <f t="shared" si="20"/>
        <v>6</v>
      </c>
    </row>
    <row r="394" spans="1:19" x14ac:dyDescent="0.3">
      <c r="A394" s="10">
        <v>45689</v>
      </c>
      <c r="B394" t="s">
        <v>409</v>
      </c>
      <c r="C394" t="s">
        <v>1130</v>
      </c>
      <c r="D394" t="s">
        <v>1136</v>
      </c>
      <c r="E394" t="s">
        <v>1147</v>
      </c>
      <c r="F394" t="s">
        <v>1150</v>
      </c>
      <c r="G394" t="s">
        <v>1156</v>
      </c>
      <c r="H394">
        <v>1</v>
      </c>
      <c r="I394">
        <v>32511</v>
      </c>
      <c r="J394" s="6">
        <v>15</v>
      </c>
      <c r="K394">
        <v>27634.35</v>
      </c>
      <c r="L394">
        <v>27634.35</v>
      </c>
      <c r="M394">
        <v>2000</v>
      </c>
      <c r="N394" t="s">
        <v>1161</v>
      </c>
      <c r="O394" t="s">
        <v>1164</v>
      </c>
      <c r="P394" s="10">
        <v>45695</v>
      </c>
      <c r="Q394" t="str">
        <f t="shared" si="18"/>
        <v>excellent</v>
      </c>
      <c r="R394">
        <f t="shared" si="19"/>
        <v>3</v>
      </c>
      <c r="S394" s="6">
        <f t="shared" si="20"/>
        <v>6</v>
      </c>
    </row>
    <row r="395" spans="1:19" x14ac:dyDescent="0.3">
      <c r="A395" s="10">
        <v>45750</v>
      </c>
      <c r="B395" t="s">
        <v>410</v>
      </c>
      <c r="C395" t="s">
        <v>1120</v>
      </c>
      <c r="D395" t="s">
        <v>1135</v>
      </c>
      <c r="E395" t="s">
        <v>1144</v>
      </c>
      <c r="F395" t="s">
        <v>1151</v>
      </c>
      <c r="G395" t="s">
        <v>1157</v>
      </c>
      <c r="H395">
        <v>3</v>
      </c>
      <c r="I395">
        <v>33390</v>
      </c>
      <c r="J395" s="6">
        <v>10</v>
      </c>
      <c r="K395">
        <v>30051</v>
      </c>
      <c r="L395">
        <v>90153</v>
      </c>
      <c r="M395">
        <v>1000</v>
      </c>
      <c r="N395" t="s">
        <v>1159</v>
      </c>
      <c r="O395" t="s">
        <v>1163</v>
      </c>
      <c r="Q395" t="str">
        <f t="shared" si="18"/>
        <v>no comment</v>
      </c>
      <c r="R395">
        <f t="shared" si="19"/>
        <v>1</v>
      </c>
      <c r="S395" s="6">
        <f t="shared" si="20"/>
        <v>0</v>
      </c>
    </row>
    <row r="396" spans="1:19" x14ac:dyDescent="0.3">
      <c r="A396" s="10">
        <v>45745</v>
      </c>
      <c r="B396" t="s">
        <v>411</v>
      </c>
      <c r="C396" t="s">
        <v>1122</v>
      </c>
      <c r="D396" t="s">
        <v>1136</v>
      </c>
      <c r="E396" t="s">
        <v>1137</v>
      </c>
      <c r="F396" t="s">
        <v>1149</v>
      </c>
      <c r="G396" t="s">
        <v>1152</v>
      </c>
      <c r="H396">
        <v>4</v>
      </c>
      <c r="I396">
        <v>44332</v>
      </c>
      <c r="J396" s="6">
        <v>10</v>
      </c>
      <c r="K396">
        <v>39898.800000000003</v>
      </c>
      <c r="L396">
        <v>159595.20000000001</v>
      </c>
      <c r="M396">
        <v>1500</v>
      </c>
      <c r="N396" t="s">
        <v>1159</v>
      </c>
      <c r="O396" t="s">
        <v>1164</v>
      </c>
      <c r="P396" s="10">
        <v>45751</v>
      </c>
      <c r="Q396" t="str">
        <f t="shared" si="18"/>
        <v>excellent</v>
      </c>
      <c r="R396">
        <f t="shared" si="19"/>
        <v>3</v>
      </c>
      <c r="S396" s="6">
        <f t="shared" si="20"/>
        <v>6</v>
      </c>
    </row>
    <row r="397" spans="1:19" x14ac:dyDescent="0.3">
      <c r="A397" s="10">
        <v>45669</v>
      </c>
      <c r="B397" t="s">
        <v>412</v>
      </c>
      <c r="C397" t="s">
        <v>1125</v>
      </c>
      <c r="D397" t="s">
        <v>1133</v>
      </c>
      <c r="E397" t="s">
        <v>1147</v>
      </c>
      <c r="F397" t="s">
        <v>1150</v>
      </c>
      <c r="G397" t="s">
        <v>1156</v>
      </c>
      <c r="H397">
        <v>5</v>
      </c>
      <c r="I397">
        <v>22801</v>
      </c>
      <c r="J397" s="6">
        <v>0</v>
      </c>
      <c r="K397">
        <v>22801</v>
      </c>
      <c r="L397">
        <v>114005</v>
      </c>
      <c r="M397">
        <v>1000</v>
      </c>
      <c r="N397" t="s">
        <v>1161</v>
      </c>
      <c r="O397" t="s">
        <v>1164</v>
      </c>
      <c r="P397" s="10">
        <v>45683</v>
      </c>
      <c r="Q397" t="str">
        <f t="shared" si="18"/>
        <v>excellent</v>
      </c>
      <c r="R397">
        <f t="shared" si="19"/>
        <v>3</v>
      </c>
      <c r="S397" s="6">
        <f t="shared" si="20"/>
        <v>14</v>
      </c>
    </row>
    <row r="398" spans="1:19" x14ac:dyDescent="0.3">
      <c r="A398" s="10">
        <v>45807</v>
      </c>
      <c r="B398" t="s">
        <v>413</v>
      </c>
      <c r="C398" t="s">
        <v>1127</v>
      </c>
      <c r="D398" t="s">
        <v>1134</v>
      </c>
      <c r="E398" t="s">
        <v>1147</v>
      </c>
      <c r="F398" t="s">
        <v>1150</v>
      </c>
      <c r="G398" t="s">
        <v>1156</v>
      </c>
      <c r="H398">
        <v>2</v>
      </c>
      <c r="I398">
        <v>74416</v>
      </c>
      <c r="J398" s="6">
        <v>10</v>
      </c>
      <c r="K398">
        <v>66974.399999999994</v>
      </c>
      <c r="L398">
        <v>133948.79999999999</v>
      </c>
      <c r="M398">
        <v>2000</v>
      </c>
      <c r="N398" t="s">
        <v>1161</v>
      </c>
      <c r="O398" t="s">
        <v>1162</v>
      </c>
      <c r="Q398" t="str">
        <f t="shared" si="18"/>
        <v>okay</v>
      </c>
      <c r="R398">
        <f t="shared" si="19"/>
        <v>2</v>
      </c>
      <c r="S398" s="6">
        <f t="shared" si="20"/>
        <v>0</v>
      </c>
    </row>
    <row r="399" spans="1:19" x14ac:dyDescent="0.3">
      <c r="A399" s="10">
        <v>45819</v>
      </c>
      <c r="B399" t="s">
        <v>414</v>
      </c>
      <c r="C399" t="s">
        <v>1129</v>
      </c>
      <c r="D399" t="s">
        <v>1133</v>
      </c>
      <c r="E399" t="s">
        <v>1146</v>
      </c>
      <c r="F399" t="s">
        <v>1151</v>
      </c>
      <c r="G399" t="s">
        <v>1155</v>
      </c>
      <c r="H399">
        <v>2</v>
      </c>
      <c r="I399">
        <v>56635</v>
      </c>
      <c r="J399" s="6">
        <v>0</v>
      </c>
      <c r="K399">
        <v>56635</v>
      </c>
      <c r="L399">
        <v>113270</v>
      </c>
      <c r="M399">
        <v>2000</v>
      </c>
      <c r="N399" t="s">
        <v>1159</v>
      </c>
      <c r="O399" t="s">
        <v>1162</v>
      </c>
      <c r="Q399" t="str">
        <f t="shared" si="18"/>
        <v>okay</v>
      </c>
      <c r="R399">
        <f t="shared" si="19"/>
        <v>2</v>
      </c>
      <c r="S399" s="6">
        <f t="shared" si="20"/>
        <v>0</v>
      </c>
    </row>
    <row r="400" spans="1:19" x14ac:dyDescent="0.3">
      <c r="A400" s="10">
        <v>45732</v>
      </c>
      <c r="B400" t="s">
        <v>415</v>
      </c>
      <c r="C400" t="s">
        <v>1124</v>
      </c>
      <c r="D400" t="s">
        <v>1135</v>
      </c>
      <c r="E400" t="s">
        <v>1144</v>
      </c>
      <c r="F400" t="s">
        <v>1151</v>
      </c>
      <c r="G400" t="s">
        <v>1157</v>
      </c>
      <c r="H400">
        <v>4</v>
      </c>
      <c r="I400">
        <v>37063</v>
      </c>
      <c r="J400" s="6">
        <v>20</v>
      </c>
      <c r="K400">
        <v>29650.400000000001</v>
      </c>
      <c r="L400">
        <v>118601.60000000001</v>
      </c>
      <c r="M400">
        <v>2000</v>
      </c>
      <c r="N400" t="s">
        <v>1159</v>
      </c>
      <c r="O400" t="s">
        <v>1162</v>
      </c>
      <c r="Q400" t="str">
        <f t="shared" si="18"/>
        <v>okay</v>
      </c>
      <c r="R400">
        <f t="shared" si="19"/>
        <v>2</v>
      </c>
      <c r="S400" s="6">
        <f t="shared" si="20"/>
        <v>0</v>
      </c>
    </row>
    <row r="401" spans="1:19" x14ac:dyDescent="0.3">
      <c r="A401" s="10">
        <v>45780</v>
      </c>
      <c r="B401" t="s">
        <v>416</v>
      </c>
      <c r="C401" t="s">
        <v>1119</v>
      </c>
      <c r="D401" t="s">
        <v>1134</v>
      </c>
      <c r="E401" t="s">
        <v>1137</v>
      </c>
      <c r="F401" t="s">
        <v>1149</v>
      </c>
      <c r="G401" t="s">
        <v>1152</v>
      </c>
      <c r="H401">
        <v>5</v>
      </c>
      <c r="I401">
        <v>16026</v>
      </c>
      <c r="J401" s="6">
        <v>5</v>
      </c>
      <c r="K401">
        <v>15224.7</v>
      </c>
      <c r="L401">
        <v>76123.5</v>
      </c>
      <c r="M401">
        <v>1000</v>
      </c>
      <c r="N401" t="s">
        <v>1161</v>
      </c>
      <c r="O401" t="s">
        <v>1163</v>
      </c>
      <c r="Q401" t="str">
        <f t="shared" si="18"/>
        <v>no comment</v>
      </c>
      <c r="R401">
        <f t="shared" si="19"/>
        <v>1</v>
      </c>
      <c r="S401" s="6">
        <f t="shared" si="20"/>
        <v>0</v>
      </c>
    </row>
    <row r="402" spans="1:19" x14ac:dyDescent="0.3">
      <c r="A402" s="10">
        <v>45808</v>
      </c>
      <c r="B402" t="s">
        <v>417</v>
      </c>
      <c r="C402" t="s">
        <v>1124</v>
      </c>
      <c r="D402" t="s">
        <v>1135</v>
      </c>
      <c r="E402" t="s">
        <v>1142</v>
      </c>
      <c r="F402" t="s">
        <v>1150</v>
      </c>
      <c r="G402" t="s">
        <v>1156</v>
      </c>
      <c r="H402">
        <v>2</v>
      </c>
      <c r="I402">
        <v>34793</v>
      </c>
      <c r="J402" s="6">
        <v>0</v>
      </c>
      <c r="K402">
        <v>34793</v>
      </c>
      <c r="L402">
        <v>69586</v>
      </c>
      <c r="M402">
        <v>1500</v>
      </c>
      <c r="N402" t="s">
        <v>1161</v>
      </c>
      <c r="O402" t="s">
        <v>1162</v>
      </c>
      <c r="Q402" t="str">
        <f t="shared" si="18"/>
        <v>okay</v>
      </c>
      <c r="R402">
        <f t="shared" si="19"/>
        <v>2</v>
      </c>
      <c r="S402" s="6">
        <f t="shared" si="20"/>
        <v>0</v>
      </c>
    </row>
    <row r="403" spans="1:19" x14ac:dyDescent="0.3">
      <c r="A403" s="10">
        <v>45668</v>
      </c>
      <c r="B403" t="s">
        <v>418</v>
      </c>
      <c r="C403" t="s">
        <v>1122</v>
      </c>
      <c r="D403" t="s">
        <v>1136</v>
      </c>
      <c r="E403" t="s">
        <v>1145</v>
      </c>
      <c r="F403" t="s">
        <v>1149</v>
      </c>
      <c r="G403" t="s">
        <v>1153</v>
      </c>
      <c r="H403">
        <v>2</v>
      </c>
      <c r="I403">
        <v>49001</v>
      </c>
      <c r="J403" s="6">
        <v>10</v>
      </c>
      <c r="K403">
        <v>44100.9</v>
      </c>
      <c r="L403">
        <v>88201.8</v>
      </c>
      <c r="M403">
        <v>1500</v>
      </c>
      <c r="N403" t="s">
        <v>1159</v>
      </c>
      <c r="O403" t="s">
        <v>1164</v>
      </c>
      <c r="P403" s="10">
        <v>45674</v>
      </c>
      <c r="Q403" t="str">
        <f t="shared" si="18"/>
        <v>excellent</v>
      </c>
      <c r="R403">
        <f t="shared" si="19"/>
        <v>3</v>
      </c>
      <c r="S403" s="6">
        <f t="shared" si="20"/>
        <v>6</v>
      </c>
    </row>
    <row r="404" spans="1:19" x14ac:dyDescent="0.3">
      <c r="A404" s="10">
        <v>45679</v>
      </c>
      <c r="B404" t="s">
        <v>419</v>
      </c>
      <c r="C404" t="s">
        <v>1127</v>
      </c>
      <c r="D404" t="s">
        <v>1134</v>
      </c>
      <c r="E404" t="s">
        <v>1141</v>
      </c>
      <c r="F404" t="s">
        <v>1151</v>
      </c>
      <c r="G404" t="s">
        <v>1155</v>
      </c>
      <c r="H404">
        <v>3</v>
      </c>
      <c r="I404">
        <v>59516</v>
      </c>
      <c r="J404" s="6">
        <v>20</v>
      </c>
      <c r="K404">
        <v>47612.800000000003</v>
      </c>
      <c r="L404">
        <v>142838.39999999999</v>
      </c>
      <c r="M404">
        <v>2000</v>
      </c>
      <c r="N404" t="s">
        <v>1161</v>
      </c>
      <c r="O404" t="s">
        <v>1162</v>
      </c>
      <c r="Q404" t="str">
        <f t="shared" si="18"/>
        <v>okay</v>
      </c>
      <c r="R404">
        <f t="shared" si="19"/>
        <v>2</v>
      </c>
      <c r="S404" s="6">
        <f t="shared" si="20"/>
        <v>0</v>
      </c>
    </row>
    <row r="405" spans="1:19" x14ac:dyDescent="0.3">
      <c r="A405" s="10">
        <v>45720</v>
      </c>
      <c r="B405" t="s">
        <v>420</v>
      </c>
      <c r="C405" t="s">
        <v>1127</v>
      </c>
      <c r="D405" t="s">
        <v>1134</v>
      </c>
      <c r="E405" t="s">
        <v>1145</v>
      </c>
      <c r="F405" t="s">
        <v>1149</v>
      </c>
      <c r="G405" t="s">
        <v>1153</v>
      </c>
      <c r="H405">
        <v>3</v>
      </c>
      <c r="I405">
        <v>73779</v>
      </c>
      <c r="J405" s="6">
        <v>10</v>
      </c>
      <c r="K405">
        <v>66401.100000000006</v>
      </c>
      <c r="L405">
        <v>199203.3</v>
      </c>
      <c r="M405">
        <v>1500</v>
      </c>
      <c r="N405" t="s">
        <v>1159</v>
      </c>
      <c r="O405" t="s">
        <v>1162</v>
      </c>
      <c r="Q405" t="str">
        <f t="shared" si="18"/>
        <v>okay</v>
      </c>
      <c r="R405">
        <f t="shared" si="19"/>
        <v>2</v>
      </c>
      <c r="S405" s="6">
        <f t="shared" si="20"/>
        <v>0</v>
      </c>
    </row>
    <row r="406" spans="1:19" x14ac:dyDescent="0.3">
      <c r="A406" s="10">
        <v>45784</v>
      </c>
      <c r="B406" t="s">
        <v>421</v>
      </c>
      <c r="C406" t="s">
        <v>1122</v>
      </c>
      <c r="D406" t="s">
        <v>1136</v>
      </c>
      <c r="E406" t="s">
        <v>1144</v>
      </c>
      <c r="F406" t="s">
        <v>1151</v>
      </c>
      <c r="G406" t="s">
        <v>1157</v>
      </c>
      <c r="H406">
        <v>2</v>
      </c>
      <c r="I406">
        <v>44654</v>
      </c>
      <c r="J406" s="6">
        <v>20</v>
      </c>
      <c r="K406">
        <v>35723.199999999997</v>
      </c>
      <c r="L406">
        <v>71446.399999999994</v>
      </c>
      <c r="M406">
        <v>1000</v>
      </c>
      <c r="N406" t="s">
        <v>1159</v>
      </c>
      <c r="O406" t="s">
        <v>1163</v>
      </c>
      <c r="Q406" t="str">
        <f t="shared" si="18"/>
        <v>no comment</v>
      </c>
      <c r="R406">
        <f t="shared" si="19"/>
        <v>1</v>
      </c>
      <c r="S406" s="6">
        <f t="shared" si="20"/>
        <v>0</v>
      </c>
    </row>
    <row r="407" spans="1:19" x14ac:dyDescent="0.3">
      <c r="A407" s="10">
        <v>45793</v>
      </c>
      <c r="B407" t="s">
        <v>422</v>
      </c>
      <c r="C407" t="s">
        <v>1124</v>
      </c>
      <c r="D407" t="s">
        <v>1135</v>
      </c>
      <c r="E407" t="s">
        <v>1137</v>
      </c>
      <c r="F407" t="s">
        <v>1149</v>
      </c>
      <c r="G407" t="s">
        <v>1152</v>
      </c>
      <c r="H407">
        <v>4</v>
      </c>
      <c r="I407">
        <v>34979</v>
      </c>
      <c r="J407" s="6">
        <v>5</v>
      </c>
      <c r="K407">
        <v>33230.050000000003</v>
      </c>
      <c r="L407">
        <v>132920.20000000001</v>
      </c>
      <c r="M407">
        <v>2000</v>
      </c>
      <c r="N407" t="s">
        <v>1159</v>
      </c>
      <c r="O407" t="s">
        <v>1164</v>
      </c>
      <c r="P407" s="10">
        <v>45795</v>
      </c>
      <c r="Q407" t="str">
        <f t="shared" si="18"/>
        <v>excellent</v>
      </c>
      <c r="R407">
        <f t="shared" si="19"/>
        <v>3</v>
      </c>
      <c r="S407" s="6">
        <f t="shared" si="20"/>
        <v>2</v>
      </c>
    </row>
    <row r="408" spans="1:19" x14ac:dyDescent="0.3">
      <c r="A408" s="10">
        <v>45686</v>
      </c>
      <c r="B408" t="s">
        <v>423</v>
      </c>
      <c r="C408" t="s">
        <v>1130</v>
      </c>
      <c r="D408" t="s">
        <v>1136</v>
      </c>
      <c r="E408" t="s">
        <v>1148</v>
      </c>
      <c r="F408" t="s">
        <v>1149</v>
      </c>
      <c r="G408" t="s">
        <v>1152</v>
      </c>
      <c r="H408">
        <v>4</v>
      </c>
      <c r="I408">
        <v>24822</v>
      </c>
      <c r="J408" s="6">
        <v>5</v>
      </c>
      <c r="K408">
        <v>23580.9</v>
      </c>
      <c r="L408">
        <v>94323.6</v>
      </c>
      <c r="M408">
        <v>1000</v>
      </c>
      <c r="N408" t="s">
        <v>1161</v>
      </c>
      <c r="O408" t="s">
        <v>1162</v>
      </c>
      <c r="Q408" t="str">
        <f t="shared" si="18"/>
        <v>okay</v>
      </c>
      <c r="R408">
        <f t="shared" si="19"/>
        <v>2</v>
      </c>
      <c r="S408" s="6">
        <f t="shared" si="20"/>
        <v>0</v>
      </c>
    </row>
    <row r="409" spans="1:19" x14ac:dyDescent="0.3">
      <c r="A409" s="10">
        <v>45788</v>
      </c>
      <c r="B409" t="s">
        <v>424</v>
      </c>
      <c r="C409" t="s">
        <v>1127</v>
      </c>
      <c r="D409" t="s">
        <v>1134</v>
      </c>
      <c r="E409" t="s">
        <v>1141</v>
      </c>
      <c r="F409" t="s">
        <v>1151</v>
      </c>
      <c r="G409" t="s">
        <v>1155</v>
      </c>
      <c r="H409">
        <v>4</v>
      </c>
      <c r="I409">
        <v>73072</v>
      </c>
      <c r="J409" s="6">
        <v>10</v>
      </c>
      <c r="K409">
        <v>65764.800000000003</v>
      </c>
      <c r="L409">
        <v>263059.20000000001</v>
      </c>
      <c r="M409">
        <v>1500</v>
      </c>
      <c r="N409" t="s">
        <v>1160</v>
      </c>
      <c r="O409" t="s">
        <v>1164</v>
      </c>
      <c r="P409" s="10">
        <v>45798</v>
      </c>
      <c r="Q409" t="str">
        <f t="shared" si="18"/>
        <v>excellent</v>
      </c>
      <c r="R409">
        <f t="shared" si="19"/>
        <v>3</v>
      </c>
      <c r="S409" s="6">
        <f t="shared" si="20"/>
        <v>10</v>
      </c>
    </row>
    <row r="410" spans="1:19" x14ac:dyDescent="0.3">
      <c r="A410" s="10">
        <v>45702</v>
      </c>
      <c r="B410" t="s">
        <v>425</v>
      </c>
      <c r="C410" t="s">
        <v>1131</v>
      </c>
      <c r="D410" t="s">
        <v>1136</v>
      </c>
      <c r="E410" t="s">
        <v>1141</v>
      </c>
      <c r="F410" t="s">
        <v>1151</v>
      </c>
      <c r="G410" t="s">
        <v>1155</v>
      </c>
      <c r="H410">
        <v>1</v>
      </c>
      <c r="I410">
        <v>10714</v>
      </c>
      <c r="J410" s="6">
        <v>20</v>
      </c>
      <c r="K410">
        <v>8571.2000000000007</v>
      </c>
      <c r="L410">
        <v>8571.2000000000007</v>
      </c>
      <c r="M410">
        <v>1500</v>
      </c>
      <c r="N410" t="s">
        <v>1161</v>
      </c>
      <c r="O410" t="s">
        <v>1163</v>
      </c>
      <c r="Q410" t="str">
        <f t="shared" si="18"/>
        <v>no comment</v>
      </c>
      <c r="R410">
        <f t="shared" si="19"/>
        <v>1</v>
      </c>
      <c r="S410" s="6">
        <f t="shared" si="20"/>
        <v>0</v>
      </c>
    </row>
    <row r="411" spans="1:19" x14ac:dyDescent="0.3">
      <c r="A411" s="10">
        <v>45703</v>
      </c>
      <c r="B411" t="s">
        <v>426</v>
      </c>
      <c r="C411" t="s">
        <v>1129</v>
      </c>
      <c r="D411" t="s">
        <v>1133</v>
      </c>
      <c r="E411" t="s">
        <v>1148</v>
      </c>
      <c r="F411" t="s">
        <v>1149</v>
      </c>
      <c r="G411" t="s">
        <v>1152</v>
      </c>
      <c r="H411">
        <v>4</v>
      </c>
      <c r="I411">
        <v>26523</v>
      </c>
      <c r="J411" s="6">
        <v>15</v>
      </c>
      <c r="K411">
        <v>22544.55</v>
      </c>
      <c r="L411">
        <v>90178.2</v>
      </c>
      <c r="M411">
        <v>1000</v>
      </c>
      <c r="N411" t="s">
        <v>1161</v>
      </c>
      <c r="O411" t="s">
        <v>1164</v>
      </c>
      <c r="P411" s="10">
        <v>45708</v>
      </c>
      <c r="Q411" t="str">
        <f t="shared" si="18"/>
        <v>excellent</v>
      </c>
      <c r="R411">
        <f t="shared" si="19"/>
        <v>3</v>
      </c>
      <c r="S411" s="6">
        <f t="shared" si="20"/>
        <v>5</v>
      </c>
    </row>
    <row r="412" spans="1:19" x14ac:dyDescent="0.3">
      <c r="A412" s="10">
        <v>45729</v>
      </c>
      <c r="B412" t="s">
        <v>427</v>
      </c>
      <c r="C412" t="s">
        <v>1121</v>
      </c>
      <c r="D412" t="s">
        <v>1136</v>
      </c>
      <c r="E412" t="s">
        <v>1141</v>
      </c>
      <c r="F412" t="s">
        <v>1151</v>
      </c>
      <c r="G412" t="s">
        <v>1155</v>
      </c>
      <c r="H412">
        <v>5</v>
      </c>
      <c r="I412">
        <v>73733</v>
      </c>
      <c r="J412" s="6">
        <v>5</v>
      </c>
      <c r="K412">
        <v>70046.350000000006</v>
      </c>
      <c r="L412">
        <v>350231.75</v>
      </c>
      <c r="M412">
        <v>2000</v>
      </c>
      <c r="N412" t="s">
        <v>1160</v>
      </c>
      <c r="O412" t="s">
        <v>1164</v>
      </c>
      <c r="P412" s="10">
        <v>45738</v>
      </c>
      <c r="Q412" t="str">
        <f t="shared" si="18"/>
        <v>excellent</v>
      </c>
      <c r="R412">
        <f t="shared" si="19"/>
        <v>3</v>
      </c>
      <c r="S412" s="6">
        <f t="shared" si="20"/>
        <v>9</v>
      </c>
    </row>
    <row r="413" spans="1:19" x14ac:dyDescent="0.3">
      <c r="A413" s="10">
        <v>45770</v>
      </c>
      <c r="B413" t="s">
        <v>428</v>
      </c>
      <c r="C413" t="s">
        <v>1126</v>
      </c>
      <c r="D413" t="s">
        <v>1133</v>
      </c>
      <c r="E413" t="s">
        <v>1137</v>
      </c>
      <c r="F413" t="s">
        <v>1149</v>
      </c>
      <c r="G413" t="s">
        <v>1152</v>
      </c>
      <c r="H413">
        <v>2</v>
      </c>
      <c r="I413">
        <v>66551</v>
      </c>
      <c r="J413" s="6">
        <v>0</v>
      </c>
      <c r="K413">
        <v>66551</v>
      </c>
      <c r="L413">
        <v>133102</v>
      </c>
      <c r="M413">
        <v>1000</v>
      </c>
      <c r="N413" t="s">
        <v>1160</v>
      </c>
      <c r="O413" t="s">
        <v>1162</v>
      </c>
      <c r="Q413" t="str">
        <f t="shared" si="18"/>
        <v>okay</v>
      </c>
      <c r="R413">
        <f t="shared" si="19"/>
        <v>2</v>
      </c>
      <c r="S413" s="6">
        <f t="shared" si="20"/>
        <v>0</v>
      </c>
    </row>
    <row r="414" spans="1:19" x14ac:dyDescent="0.3">
      <c r="A414" s="10">
        <v>45747</v>
      </c>
      <c r="B414" t="s">
        <v>429</v>
      </c>
      <c r="C414" t="s">
        <v>1131</v>
      </c>
      <c r="D414" t="s">
        <v>1136</v>
      </c>
      <c r="E414" t="s">
        <v>1144</v>
      </c>
      <c r="F414" t="s">
        <v>1151</v>
      </c>
      <c r="G414" t="s">
        <v>1157</v>
      </c>
      <c r="H414">
        <v>2</v>
      </c>
      <c r="I414">
        <v>65552</v>
      </c>
      <c r="J414" s="6">
        <v>20</v>
      </c>
      <c r="K414">
        <v>52441.599999999999</v>
      </c>
      <c r="L414">
        <v>104883.2</v>
      </c>
      <c r="M414">
        <v>1500</v>
      </c>
      <c r="N414" t="s">
        <v>1159</v>
      </c>
      <c r="O414" t="s">
        <v>1164</v>
      </c>
      <c r="P414" s="10">
        <v>45750</v>
      </c>
      <c r="Q414" t="str">
        <f t="shared" si="18"/>
        <v>excellent</v>
      </c>
      <c r="R414">
        <f t="shared" si="19"/>
        <v>3</v>
      </c>
      <c r="S414" s="6">
        <f t="shared" si="20"/>
        <v>3</v>
      </c>
    </row>
    <row r="415" spans="1:19" x14ac:dyDescent="0.3">
      <c r="A415" s="10">
        <v>45834</v>
      </c>
      <c r="B415" t="s">
        <v>430</v>
      </c>
      <c r="C415" t="s">
        <v>1121</v>
      </c>
      <c r="D415" t="s">
        <v>1136</v>
      </c>
      <c r="E415" t="s">
        <v>1142</v>
      </c>
      <c r="F415" t="s">
        <v>1150</v>
      </c>
      <c r="G415" t="s">
        <v>1156</v>
      </c>
      <c r="H415">
        <v>3</v>
      </c>
      <c r="I415">
        <v>47893</v>
      </c>
      <c r="J415" s="6">
        <v>0</v>
      </c>
      <c r="K415">
        <v>47893</v>
      </c>
      <c r="L415">
        <v>143679</v>
      </c>
      <c r="M415">
        <v>2000</v>
      </c>
      <c r="N415" t="s">
        <v>1159</v>
      </c>
      <c r="O415" t="s">
        <v>1162</v>
      </c>
      <c r="Q415" t="str">
        <f t="shared" si="18"/>
        <v>okay</v>
      </c>
      <c r="R415">
        <f t="shared" si="19"/>
        <v>2</v>
      </c>
      <c r="S415" s="6">
        <f t="shared" si="20"/>
        <v>0</v>
      </c>
    </row>
    <row r="416" spans="1:19" x14ac:dyDescent="0.3">
      <c r="A416" s="10">
        <v>45657</v>
      </c>
      <c r="B416" t="s">
        <v>431</v>
      </c>
      <c r="C416" t="s">
        <v>1124</v>
      </c>
      <c r="D416" t="s">
        <v>1135</v>
      </c>
      <c r="E416" t="s">
        <v>1137</v>
      </c>
      <c r="F416" t="s">
        <v>1149</v>
      </c>
      <c r="G416" t="s">
        <v>1152</v>
      </c>
      <c r="H416">
        <v>5</v>
      </c>
      <c r="I416">
        <v>11922</v>
      </c>
      <c r="J416" s="6">
        <v>15</v>
      </c>
      <c r="K416">
        <v>10133.700000000001</v>
      </c>
      <c r="L416">
        <v>50668.5</v>
      </c>
      <c r="M416">
        <v>2000</v>
      </c>
      <c r="N416" t="s">
        <v>1159</v>
      </c>
      <c r="O416" t="s">
        <v>1164</v>
      </c>
      <c r="P416" s="10">
        <v>45660</v>
      </c>
      <c r="Q416" t="str">
        <f t="shared" si="18"/>
        <v>excellent</v>
      </c>
      <c r="R416">
        <f t="shared" si="19"/>
        <v>3</v>
      </c>
      <c r="S416" s="6">
        <f t="shared" si="20"/>
        <v>3</v>
      </c>
    </row>
    <row r="417" spans="1:19" x14ac:dyDescent="0.3">
      <c r="A417" s="10">
        <v>45780</v>
      </c>
      <c r="B417" t="s">
        <v>432</v>
      </c>
      <c r="C417" t="s">
        <v>1125</v>
      </c>
      <c r="D417" t="s">
        <v>1133</v>
      </c>
      <c r="E417" t="s">
        <v>1142</v>
      </c>
      <c r="F417" t="s">
        <v>1150</v>
      </c>
      <c r="G417" t="s">
        <v>1156</v>
      </c>
      <c r="H417">
        <v>4</v>
      </c>
      <c r="I417">
        <v>43171</v>
      </c>
      <c r="J417" s="6">
        <v>10</v>
      </c>
      <c r="K417">
        <v>38853.9</v>
      </c>
      <c r="L417">
        <v>155415.6</v>
      </c>
      <c r="M417">
        <v>1000</v>
      </c>
      <c r="N417" t="s">
        <v>1160</v>
      </c>
      <c r="O417" t="s">
        <v>1164</v>
      </c>
      <c r="P417" s="10">
        <v>45793</v>
      </c>
      <c r="Q417" t="str">
        <f t="shared" si="18"/>
        <v>excellent</v>
      </c>
      <c r="R417">
        <f t="shared" si="19"/>
        <v>3</v>
      </c>
      <c r="S417" s="6">
        <f t="shared" si="20"/>
        <v>13</v>
      </c>
    </row>
    <row r="418" spans="1:19" x14ac:dyDescent="0.3">
      <c r="A418" s="10">
        <v>45668</v>
      </c>
      <c r="B418" t="s">
        <v>433</v>
      </c>
      <c r="C418" t="s">
        <v>1129</v>
      </c>
      <c r="D418" t="s">
        <v>1133</v>
      </c>
      <c r="E418" t="s">
        <v>1140</v>
      </c>
      <c r="F418" t="s">
        <v>1150</v>
      </c>
      <c r="G418" t="s">
        <v>1154</v>
      </c>
      <c r="H418">
        <v>2</v>
      </c>
      <c r="I418">
        <v>40721</v>
      </c>
      <c r="J418" s="6">
        <v>5</v>
      </c>
      <c r="K418">
        <v>38684.949999999997</v>
      </c>
      <c r="L418">
        <v>77369.899999999994</v>
      </c>
      <c r="M418">
        <v>1000</v>
      </c>
      <c r="N418" t="s">
        <v>1159</v>
      </c>
      <c r="O418" t="s">
        <v>1163</v>
      </c>
      <c r="Q418" t="str">
        <f t="shared" si="18"/>
        <v>no comment</v>
      </c>
      <c r="R418">
        <f t="shared" si="19"/>
        <v>1</v>
      </c>
      <c r="S418" s="6">
        <f t="shared" si="20"/>
        <v>0</v>
      </c>
    </row>
    <row r="419" spans="1:19" x14ac:dyDescent="0.3">
      <c r="A419" s="10">
        <v>45774</v>
      </c>
      <c r="B419" t="s">
        <v>434</v>
      </c>
      <c r="C419" t="s">
        <v>1119</v>
      </c>
      <c r="D419" t="s">
        <v>1134</v>
      </c>
      <c r="E419" t="s">
        <v>1141</v>
      </c>
      <c r="F419" t="s">
        <v>1151</v>
      </c>
      <c r="G419" t="s">
        <v>1155</v>
      </c>
      <c r="H419">
        <v>1</v>
      </c>
      <c r="I419">
        <v>48284</v>
      </c>
      <c r="J419" s="6">
        <v>20</v>
      </c>
      <c r="K419">
        <v>38627.199999999997</v>
      </c>
      <c r="L419">
        <v>38627.199999999997</v>
      </c>
      <c r="M419">
        <v>2000</v>
      </c>
      <c r="N419" t="s">
        <v>1161</v>
      </c>
      <c r="O419" t="s">
        <v>1163</v>
      </c>
      <c r="Q419" t="str">
        <f t="shared" si="18"/>
        <v>no comment</v>
      </c>
      <c r="R419">
        <f t="shared" si="19"/>
        <v>1</v>
      </c>
      <c r="S419" s="6">
        <f t="shared" si="20"/>
        <v>0</v>
      </c>
    </row>
    <row r="420" spans="1:19" x14ac:dyDescent="0.3">
      <c r="A420" s="10">
        <v>45739</v>
      </c>
      <c r="B420" t="s">
        <v>435</v>
      </c>
      <c r="C420" t="s">
        <v>1128</v>
      </c>
      <c r="D420" t="s">
        <v>1135</v>
      </c>
      <c r="E420" t="s">
        <v>1144</v>
      </c>
      <c r="F420" t="s">
        <v>1151</v>
      </c>
      <c r="G420" t="s">
        <v>1157</v>
      </c>
      <c r="H420">
        <v>4</v>
      </c>
      <c r="I420">
        <v>71840</v>
      </c>
      <c r="J420" s="6">
        <v>10</v>
      </c>
      <c r="K420">
        <v>64656</v>
      </c>
      <c r="L420">
        <v>258624</v>
      </c>
      <c r="M420">
        <v>1000</v>
      </c>
      <c r="N420" t="s">
        <v>1160</v>
      </c>
      <c r="O420" t="s">
        <v>1164</v>
      </c>
      <c r="P420" s="10">
        <v>45743</v>
      </c>
      <c r="Q420" t="str">
        <f t="shared" si="18"/>
        <v>excellent</v>
      </c>
      <c r="R420">
        <f t="shared" si="19"/>
        <v>3</v>
      </c>
      <c r="S420" s="6">
        <f t="shared" si="20"/>
        <v>4</v>
      </c>
    </row>
    <row r="421" spans="1:19" x14ac:dyDescent="0.3">
      <c r="A421" s="10">
        <v>45798</v>
      </c>
      <c r="B421" t="s">
        <v>436</v>
      </c>
      <c r="C421" t="s">
        <v>1127</v>
      </c>
      <c r="D421" t="s">
        <v>1134</v>
      </c>
      <c r="E421" t="s">
        <v>1139</v>
      </c>
      <c r="F421" t="s">
        <v>1150</v>
      </c>
      <c r="G421" t="s">
        <v>1154</v>
      </c>
      <c r="H421">
        <v>4</v>
      </c>
      <c r="I421">
        <v>51899</v>
      </c>
      <c r="J421" s="6">
        <v>5</v>
      </c>
      <c r="K421">
        <v>49304.05</v>
      </c>
      <c r="L421">
        <v>197216.2</v>
      </c>
      <c r="M421">
        <v>2000</v>
      </c>
      <c r="N421" t="s">
        <v>1159</v>
      </c>
      <c r="O421" t="s">
        <v>1164</v>
      </c>
      <c r="P421" s="10">
        <v>45812</v>
      </c>
      <c r="Q421" t="str">
        <f t="shared" si="18"/>
        <v>excellent</v>
      </c>
      <c r="R421">
        <f t="shared" si="19"/>
        <v>3</v>
      </c>
      <c r="S421" s="6">
        <f t="shared" si="20"/>
        <v>14</v>
      </c>
    </row>
    <row r="422" spans="1:19" x14ac:dyDescent="0.3">
      <c r="A422" s="10">
        <v>45757</v>
      </c>
      <c r="B422" t="s">
        <v>437</v>
      </c>
      <c r="C422" t="s">
        <v>1130</v>
      </c>
      <c r="D422" t="s">
        <v>1136</v>
      </c>
      <c r="E422" t="s">
        <v>1142</v>
      </c>
      <c r="F422" t="s">
        <v>1150</v>
      </c>
      <c r="G422" t="s">
        <v>1156</v>
      </c>
      <c r="H422">
        <v>5</v>
      </c>
      <c r="I422">
        <v>73032</v>
      </c>
      <c r="J422" s="6">
        <v>10</v>
      </c>
      <c r="K422">
        <v>65728.800000000003</v>
      </c>
      <c r="L422">
        <v>328644</v>
      </c>
      <c r="M422">
        <v>1500</v>
      </c>
      <c r="N422" t="s">
        <v>1159</v>
      </c>
      <c r="O422" t="s">
        <v>1164</v>
      </c>
      <c r="P422" s="10">
        <v>45769</v>
      </c>
      <c r="Q422" t="str">
        <f t="shared" si="18"/>
        <v>excellent</v>
      </c>
      <c r="R422">
        <f t="shared" si="19"/>
        <v>3</v>
      </c>
      <c r="S422" s="6">
        <f t="shared" si="20"/>
        <v>12</v>
      </c>
    </row>
    <row r="423" spans="1:19" x14ac:dyDescent="0.3">
      <c r="A423" s="10">
        <v>45810</v>
      </c>
      <c r="B423" t="s">
        <v>438</v>
      </c>
      <c r="C423" t="s">
        <v>1124</v>
      </c>
      <c r="D423" t="s">
        <v>1135</v>
      </c>
      <c r="E423" t="s">
        <v>1148</v>
      </c>
      <c r="F423" t="s">
        <v>1149</v>
      </c>
      <c r="G423" t="s">
        <v>1152</v>
      </c>
      <c r="H423">
        <v>5</v>
      </c>
      <c r="I423">
        <v>50512</v>
      </c>
      <c r="J423" s="6">
        <v>5</v>
      </c>
      <c r="K423">
        <v>47986.400000000001</v>
      </c>
      <c r="L423">
        <v>239932</v>
      </c>
      <c r="M423">
        <v>1000</v>
      </c>
      <c r="N423" t="s">
        <v>1161</v>
      </c>
      <c r="O423" t="s">
        <v>1163</v>
      </c>
      <c r="Q423" t="str">
        <f t="shared" si="18"/>
        <v>no comment</v>
      </c>
      <c r="R423">
        <f t="shared" si="19"/>
        <v>1</v>
      </c>
      <c r="S423" s="6">
        <f t="shared" si="20"/>
        <v>0</v>
      </c>
    </row>
    <row r="424" spans="1:19" x14ac:dyDescent="0.3">
      <c r="A424" s="10">
        <v>45707</v>
      </c>
      <c r="B424" t="s">
        <v>439</v>
      </c>
      <c r="C424" t="s">
        <v>1129</v>
      </c>
      <c r="D424" t="s">
        <v>1133</v>
      </c>
      <c r="E424" t="s">
        <v>1141</v>
      </c>
      <c r="F424" t="s">
        <v>1151</v>
      </c>
      <c r="G424" t="s">
        <v>1155</v>
      </c>
      <c r="H424">
        <v>1</v>
      </c>
      <c r="I424">
        <v>5093</v>
      </c>
      <c r="J424" s="6">
        <v>10</v>
      </c>
      <c r="K424">
        <v>4583.7</v>
      </c>
      <c r="L424">
        <v>4583.7</v>
      </c>
      <c r="M424">
        <v>1500</v>
      </c>
      <c r="N424" t="s">
        <v>1159</v>
      </c>
      <c r="O424" t="s">
        <v>1163</v>
      </c>
      <c r="Q424" t="str">
        <f t="shared" si="18"/>
        <v>no comment</v>
      </c>
      <c r="R424">
        <f t="shared" si="19"/>
        <v>1</v>
      </c>
      <c r="S424" s="6">
        <f t="shared" si="20"/>
        <v>0</v>
      </c>
    </row>
    <row r="425" spans="1:19" x14ac:dyDescent="0.3">
      <c r="A425" s="10">
        <v>45804</v>
      </c>
      <c r="B425" t="s">
        <v>440</v>
      </c>
      <c r="C425" t="s">
        <v>1125</v>
      </c>
      <c r="D425" t="s">
        <v>1133</v>
      </c>
      <c r="E425" t="s">
        <v>1141</v>
      </c>
      <c r="F425" t="s">
        <v>1151</v>
      </c>
      <c r="G425" t="s">
        <v>1155</v>
      </c>
      <c r="H425">
        <v>5</v>
      </c>
      <c r="I425">
        <v>28183</v>
      </c>
      <c r="J425" s="6">
        <v>0</v>
      </c>
      <c r="K425">
        <v>28183</v>
      </c>
      <c r="L425">
        <v>140915</v>
      </c>
      <c r="M425">
        <v>1500</v>
      </c>
      <c r="N425" t="s">
        <v>1159</v>
      </c>
      <c r="O425" t="s">
        <v>1162</v>
      </c>
      <c r="Q425" t="str">
        <f t="shared" si="18"/>
        <v>okay</v>
      </c>
      <c r="R425">
        <f t="shared" si="19"/>
        <v>2</v>
      </c>
      <c r="S425" s="6">
        <f t="shared" si="20"/>
        <v>0</v>
      </c>
    </row>
    <row r="426" spans="1:19" x14ac:dyDescent="0.3">
      <c r="A426" s="10">
        <v>45772</v>
      </c>
      <c r="B426" t="s">
        <v>441</v>
      </c>
      <c r="C426" t="s">
        <v>1117</v>
      </c>
      <c r="D426" t="s">
        <v>1133</v>
      </c>
      <c r="E426" t="s">
        <v>1146</v>
      </c>
      <c r="F426" t="s">
        <v>1151</v>
      </c>
      <c r="G426" t="s">
        <v>1155</v>
      </c>
      <c r="H426">
        <v>1</v>
      </c>
      <c r="I426">
        <v>49479</v>
      </c>
      <c r="J426" s="6">
        <v>20</v>
      </c>
      <c r="K426">
        <v>39583.199999999997</v>
      </c>
      <c r="L426">
        <v>39583.199999999997</v>
      </c>
      <c r="M426">
        <v>2000</v>
      </c>
      <c r="N426" t="s">
        <v>1161</v>
      </c>
      <c r="O426" t="s">
        <v>1164</v>
      </c>
      <c r="P426" s="10">
        <v>45777</v>
      </c>
      <c r="Q426" t="str">
        <f t="shared" si="18"/>
        <v>excellent</v>
      </c>
      <c r="R426">
        <f t="shared" si="19"/>
        <v>3</v>
      </c>
      <c r="S426" s="6">
        <f t="shared" si="20"/>
        <v>5</v>
      </c>
    </row>
    <row r="427" spans="1:19" x14ac:dyDescent="0.3">
      <c r="A427" s="10">
        <v>45692</v>
      </c>
      <c r="B427" t="s">
        <v>442</v>
      </c>
      <c r="C427" t="s">
        <v>1117</v>
      </c>
      <c r="D427" t="s">
        <v>1133</v>
      </c>
      <c r="E427" t="s">
        <v>1142</v>
      </c>
      <c r="F427" t="s">
        <v>1150</v>
      </c>
      <c r="G427" t="s">
        <v>1156</v>
      </c>
      <c r="H427">
        <v>3</v>
      </c>
      <c r="I427">
        <v>76845</v>
      </c>
      <c r="J427" s="6">
        <v>20</v>
      </c>
      <c r="K427">
        <v>61476</v>
      </c>
      <c r="L427">
        <v>184428</v>
      </c>
      <c r="M427">
        <v>1500</v>
      </c>
      <c r="N427" t="s">
        <v>1160</v>
      </c>
      <c r="O427" t="s">
        <v>1164</v>
      </c>
      <c r="P427" s="10">
        <v>45706</v>
      </c>
      <c r="Q427" t="str">
        <f t="shared" si="18"/>
        <v>excellent</v>
      </c>
      <c r="R427">
        <f t="shared" si="19"/>
        <v>3</v>
      </c>
      <c r="S427" s="6">
        <f t="shared" si="20"/>
        <v>14</v>
      </c>
    </row>
    <row r="428" spans="1:19" x14ac:dyDescent="0.3">
      <c r="A428" s="10">
        <v>45837</v>
      </c>
      <c r="B428" t="s">
        <v>443</v>
      </c>
      <c r="C428" t="s">
        <v>1127</v>
      </c>
      <c r="D428" t="s">
        <v>1134</v>
      </c>
      <c r="E428" t="s">
        <v>1140</v>
      </c>
      <c r="F428" t="s">
        <v>1150</v>
      </c>
      <c r="G428" t="s">
        <v>1154</v>
      </c>
      <c r="H428">
        <v>5</v>
      </c>
      <c r="I428">
        <v>47159</v>
      </c>
      <c r="J428" s="6">
        <v>20</v>
      </c>
      <c r="K428">
        <v>37727.199999999997</v>
      </c>
      <c r="L428">
        <v>188636</v>
      </c>
      <c r="M428">
        <v>1000</v>
      </c>
      <c r="N428" t="s">
        <v>1160</v>
      </c>
      <c r="O428" t="s">
        <v>1164</v>
      </c>
      <c r="P428" s="10">
        <v>45840</v>
      </c>
      <c r="Q428" t="str">
        <f t="shared" si="18"/>
        <v>excellent</v>
      </c>
      <c r="R428">
        <f t="shared" si="19"/>
        <v>3</v>
      </c>
      <c r="S428" s="6">
        <f t="shared" si="20"/>
        <v>3</v>
      </c>
    </row>
    <row r="429" spans="1:19" x14ac:dyDescent="0.3">
      <c r="A429" s="10">
        <v>45777</v>
      </c>
      <c r="B429" t="s">
        <v>444</v>
      </c>
      <c r="C429" t="s">
        <v>1125</v>
      </c>
      <c r="D429" t="s">
        <v>1133</v>
      </c>
      <c r="E429" t="s">
        <v>1141</v>
      </c>
      <c r="F429" t="s">
        <v>1151</v>
      </c>
      <c r="G429" t="s">
        <v>1155</v>
      </c>
      <c r="H429">
        <v>1</v>
      </c>
      <c r="I429">
        <v>44310</v>
      </c>
      <c r="J429" s="6">
        <v>10</v>
      </c>
      <c r="K429">
        <v>39879</v>
      </c>
      <c r="L429">
        <v>39879</v>
      </c>
      <c r="M429">
        <v>1000</v>
      </c>
      <c r="N429" t="s">
        <v>1161</v>
      </c>
      <c r="O429" t="s">
        <v>1163</v>
      </c>
      <c r="Q429" t="str">
        <f t="shared" si="18"/>
        <v>no comment</v>
      </c>
      <c r="R429">
        <f t="shared" si="19"/>
        <v>1</v>
      </c>
      <c r="S429" s="6">
        <f t="shared" si="20"/>
        <v>0</v>
      </c>
    </row>
    <row r="430" spans="1:19" x14ac:dyDescent="0.3">
      <c r="A430" s="10">
        <v>45733</v>
      </c>
      <c r="B430" t="s">
        <v>445</v>
      </c>
      <c r="C430" t="s">
        <v>1126</v>
      </c>
      <c r="D430" t="s">
        <v>1133</v>
      </c>
      <c r="E430" t="s">
        <v>1148</v>
      </c>
      <c r="F430" t="s">
        <v>1149</v>
      </c>
      <c r="G430" t="s">
        <v>1152</v>
      </c>
      <c r="H430">
        <v>5</v>
      </c>
      <c r="I430">
        <v>56899</v>
      </c>
      <c r="J430" s="6">
        <v>15</v>
      </c>
      <c r="K430">
        <v>48364.15</v>
      </c>
      <c r="L430">
        <v>241820.75</v>
      </c>
      <c r="M430">
        <v>1000</v>
      </c>
      <c r="N430" t="s">
        <v>1159</v>
      </c>
      <c r="O430" t="s">
        <v>1162</v>
      </c>
      <c r="Q430" t="str">
        <f t="shared" si="18"/>
        <v>okay</v>
      </c>
      <c r="R430">
        <f t="shared" si="19"/>
        <v>2</v>
      </c>
      <c r="S430" s="6">
        <f t="shared" si="20"/>
        <v>0</v>
      </c>
    </row>
    <row r="431" spans="1:19" x14ac:dyDescent="0.3">
      <c r="A431" s="10">
        <v>45753</v>
      </c>
      <c r="B431" t="s">
        <v>446</v>
      </c>
      <c r="C431" t="s">
        <v>1127</v>
      </c>
      <c r="D431" t="s">
        <v>1134</v>
      </c>
      <c r="E431" t="s">
        <v>1138</v>
      </c>
      <c r="F431" t="s">
        <v>1149</v>
      </c>
      <c r="G431" t="s">
        <v>1153</v>
      </c>
      <c r="H431">
        <v>5</v>
      </c>
      <c r="I431">
        <v>43067</v>
      </c>
      <c r="J431" s="6">
        <v>5</v>
      </c>
      <c r="K431">
        <v>40913.65</v>
      </c>
      <c r="L431">
        <v>204568.25</v>
      </c>
      <c r="M431">
        <v>1500</v>
      </c>
      <c r="N431" t="s">
        <v>1160</v>
      </c>
      <c r="O431" t="s">
        <v>1163</v>
      </c>
      <c r="Q431" t="str">
        <f t="shared" si="18"/>
        <v>no comment</v>
      </c>
      <c r="R431">
        <f t="shared" si="19"/>
        <v>1</v>
      </c>
      <c r="S431" s="6">
        <f t="shared" si="20"/>
        <v>0</v>
      </c>
    </row>
    <row r="432" spans="1:19" x14ac:dyDescent="0.3">
      <c r="A432" s="10">
        <v>45665</v>
      </c>
      <c r="B432" t="s">
        <v>447</v>
      </c>
      <c r="C432" t="s">
        <v>1132</v>
      </c>
      <c r="D432" t="s">
        <v>1134</v>
      </c>
      <c r="E432" t="s">
        <v>1148</v>
      </c>
      <c r="F432" t="s">
        <v>1149</v>
      </c>
      <c r="G432" t="s">
        <v>1152</v>
      </c>
      <c r="H432">
        <v>5</v>
      </c>
      <c r="I432">
        <v>32938</v>
      </c>
      <c r="J432" s="6">
        <v>15</v>
      </c>
      <c r="K432">
        <v>27997.3</v>
      </c>
      <c r="L432">
        <v>139986.5</v>
      </c>
      <c r="M432">
        <v>1000</v>
      </c>
      <c r="N432" t="s">
        <v>1159</v>
      </c>
      <c r="O432" t="s">
        <v>1164</v>
      </c>
      <c r="P432" s="10">
        <v>45675</v>
      </c>
      <c r="Q432" t="str">
        <f t="shared" si="18"/>
        <v>excellent</v>
      </c>
      <c r="R432">
        <f t="shared" si="19"/>
        <v>3</v>
      </c>
      <c r="S432" s="6">
        <f t="shared" si="20"/>
        <v>10</v>
      </c>
    </row>
    <row r="433" spans="1:19" x14ac:dyDescent="0.3">
      <c r="A433" s="10">
        <v>45776</v>
      </c>
      <c r="B433" t="s">
        <v>448</v>
      </c>
      <c r="C433" t="s">
        <v>1123</v>
      </c>
      <c r="D433" t="s">
        <v>1135</v>
      </c>
      <c r="E433" t="s">
        <v>1148</v>
      </c>
      <c r="F433" t="s">
        <v>1149</v>
      </c>
      <c r="G433" t="s">
        <v>1152</v>
      </c>
      <c r="H433">
        <v>5</v>
      </c>
      <c r="I433">
        <v>41140</v>
      </c>
      <c r="J433" s="6">
        <v>5</v>
      </c>
      <c r="K433">
        <v>39083</v>
      </c>
      <c r="L433">
        <v>195415</v>
      </c>
      <c r="M433">
        <v>1000</v>
      </c>
      <c r="N433" t="s">
        <v>1159</v>
      </c>
      <c r="O433" t="s">
        <v>1164</v>
      </c>
      <c r="P433" s="10">
        <v>45786</v>
      </c>
      <c r="Q433" t="str">
        <f t="shared" si="18"/>
        <v>excellent</v>
      </c>
      <c r="R433">
        <f t="shared" si="19"/>
        <v>3</v>
      </c>
      <c r="S433" s="6">
        <f t="shared" si="20"/>
        <v>10</v>
      </c>
    </row>
    <row r="434" spans="1:19" x14ac:dyDescent="0.3">
      <c r="A434" s="10">
        <v>45740</v>
      </c>
      <c r="B434" t="s">
        <v>449</v>
      </c>
      <c r="C434" t="s">
        <v>1119</v>
      </c>
      <c r="D434" t="s">
        <v>1134</v>
      </c>
      <c r="E434" t="s">
        <v>1148</v>
      </c>
      <c r="F434" t="s">
        <v>1149</v>
      </c>
      <c r="G434" t="s">
        <v>1152</v>
      </c>
      <c r="H434">
        <v>2</v>
      </c>
      <c r="I434">
        <v>63059</v>
      </c>
      <c r="J434" s="6">
        <v>5</v>
      </c>
      <c r="K434">
        <v>59906.05</v>
      </c>
      <c r="L434">
        <v>119812.1</v>
      </c>
      <c r="M434">
        <v>2000</v>
      </c>
      <c r="N434" t="s">
        <v>1159</v>
      </c>
      <c r="O434" t="s">
        <v>1164</v>
      </c>
      <c r="P434" s="10">
        <v>45745</v>
      </c>
      <c r="Q434" t="str">
        <f t="shared" si="18"/>
        <v>excellent</v>
      </c>
      <c r="R434">
        <f t="shared" si="19"/>
        <v>3</v>
      </c>
      <c r="S434" s="6">
        <f t="shared" si="20"/>
        <v>5</v>
      </c>
    </row>
    <row r="435" spans="1:19" x14ac:dyDescent="0.3">
      <c r="A435" s="10">
        <v>45814</v>
      </c>
      <c r="B435" t="s">
        <v>450</v>
      </c>
      <c r="C435" t="s">
        <v>1120</v>
      </c>
      <c r="D435" t="s">
        <v>1135</v>
      </c>
      <c r="E435" t="s">
        <v>1140</v>
      </c>
      <c r="F435" t="s">
        <v>1150</v>
      </c>
      <c r="G435" t="s">
        <v>1154</v>
      </c>
      <c r="H435">
        <v>5</v>
      </c>
      <c r="I435">
        <v>18820</v>
      </c>
      <c r="J435" s="6">
        <v>0</v>
      </c>
      <c r="K435">
        <v>18820</v>
      </c>
      <c r="L435">
        <v>94100</v>
      </c>
      <c r="M435">
        <v>1000</v>
      </c>
      <c r="N435" t="s">
        <v>1160</v>
      </c>
      <c r="O435" t="s">
        <v>1164</v>
      </c>
      <c r="P435" s="10">
        <v>45828</v>
      </c>
      <c r="Q435" t="str">
        <f t="shared" si="18"/>
        <v>excellent</v>
      </c>
      <c r="R435">
        <f t="shared" si="19"/>
        <v>3</v>
      </c>
      <c r="S435" s="6">
        <f t="shared" si="20"/>
        <v>14</v>
      </c>
    </row>
    <row r="436" spans="1:19" x14ac:dyDescent="0.3">
      <c r="A436" s="10">
        <v>45745</v>
      </c>
      <c r="B436" t="s">
        <v>451</v>
      </c>
      <c r="C436" t="s">
        <v>1131</v>
      </c>
      <c r="D436" t="s">
        <v>1136</v>
      </c>
      <c r="E436" t="s">
        <v>1146</v>
      </c>
      <c r="F436" t="s">
        <v>1151</v>
      </c>
      <c r="G436" t="s">
        <v>1155</v>
      </c>
      <c r="H436">
        <v>5</v>
      </c>
      <c r="I436">
        <v>42251</v>
      </c>
      <c r="J436" s="6">
        <v>10</v>
      </c>
      <c r="K436">
        <v>38025.9</v>
      </c>
      <c r="L436">
        <v>190129.5</v>
      </c>
      <c r="M436">
        <v>2000</v>
      </c>
      <c r="N436" t="s">
        <v>1160</v>
      </c>
      <c r="O436" t="s">
        <v>1163</v>
      </c>
      <c r="Q436" t="str">
        <f t="shared" si="18"/>
        <v>no comment</v>
      </c>
      <c r="R436">
        <f t="shared" si="19"/>
        <v>1</v>
      </c>
      <c r="S436" s="6">
        <f t="shared" si="20"/>
        <v>0</v>
      </c>
    </row>
    <row r="437" spans="1:19" x14ac:dyDescent="0.3">
      <c r="A437" s="10">
        <v>45799</v>
      </c>
      <c r="B437" t="s">
        <v>452</v>
      </c>
      <c r="C437" t="s">
        <v>1129</v>
      </c>
      <c r="D437" t="s">
        <v>1133</v>
      </c>
      <c r="E437" t="s">
        <v>1141</v>
      </c>
      <c r="F437" t="s">
        <v>1151</v>
      </c>
      <c r="G437" t="s">
        <v>1155</v>
      </c>
      <c r="H437">
        <v>2</v>
      </c>
      <c r="I437">
        <v>57138</v>
      </c>
      <c r="J437" s="6">
        <v>5</v>
      </c>
      <c r="K437">
        <v>54281.1</v>
      </c>
      <c r="L437">
        <v>108562.2</v>
      </c>
      <c r="M437">
        <v>1000</v>
      </c>
      <c r="N437" t="s">
        <v>1160</v>
      </c>
      <c r="O437" t="s">
        <v>1162</v>
      </c>
      <c r="Q437" t="str">
        <f t="shared" si="18"/>
        <v>okay</v>
      </c>
      <c r="R437">
        <f t="shared" si="19"/>
        <v>2</v>
      </c>
      <c r="S437" s="6">
        <f t="shared" si="20"/>
        <v>0</v>
      </c>
    </row>
    <row r="438" spans="1:19" x14ac:dyDescent="0.3">
      <c r="A438" s="10">
        <v>45683</v>
      </c>
      <c r="B438" t="s">
        <v>453</v>
      </c>
      <c r="C438" t="s">
        <v>1128</v>
      </c>
      <c r="D438" t="s">
        <v>1135</v>
      </c>
      <c r="E438" t="s">
        <v>1141</v>
      </c>
      <c r="F438" t="s">
        <v>1151</v>
      </c>
      <c r="G438" t="s">
        <v>1155</v>
      </c>
      <c r="H438">
        <v>2</v>
      </c>
      <c r="I438">
        <v>51465</v>
      </c>
      <c r="J438" s="6">
        <v>20</v>
      </c>
      <c r="K438">
        <v>41172</v>
      </c>
      <c r="L438">
        <v>82344</v>
      </c>
      <c r="M438">
        <v>1000</v>
      </c>
      <c r="N438" t="s">
        <v>1160</v>
      </c>
      <c r="O438" t="s">
        <v>1162</v>
      </c>
      <c r="Q438" t="str">
        <f t="shared" si="18"/>
        <v>okay</v>
      </c>
      <c r="R438">
        <f t="shared" si="19"/>
        <v>2</v>
      </c>
      <c r="S438" s="6">
        <f t="shared" si="20"/>
        <v>0</v>
      </c>
    </row>
    <row r="439" spans="1:19" x14ac:dyDescent="0.3">
      <c r="A439" s="10">
        <v>45811</v>
      </c>
      <c r="B439" t="s">
        <v>454</v>
      </c>
      <c r="C439" t="s">
        <v>1130</v>
      </c>
      <c r="D439" t="s">
        <v>1136</v>
      </c>
      <c r="E439" t="s">
        <v>1148</v>
      </c>
      <c r="F439" t="s">
        <v>1149</v>
      </c>
      <c r="G439" t="s">
        <v>1152</v>
      </c>
      <c r="H439">
        <v>4</v>
      </c>
      <c r="I439">
        <v>33963</v>
      </c>
      <c r="J439" s="6">
        <v>0</v>
      </c>
      <c r="K439">
        <v>33963</v>
      </c>
      <c r="L439">
        <v>135852</v>
      </c>
      <c r="M439">
        <v>2000</v>
      </c>
      <c r="N439" t="s">
        <v>1159</v>
      </c>
      <c r="O439" t="s">
        <v>1163</v>
      </c>
      <c r="Q439" t="str">
        <f t="shared" si="18"/>
        <v>no comment</v>
      </c>
      <c r="R439">
        <f t="shared" si="19"/>
        <v>1</v>
      </c>
      <c r="S439" s="6">
        <f t="shared" si="20"/>
        <v>0</v>
      </c>
    </row>
    <row r="440" spans="1:19" x14ac:dyDescent="0.3">
      <c r="A440" s="10">
        <v>45755</v>
      </c>
      <c r="B440" t="s">
        <v>455</v>
      </c>
      <c r="C440" t="s">
        <v>1121</v>
      </c>
      <c r="D440" t="s">
        <v>1136</v>
      </c>
      <c r="E440" t="s">
        <v>1140</v>
      </c>
      <c r="F440" t="s">
        <v>1150</v>
      </c>
      <c r="G440" t="s">
        <v>1154</v>
      </c>
      <c r="H440">
        <v>5</v>
      </c>
      <c r="I440">
        <v>24185</v>
      </c>
      <c r="J440" s="6">
        <v>0</v>
      </c>
      <c r="K440">
        <v>24185</v>
      </c>
      <c r="L440">
        <v>120925</v>
      </c>
      <c r="M440">
        <v>1500</v>
      </c>
      <c r="N440" t="s">
        <v>1161</v>
      </c>
      <c r="O440" t="s">
        <v>1162</v>
      </c>
      <c r="Q440" t="str">
        <f t="shared" si="18"/>
        <v>okay</v>
      </c>
      <c r="R440">
        <f t="shared" si="19"/>
        <v>2</v>
      </c>
      <c r="S440" s="6">
        <f t="shared" si="20"/>
        <v>0</v>
      </c>
    </row>
    <row r="441" spans="1:19" x14ac:dyDescent="0.3">
      <c r="A441" s="10">
        <v>45756</v>
      </c>
      <c r="B441" t="s">
        <v>456</v>
      </c>
      <c r="C441" t="s">
        <v>1121</v>
      </c>
      <c r="D441" t="s">
        <v>1136</v>
      </c>
      <c r="E441" t="s">
        <v>1141</v>
      </c>
      <c r="F441" t="s">
        <v>1151</v>
      </c>
      <c r="G441" t="s">
        <v>1155</v>
      </c>
      <c r="H441">
        <v>3</v>
      </c>
      <c r="I441">
        <v>9845</v>
      </c>
      <c r="J441" s="6">
        <v>0</v>
      </c>
      <c r="K441">
        <v>9845</v>
      </c>
      <c r="L441">
        <v>29535</v>
      </c>
      <c r="M441">
        <v>2000</v>
      </c>
      <c r="N441" t="s">
        <v>1159</v>
      </c>
      <c r="O441" t="s">
        <v>1162</v>
      </c>
      <c r="Q441" t="str">
        <f t="shared" si="18"/>
        <v>okay</v>
      </c>
      <c r="R441">
        <f t="shared" si="19"/>
        <v>2</v>
      </c>
      <c r="S441" s="6">
        <f t="shared" si="20"/>
        <v>0</v>
      </c>
    </row>
    <row r="442" spans="1:19" x14ac:dyDescent="0.3">
      <c r="A442" s="10">
        <v>45679</v>
      </c>
      <c r="B442" t="s">
        <v>457</v>
      </c>
      <c r="C442" t="s">
        <v>1123</v>
      </c>
      <c r="D442" t="s">
        <v>1135</v>
      </c>
      <c r="E442" t="s">
        <v>1148</v>
      </c>
      <c r="F442" t="s">
        <v>1149</v>
      </c>
      <c r="G442" t="s">
        <v>1152</v>
      </c>
      <c r="H442">
        <v>2</v>
      </c>
      <c r="I442">
        <v>68667</v>
      </c>
      <c r="J442" s="6">
        <v>20</v>
      </c>
      <c r="K442">
        <v>54933.599999999999</v>
      </c>
      <c r="L442">
        <v>109867.2</v>
      </c>
      <c r="M442">
        <v>1500</v>
      </c>
      <c r="N442" t="s">
        <v>1161</v>
      </c>
      <c r="O442" t="s">
        <v>1164</v>
      </c>
      <c r="P442" s="10">
        <v>45685</v>
      </c>
      <c r="Q442" t="str">
        <f t="shared" si="18"/>
        <v>excellent</v>
      </c>
      <c r="R442">
        <f t="shared" si="19"/>
        <v>3</v>
      </c>
      <c r="S442" s="6">
        <f t="shared" si="20"/>
        <v>6</v>
      </c>
    </row>
    <row r="443" spans="1:19" x14ac:dyDescent="0.3">
      <c r="A443" s="10">
        <v>45682</v>
      </c>
      <c r="B443" t="s">
        <v>458</v>
      </c>
      <c r="C443" t="s">
        <v>1132</v>
      </c>
      <c r="D443" t="s">
        <v>1134</v>
      </c>
      <c r="E443" t="s">
        <v>1138</v>
      </c>
      <c r="F443" t="s">
        <v>1149</v>
      </c>
      <c r="G443" t="s">
        <v>1153</v>
      </c>
      <c r="H443">
        <v>1</v>
      </c>
      <c r="I443">
        <v>53253</v>
      </c>
      <c r="J443" s="6">
        <v>10</v>
      </c>
      <c r="K443">
        <v>47927.7</v>
      </c>
      <c r="L443">
        <v>47927.7</v>
      </c>
      <c r="M443">
        <v>1000</v>
      </c>
      <c r="N443" t="s">
        <v>1161</v>
      </c>
      <c r="O443" t="s">
        <v>1162</v>
      </c>
      <c r="Q443" t="str">
        <f t="shared" si="18"/>
        <v>okay</v>
      </c>
      <c r="R443">
        <f t="shared" si="19"/>
        <v>2</v>
      </c>
      <c r="S443" s="6">
        <f t="shared" si="20"/>
        <v>0</v>
      </c>
    </row>
    <row r="444" spans="1:19" x14ac:dyDescent="0.3">
      <c r="A444" s="10">
        <v>45689</v>
      </c>
      <c r="B444" t="s">
        <v>459</v>
      </c>
      <c r="C444" t="s">
        <v>1128</v>
      </c>
      <c r="D444" t="s">
        <v>1135</v>
      </c>
      <c r="E444" t="s">
        <v>1144</v>
      </c>
      <c r="F444" t="s">
        <v>1151</v>
      </c>
      <c r="G444" t="s">
        <v>1157</v>
      </c>
      <c r="H444">
        <v>1</v>
      </c>
      <c r="I444">
        <v>69589</v>
      </c>
      <c r="J444" s="6">
        <v>0</v>
      </c>
      <c r="K444">
        <v>69589</v>
      </c>
      <c r="L444">
        <v>69589</v>
      </c>
      <c r="M444">
        <v>1000</v>
      </c>
      <c r="N444" t="s">
        <v>1161</v>
      </c>
      <c r="O444" t="s">
        <v>1162</v>
      </c>
      <c r="Q444" t="str">
        <f t="shared" si="18"/>
        <v>okay</v>
      </c>
      <c r="R444">
        <f t="shared" si="19"/>
        <v>2</v>
      </c>
      <c r="S444" s="6">
        <f t="shared" si="20"/>
        <v>0</v>
      </c>
    </row>
    <row r="445" spans="1:19" x14ac:dyDescent="0.3">
      <c r="A445" s="10">
        <v>45798</v>
      </c>
      <c r="B445" t="s">
        <v>460</v>
      </c>
      <c r="C445" t="s">
        <v>1122</v>
      </c>
      <c r="D445" t="s">
        <v>1136</v>
      </c>
      <c r="E445" t="s">
        <v>1143</v>
      </c>
      <c r="F445" t="s">
        <v>1151</v>
      </c>
      <c r="G445" t="s">
        <v>1157</v>
      </c>
      <c r="H445">
        <v>5</v>
      </c>
      <c r="I445">
        <v>7660</v>
      </c>
      <c r="J445" s="6">
        <v>15</v>
      </c>
      <c r="K445">
        <v>6511</v>
      </c>
      <c r="L445">
        <v>32555</v>
      </c>
      <c r="M445">
        <v>1500</v>
      </c>
      <c r="N445" t="s">
        <v>1161</v>
      </c>
      <c r="O445" t="s">
        <v>1163</v>
      </c>
      <c r="Q445" t="str">
        <f t="shared" si="18"/>
        <v>no comment</v>
      </c>
      <c r="R445">
        <f t="shared" si="19"/>
        <v>1</v>
      </c>
      <c r="S445" s="6">
        <f t="shared" si="20"/>
        <v>0</v>
      </c>
    </row>
    <row r="446" spans="1:19" x14ac:dyDescent="0.3">
      <c r="A446" s="10">
        <v>45801</v>
      </c>
      <c r="B446" t="s">
        <v>461</v>
      </c>
      <c r="C446" t="s">
        <v>1120</v>
      </c>
      <c r="D446" t="s">
        <v>1135</v>
      </c>
      <c r="E446" t="s">
        <v>1137</v>
      </c>
      <c r="F446" t="s">
        <v>1149</v>
      </c>
      <c r="G446" t="s">
        <v>1152</v>
      </c>
      <c r="H446">
        <v>3</v>
      </c>
      <c r="I446">
        <v>26279</v>
      </c>
      <c r="J446" s="6">
        <v>15</v>
      </c>
      <c r="K446">
        <v>22337.15</v>
      </c>
      <c r="L446">
        <v>67011.450000000012</v>
      </c>
      <c r="M446">
        <v>1500</v>
      </c>
      <c r="N446" t="s">
        <v>1161</v>
      </c>
      <c r="O446" t="s">
        <v>1164</v>
      </c>
      <c r="P446" s="10">
        <v>45803</v>
      </c>
      <c r="Q446" t="str">
        <f t="shared" si="18"/>
        <v>excellent</v>
      </c>
      <c r="R446">
        <f t="shared" si="19"/>
        <v>3</v>
      </c>
      <c r="S446" s="6">
        <f t="shared" si="20"/>
        <v>2</v>
      </c>
    </row>
    <row r="447" spans="1:19" x14ac:dyDescent="0.3">
      <c r="A447" s="10">
        <v>45675</v>
      </c>
      <c r="B447" t="s">
        <v>462</v>
      </c>
      <c r="C447" t="s">
        <v>1121</v>
      </c>
      <c r="D447" t="s">
        <v>1136</v>
      </c>
      <c r="E447" t="s">
        <v>1142</v>
      </c>
      <c r="F447" t="s">
        <v>1150</v>
      </c>
      <c r="G447" t="s">
        <v>1156</v>
      </c>
      <c r="H447">
        <v>2</v>
      </c>
      <c r="I447">
        <v>44316</v>
      </c>
      <c r="J447" s="6">
        <v>0</v>
      </c>
      <c r="K447">
        <v>44316</v>
      </c>
      <c r="L447">
        <v>88632</v>
      </c>
      <c r="M447">
        <v>2000</v>
      </c>
      <c r="N447" t="s">
        <v>1159</v>
      </c>
      <c r="O447" t="s">
        <v>1164</v>
      </c>
      <c r="P447" s="10">
        <v>45677</v>
      </c>
      <c r="Q447" t="str">
        <f t="shared" si="18"/>
        <v>excellent</v>
      </c>
      <c r="R447">
        <f t="shared" si="19"/>
        <v>3</v>
      </c>
      <c r="S447" s="6">
        <f t="shared" si="20"/>
        <v>2</v>
      </c>
    </row>
    <row r="448" spans="1:19" x14ac:dyDescent="0.3">
      <c r="A448" s="10">
        <v>45804</v>
      </c>
      <c r="B448" t="s">
        <v>463</v>
      </c>
      <c r="C448" t="s">
        <v>1132</v>
      </c>
      <c r="D448" t="s">
        <v>1134</v>
      </c>
      <c r="E448" t="s">
        <v>1138</v>
      </c>
      <c r="F448" t="s">
        <v>1149</v>
      </c>
      <c r="G448" t="s">
        <v>1153</v>
      </c>
      <c r="H448">
        <v>5</v>
      </c>
      <c r="I448">
        <v>20910</v>
      </c>
      <c r="J448" s="6">
        <v>0</v>
      </c>
      <c r="K448">
        <v>20910</v>
      </c>
      <c r="L448">
        <v>104550</v>
      </c>
      <c r="M448">
        <v>2000</v>
      </c>
      <c r="N448" t="s">
        <v>1159</v>
      </c>
      <c r="O448" t="s">
        <v>1164</v>
      </c>
      <c r="P448" s="10">
        <v>45815</v>
      </c>
      <c r="Q448" t="str">
        <f t="shared" si="18"/>
        <v>excellent</v>
      </c>
      <c r="R448">
        <f t="shared" si="19"/>
        <v>3</v>
      </c>
      <c r="S448" s="6">
        <f t="shared" si="20"/>
        <v>11</v>
      </c>
    </row>
    <row r="449" spans="1:19" x14ac:dyDescent="0.3">
      <c r="A449" s="10">
        <v>45671</v>
      </c>
      <c r="B449" t="s">
        <v>464</v>
      </c>
      <c r="C449" t="s">
        <v>1125</v>
      </c>
      <c r="D449" t="s">
        <v>1133</v>
      </c>
      <c r="E449" t="s">
        <v>1137</v>
      </c>
      <c r="F449" t="s">
        <v>1149</v>
      </c>
      <c r="G449" t="s">
        <v>1152</v>
      </c>
      <c r="H449">
        <v>1</v>
      </c>
      <c r="I449">
        <v>48608</v>
      </c>
      <c r="J449" s="6">
        <v>5</v>
      </c>
      <c r="K449">
        <v>46177.599999999999</v>
      </c>
      <c r="L449">
        <v>46177.599999999999</v>
      </c>
      <c r="M449">
        <v>1000</v>
      </c>
      <c r="N449" t="s">
        <v>1160</v>
      </c>
      <c r="O449" t="s">
        <v>1163</v>
      </c>
      <c r="Q449" t="str">
        <f t="shared" si="18"/>
        <v>no comment</v>
      </c>
      <c r="R449">
        <f t="shared" si="19"/>
        <v>1</v>
      </c>
      <c r="S449" s="6">
        <f t="shared" si="20"/>
        <v>0</v>
      </c>
    </row>
    <row r="450" spans="1:19" x14ac:dyDescent="0.3">
      <c r="A450" s="10">
        <v>45730</v>
      </c>
      <c r="B450" t="s">
        <v>465</v>
      </c>
      <c r="C450" t="s">
        <v>1124</v>
      </c>
      <c r="D450" t="s">
        <v>1135</v>
      </c>
      <c r="E450" t="s">
        <v>1146</v>
      </c>
      <c r="F450" t="s">
        <v>1151</v>
      </c>
      <c r="G450" t="s">
        <v>1155</v>
      </c>
      <c r="H450">
        <v>5</v>
      </c>
      <c r="I450">
        <v>76390</v>
      </c>
      <c r="J450" s="6">
        <v>0</v>
      </c>
      <c r="K450">
        <v>76390</v>
      </c>
      <c r="L450">
        <v>381950</v>
      </c>
      <c r="M450">
        <v>1000</v>
      </c>
      <c r="N450" t="s">
        <v>1159</v>
      </c>
      <c r="O450" t="s">
        <v>1164</v>
      </c>
      <c r="P450" s="10">
        <v>45737</v>
      </c>
      <c r="Q450" t="str">
        <f t="shared" ref="Q450:Q513" si="21">IF(O450="delivered","excellent",IF(O450="in transit","okay",IF(O450="failed","no comment")))</f>
        <v>excellent</v>
      </c>
      <c r="R450">
        <f t="shared" si="19"/>
        <v>3</v>
      </c>
      <c r="S450" s="6">
        <f t="shared" si="20"/>
        <v>7</v>
      </c>
    </row>
    <row r="451" spans="1:19" x14ac:dyDescent="0.3">
      <c r="A451" s="10">
        <v>45729</v>
      </c>
      <c r="B451" t="s">
        <v>466</v>
      </c>
      <c r="C451" t="s">
        <v>1130</v>
      </c>
      <c r="D451" t="s">
        <v>1136</v>
      </c>
      <c r="E451" t="s">
        <v>1139</v>
      </c>
      <c r="F451" t="s">
        <v>1150</v>
      </c>
      <c r="G451" t="s">
        <v>1154</v>
      </c>
      <c r="H451">
        <v>1</v>
      </c>
      <c r="I451">
        <v>32733</v>
      </c>
      <c r="J451" s="6">
        <v>10</v>
      </c>
      <c r="K451">
        <v>26186.400000000001</v>
      </c>
      <c r="L451">
        <v>26186.400000000001</v>
      </c>
      <c r="M451">
        <v>1500</v>
      </c>
      <c r="N451" t="s">
        <v>1161</v>
      </c>
      <c r="O451" t="s">
        <v>1163</v>
      </c>
      <c r="Q451" t="str">
        <f t="shared" si="21"/>
        <v>no comment</v>
      </c>
      <c r="R451">
        <f t="shared" ref="R451:R514" si="22">IF(Q451="excellent",3,IF(Q451="no comment",1,IF(Q451="okay",2)))</f>
        <v>1</v>
      </c>
      <c r="S451" s="6">
        <f t="shared" ref="S451:S514" si="23">(IFERROR(DATEDIF(A451,P451,"d"),0))</f>
        <v>0</v>
      </c>
    </row>
    <row r="452" spans="1:19" x14ac:dyDescent="0.3">
      <c r="A452" s="10">
        <v>45770</v>
      </c>
      <c r="B452" t="s">
        <v>467</v>
      </c>
      <c r="C452" t="s">
        <v>1132</v>
      </c>
      <c r="D452" t="s">
        <v>1134</v>
      </c>
      <c r="E452" t="s">
        <v>1142</v>
      </c>
      <c r="F452" t="s">
        <v>1150</v>
      </c>
      <c r="G452" t="s">
        <v>1156</v>
      </c>
      <c r="H452">
        <v>1</v>
      </c>
      <c r="I452">
        <v>75004</v>
      </c>
      <c r="J452" s="6">
        <v>10</v>
      </c>
      <c r="K452">
        <v>67503.600000000006</v>
      </c>
      <c r="L452">
        <v>67503.600000000006</v>
      </c>
      <c r="M452">
        <v>1000</v>
      </c>
      <c r="N452" t="s">
        <v>1159</v>
      </c>
      <c r="O452" t="s">
        <v>1164</v>
      </c>
      <c r="P452" s="10">
        <v>45772</v>
      </c>
      <c r="Q452" t="str">
        <f t="shared" si="21"/>
        <v>excellent</v>
      </c>
      <c r="R452">
        <f t="shared" si="22"/>
        <v>3</v>
      </c>
      <c r="S452" s="6">
        <f t="shared" si="23"/>
        <v>2</v>
      </c>
    </row>
    <row r="453" spans="1:19" x14ac:dyDescent="0.3">
      <c r="A453" s="10">
        <v>45728</v>
      </c>
      <c r="B453" t="s">
        <v>468</v>
      </c>
      <c r="C453" t="s">
        <v>1121</v>
      </c>
      <c r="D453" t="s">
        <v>1136</v>
      </c>
      <c r="E453" t="s">
        <v>1139</v>
      </c>
      <c r="F453" t="s">
        <v>1150</v>
      </c>
      <c r="G453" t="s">
        <v>1154</v>
      </c>
      <c r="H453">
        <v>4</v>
      </c>
      <c r="I453">
        <v>70713</v>
      </c>
      <c r="J453" s="6">
        <v>5</v>
      </c>
      <c r="K453">
        <v>67177.350000000006</v>
      </c>
      <c r="L453">
        <v>268709.40000000002</v>
      </c>
      <c r="M453">
        <v>1500</v>
      </c>
      <c r="N453" t="s">
        <v>1160</v>
      </c>
      <c r="O453" t="s">
        <v>1162</v>
      </c>
      <c r="Q453" t="str">
        <f t="shared" si="21"/>
        <v>okay</v>
      </c>
      <c r="R453">
        <f t="shared" si="22"/>
        <v>2</v>
      </c>
      <c r="S453" s="6">
        <f t="shared" si="23"/>
        <v>0</v>
      </c>
    </row>
    <row r="454" spans="1:19" x14ac:dyDescent="0.3">
      <c r="A454" s="10">
        <v>45671</v>
      </c>
      <c r="B454" t="s">
        <v>469</v>
      </c>
      <c r="C454" t="s">
        <v>1125</v>
      </c>
      <c r="D454" t="s">
        <v>1133</v>
      </c>
      <c r="E454" t="s">
        <v>1147</v>
      </c>
      <c r="F454" t="s">
        <v>1150</v>
      </c>
      <c r="G454" t="s">
        <v>1156</v>
      </c>
      <c r="H454">
        <v>5</v>
      </c>
      <c r="I454">
        <v>53147</v>
      </c>
      <c r="J454" s="6">
        <v>15</v>
      </c>
      <c r="K454">
        <v>45174.95</v>
      </c>
      <c r="L454">
        <v>225874.75</v>
      </c>
      <c r="M454">
        <v>2000</v>
      </c>
      <c r="N454" t="s">
        <v>1161</v>
      </c>
      <c r="O454" t="s">
        <v>1162</v>
      </c>
      <c r="Q454" t="str">
        <f t="shared" si="21"/>
        <v>okay</v>
      </c>
      <c r="R454">
        <f t="shared" si="22"/>
        <v>2</v>
      </c>
      <c r="S454" s="6">
        <f t="shared" si="23"/>
        <v>0</v>
      </c>
    </row>
    <row r="455" spans="1:19" x14ac:dyDescent="0.3">
      <c r="A455" s="10">
        <v>45668</v>
      </c>
      <c r="B455" t="s">
        <v>470</v>
      </c>
      <c r="C455" t="s">
        <v>1124</v>
      </c>
      <c r="D455" t="s">
        <v>1135</v>
      </c>
      <c r="E455" t="s">
        <v>1147</v>
      </c>
      <c r="F455" t="s">
        <v>1150</v>
      </c>
      <c r="G455" t="s">
        <v>1156</v>
      </c>
      <c r="H455">
        <v>3</v>
      </c>
      <c r="I455">
        <v>35489</v>
      </c>
      <c r="J455" s="6">
        <v>20</v>
      </c>
      <c r="K455">
        <v>28391.200000000001</v>
      </c>
      <c r="L455">
        <v>85173.6</v>
      </c>
      <c r="M455">
        <v>1000</v>
      </c>
      <c r="N455" t="s">
        <v>1160</v>
      </c>
      <c r="O455" t="s">
        <v>1164</v>
      </c>
      <c r="P455" s="10">
        <v>45677</v>
      </c>
      <c r="Q455" t="str">
        <f t="shared" si="21"/>
        <v>excellent</v>
      </c>
      <c r="R455">
        <f t="shared" si="22"/>
        <v>3</v>
      </c>
      <c r="S455" s="6">
        <f t="shared" si="23"/>
        <v>9</v>
      </c>
    </row>
    <row r="456" spans="1:19" x14ac:dyDescent="0.3">
      <c r="A456" s="10">
        <v>45836</v>
      </c>
      <c r="B456" t="s">
        <v>471</v>
      </c>
      <c r="C456" t="s">
        <v>1131</v>
      </c>
      <c r="D456" t="s">
        <v>1136</v>
      </c>
      <c r="E456" t="s">
        <v>1139</v>
      </c>
      <c r="F456" t="s">
        <v>1150</v>
      </c>
      <c r="G456" t="s">
        <v>1154</v>
      </c>
      <c r="H456">
        <v>2</v>
      </c>
      <c r="I456">
        <v>4560</v>
      </c>
      <c r="J456" s="6">
        <v>20</v>
      </c>
      <c r="K456">
        <v>3648</v>
      </c>
      <c r="L456">
        <v>7296</v>
      </c>
      <c r="M456">
        <v>1500</v>
      </c>
      <c r="N456" t="s">
        <v>1159</v>
      </c>
      <c r="O456" t="s">
        <v>1163</v>
      </c>
      <c r="Q456" t="str">
        <f t="shared" si="21"/>
        <v>no comment</v>
      </c>
      <c r="R456">
        <f t="shared" si="22"/>
        <v>1</v>
      </c>
      <c r="S456" s="6">
        <f t="shared" si="23"/>
        <v>0</v>
      </c>
    </row>
    <row r="457" spans="1:19" x14ac:dyDescent="0.3">
      <c r="A457" s="10">
        <v>45695</v>
      </c>
      <c r="B457" t="s">
        <v>472</v>
      </c>
      <c r="C457" t="s">
        <v>1118</v>
      </c>
      <c r="D457" t="s">
        <v>1134</v>
      </c>
      <c r="E457" t="s">
        <v>1145</v>
      </c>
      <c r="F457" t="s">
        <v>1149</v>
      </c>
      <c r="G457" t="s">
        <v>1153</v>
      </c>
      <c r="H457">
        <v>3</v>
      </c>
      <c r="I457">
        <v>51134</v>
      </c>
      <c r="J457" s="6">
        <v>5</v>
      </c>
      <c r="K457">
        <v>48577.3</v>
      </c>
      <c r="L457">
        <v>145731.9</v>
      </c>
      <c r="M457">
        <v>1000</v>
      </c>
      <c r="N457" t="s">
        <v>1160</v>
      </c>
      <c r="O457" t="s">
        <v>1162</v>
      </c>
      <c r="Q457" t="str">
        <f t="shared" si="21"/>
        <v>okay</v>
      </c>
      <c r="R457">
        <f t="shared" si="22"/>
        <v>2</v>
      </c>
      <c r="S457" s="6">
        <f t="shared" si="23"/>
        <v>0</v>
      </c>
    </row>
    <row r="458" spans="1:19" x14ac:dyDescent="0.3">
      <c r="A458" s="10">
        <v>45826</v>
      </c>
      <c r="B458" t="s">
        <v>473</v>
      </c>
      <c r="C458" t="s">
        <v>1122</v>
      </c>
      <c r="D458" t="s">
        <v>1136</v>
      </c>
      <c r="E458" t="s">
        <v>1147</v>
      </c>
      <c r="F458" t="s">
        <v>1150</v>
      </c>
      <c r="G458" t="s">
        <v>1156</v>
      </c>
      <c r="H458">
        <v>4</v>
      </c>
      <c r="I458">
        <v>11016</v>
      </c>
      <c r="J458" s="6">
        <v>0</v>
      </c>
      <c r="K458">
        <v>11016</v>
      </c>
      <c r="L458">
        <v>44064</v>
      </c>
      <c r="M458">
        <v>1500</v>
      </c>
      <c r="N458" t="s">
        <v>1159</v>
      </c>
      <c r="O458" t="s">
        <v>1162</v>
      </c>
      <c r="Q458" t="str">
        <f t="shared" si="21"/>
        <v>okay</v>
      </c>
      <c r="R458">
        <f t="shared" si="22"/>
        <v>2</v>
      </c>
      <c r="S458" s="6">
        <f t="shared" si="23"/>
        <v>0</v>
      </c>
    </row>
    <row r="459" spans="1:19" x14ac:dyDescent="0.3">
      <c r="A459" s="10">
        <v>45826</v>
      </c>
      <c r="B459" t="s">
        <v>474</v>
      </c>
      <c r="C459" t="s">
        <v>1117</v>
      </c>
      <c r="D459" t="s">
        <v>1133</v>
      </c>
      <c r="E459" t="s">
        <v>1137</v>
      </c>
      <c r="F459" t="s">
        <v>1149</v>
      </c>
      <c r="G459" t="s">
        <v>1152</v>
      </c>
      <c r="H459">
        <v>3</v>
      </c>
      <c r="I459">
        <v>78228</v>
      </c>
      <c r="J459" s="6">
        <v>10</v>
      </c>
      <c r="K459">
        <v>70405.2</v>
      </c>
      <c r="L459">
        <v>211215.6</v>
      </c>
      <c r="M459">
        <v>1500</v>
      </c>
      <c r="N459" t="s">
        <v>1159</v>
      </c>
      <c r="O459" t="s">
        <v>1164</v>
      </c>
      <c r="P459" s="10">
        <v>45833</v>
      </c>
      <c r="Q459" t="str">
        <f t="shared" si="21"/>
        <v>excellent</v>
      </c>
      <c r="R459">
        <f t="shared" si="22"/>
        <v>3</v>
      </c>
      <c r="S459" s="6">
        <f t="shared" si="23"/>
        <v>7</v>
      </c>
    </row>
    <row r="460" spans="1:19" x14ac:dyDescent="0.3">
      <c r="A460" s="10">
        <v>45714</v>
      </c>
      <c r="B460" t="s">
        <v>475</v>
      </c>
      <c r="C460" t="s">
        <v>1121</v>
      </c>
      <c r="D460" t="s">
        <v>1136</v>
      </c>
      <c r="E460" t="s">
        <v>1144</v>
      </c>
      <c r="F460" t="s">
        <v>1151</v>
      </c>
      <c r="G460" t="s">
        <v>1157</v>
      </c>
      <c r="H460">
        <v>3</v>
      </c>
      <c r="I460">
        <v>9041</v>
      </c>
      <c r="J460" s="6">
        <v>20</v>
      </c>
      <c r="K460">
        <v>7232.8</v>
      </c>
      <c r="L460">
        <v>21698.400000000001</v>
      </c>
      <c r="M460">
        <v>1500</v>
      </c>
      <c r="N460" t="s">
        <v>1160</v>
      </c>
      <c r="O460" t="s">
        <v>1163</v>
      </c>
      <c r="Q460" t="str">
        <f t="shared" si="21"/>
        <v>no comment</v>
      </c>
      <c r="R460">
        <f t="shared" si="22"/>
        <v>1</v>
      </c>
      <c r="S460" s="6">
        <f t="shared" si="23"/>
        <v>0</v>
      </c>
    </row>
    <row r="461" spans="1:19" x14ac:dyDescent="0.3">
      <c r="A461" s="10">
        <v>45814</v>
      </c>
      <c r="B461" t="s">
        <v>476</v>
      </c>
      <c r="C461" t="s">
        <v>1119</v>
      </c>
      <c r="D461" t="s">
        <v>1134</v>
      </c>
      <c r="E461" t="s">
        <v>1143</v>
      </c>
      <c r="F461" t="s">
        <v>1151</v>
      </c>
      <c r="G461" t="s">
        <v>1157</v>
      </c>
      <c r="H461">
        <v>1</v>
      </c>
      <c r="I461">
        <v>2660</v>
      </c>
      <c r="J461" s="6">
        <v>0</v>
      </c>
      <c r="K461">
        <v>2660</v>
      </c>
      <c r="L461">
        <v>2660</v>
      </c>
      <c r="M461">
        <v>2000</v>
      </c>
      <c r="N461" t="s">
        <v>1159</v>
      </c>
      <c r="O461" t="s">
        <v>1163</v>
      </c>
      <c r="Q461" t="str">
        <f t="shared" si="21"/>
        <v>no comment</v>
      </c>
      <c r="R461">
        <f t="shared" si="22"/>
        <v>1</v>
      </c>
      <c r="S461" s="6">
        <f t="shared" si="23"/>
        <v>0</v>
      </c>
    </row>
    <row r="462" spans="1:19" x14ac:dyDescent="0.3">
      <c r="A462" s="10">
        <v>45810</v>
      </c>
      <c r="B462" t="s">
        <v>477</v>
      </c>
      <c r="C462" t="s">
        <v>1131</v>
      </c>
      <c r="D462" t="s">
        <v>1136</v>
      </c>
      <c r="E462" t="s">
        <v>1143</v>
      </c>
      <c r="F462" t="s">
        <v>1151</v>
      </c>
      <c r="G462" t="s">
        <v>1157</v>
      </c>
      <c r="H462">
        <v>1</v>
      </c>
      <c r="I462">
        <v>32404</v>
      </c>
      <c r="J462" s="6">
        <v>5</v>
      </c>
      <c r="K462">
        <v>30783.8</v>
      </c>
      <c r="L462">
        <v>30783.8</v>
      </c>
      <c r="M462">
        <v>1000</v>
      </c>
      <c r="N462" t="s">
        <v>1161</v>
      </c>
      <c r="O462" t="s">
        <v>1162</v>
      </c>
      <c r="Q462" t="str">
        <f t="shared" si="21"/>
        <v>okay</v>
      </c>
      <c r="R462">
        <f t="shared" si="22"/>
        <v>2</v>
      </c>
      <c r="S462" s="6">
        <f t="shared" si="23"/>
        <v>0</v>
      </c>
    </row>
    <row r="463" spans="1:19" x14ac:dyDescent="0.3">
      <c r="A463" s="10">
        <v>45807</v>
      </c>
      <c r="B463" t="s">
        <v>478</v>
      </c>
      <c r="C463" t="s">
        <v>1118</v>
      </c>
      <c r="D463" t="s">
        <v>1134</v>
      </c>
      <c r="E463" t="s">
        <v>1143</v>
      </c>
      <c r="F463" t="s">
        <v>1151</v>
      </c>
      <c r="G463" t="s">
        <v>1157</v>
      </c>
      <c r="H463">
        <v>3</v>
      </c>
      <c r="I463">
        <v>28761</v>
      </c>
      <c r="J463" s="6">
        <v>10</v>
      </c>
      <c r="K463">
        <v>25884.9</v>
      </c>
      <c r="L463">
        <v>77654.700000000012</v>
      </c>
      <c r="M463">
        <v>2000</v>
      </c>
      <c r="N463" t="s">
        <v>1161</v>
      </c>
      <c r="O463" t="s">
        <v>1164</v>
      </c>
      <c r="P463" s="10">
        <v>45819</v>
      </c>
      <c r="Q463" t="str">
        <f t="shared" si="21"/>
        <v>excellent</v>
      </c>
      <c r="R463">
        <f t="shared" si="22"/>
        <v>3</v>
      </c>
      <c r="S463" s="6">
        <f t="shared" si="23"/>
        <v>12</v>
      </c>
    </row>
    <row r="464" spans="1:19" x14ac:dyDescent="0.3">
      <c r="A464" s="10">
        <v>45693</v>
      </c>
      <c r="B464" t="s">
        <v>479</v>
      </c>
      <c r="C464" t="s">
        <v>1129</v>
      </c>
      <c r="D464" t="s">
        <v>1133</v>
      </c>
      <c r="E464" t="s">
        <v>1146</v>
      </c>
      <c r="F464" t="s">
        <v>1151</v>
      </c>
      <c r="G464" t="s">
        <v>1155</v>
      </c>
      <c r="H464">
        <v>3</v>
      </c>
      <c r="I464">
        <v>49655</v>
      </c>
      <c r="J464" s="6">
        <v>20</v>
      </c>
      <c r="K464">
        <v>39724</v>
      </c>
      <c r="L464">
        <v>119172</v>
      </c>
      <c r="M464">
        <v>2000</v>
      </c>
      <c r="N464" t="s">
        <v>1161</v>
      </c>
      <c r="O464" t="s">
        <v>1164</v>
      </c>
      <c r="P464" s="10">
        <v>45700</v>
      </c>
      <c r="Q464" t="str">
        <f t="shared" si="21"/>
        <v>excellent</v>
      </c>
      <c r="R464">
        <f t="shared" si="22"/>
        <v>3</v>
      </c>
      <c r="S464" s="6">
        <f t="shared" si="23"/>
        <v>7</v>
      </c>
    </row>
    <row r="465" spans="1:19" x14ac:dyDescent="0.3">
      <c r="A465" s="10">
        <v>45674</v>
      </c>
      <c r="B465" t="s">
        <v>480</v>
      </c>
      <c r="C465" t="s">
        <v>1127</v>
      </c>
      <c r="D465" t="s">
        <v>1134</v>
      </c>
      <c r="E465" t="s">
        <v>1138</v>
      </c>
      <c r="F465" t="s">
        <v>1149</v>
      </c>
      <c r="G465" t="s">
        <v>1153</v>
      </c>
      <c r="H465">
        <v>4</v>
      </c>
      <c r="I465">
        <v>11992</v>
      </c>
      <c r="J465" s="6">
        <v>20</v>
      </c>
      <c r="K465">
        <v>9593.6</v>
      </c>
      <c r="L465">
        <v>38374.400000000001</v>
      </c>
      <c r="M465">
        <v>2000</v>
      </c>
      <c r="N465" t="s">
        <v>1160</v>
      </c>
      <c r="O465" t="s">
        <v>1162</v>
      </c>
      <c r="Q465" t="str">
        <f t="shared" si="21"/>
        <v>okay</v>
      </c>
      <c r="R465">
        <f t="shared" si="22"/>
        <v>2</v>
      </c>
      <c r="S465" s="6">
        <f t="shared" si="23"/>
        <v>0</v>
      </c>
    </row>
    <row r="466" spans="1:19" x14ac:dyDescent="0.3">
      <c r="A466" s="10">
        <v>45832</v>
      </c>
      <c r="B466" t="s">
        <v>481</v>
      </c>
      <c r="C466" t="s">
        <v>1127</v>
      </c>
      <c r="D466" t="s">
        <v>1134</v>
      </c>
      <c r="E466" t="s">
        <v>1144</v>
      </c>
      <c r="F466" t="s">
        <v>1151</v>
      </c>
      <c r="G466" t="s">
        <v>1157</v>
      </c>
      <c r="H466">
        <v>2</v>
      </c>
      <c r="I466">
        <v>64290</v>
      </c>
      <c r="J466" s="6">
        <v>0</v>
      </c>
      <c r="K466">
        <v>64290</v>
      </c>
      <c r="L466">
        <v>128580</v>
      </c>
      <c r="M466">
        <v>1000</v>
      </c>
      <c r="N466" t="s">
        <v>1160</v>
      </c>
      <c r="O466" t="s">
        <v>1163</v>
      </c>
      <c r="Q466" t="str">
        <f t="shared" si="21"/>
        <v>no comment</v>
      </c>
      <c r="R466">
        <f t="shared" si="22"/>
        <v>1</v>
      </c>
      <c r="S466" s="6">
        <f t="shared" si="23"/>
        <v>0</v>
      </c>
    </row>
    <row r="467" spans="1:19" x14ac:dyDescent="0.3">
      <c r="A467" s="10">
        <v>45785</v>
      </c>
      <c r="B467" t="s">
        <v>482</v>
      </c>
      <c r="C467" t="s">
        <v>1130</v>
      </c>
      <c r="D467" t="s">
        <v>1136</v>
      </c>
      <c r="E467" t="s">
        <v>1139</v>
      </c>
      <c r="F467" t="s">
        <v>1150</v>
      </c>
      <c r="G467" t="s">
        <v>1154</v>
      </c>
      <c r="H467">
        <v>2</v>
      </c>
      <c r="I467">
        <v>17986</v>
      </c>
      <c r="J467" s="6">
        <v>5</v>
      </c>
      <c r="K467">
        <v>17086.7</v>
      </c>
      <c r="L467">
        <v>34173.4</v>
      </c>
      <c r="M467">
        <v>2000</v>
      </c>
      <c r="N467" t="s">
        <v>1159</v>
      </c>
      <c r="O467" t="s">
        <v>1164</v>
      </c>
      <c r="P467" s="10">
        <v>45790</v>
      </c>
      <c r="Q467" t="str">
        <f t="shared" si="21"/>
        <v>excellent</v>
      </c>
      <c r="R467">
        <f t="shared" si="22"/>
        <v>3</v>
      </c>
      <c r="S467" s="6">
        <f t="shared" si="23"/>
        <v>5</v>
      </c>
    </row>
    <row r="468" spans="1:19" x14ac:dyDescent="0.3">
      <c r="A468" s="10">
        <v>45807</v>
      </c>
      <c r="B468" t="s">
        <v>483</v>
      </c>
      <c r="C468" t="s">
        <v>1125</v>
      </c>
      <c r="D468" t="s">
        <v>1133</v>
      </c>
      <c r="E468" t="s">
        <v>1141</v>
      </c>
      <c r="F468" t="s">
        <v>1151</v>
      </c>
      <c r="G468" t="s">
        <v>1155</v>
      </c>
      <c r="H468">
        <v>2</v>
      </c>
      <c r="I468">
        <v>61042</v>
      </c>
      <c r="J468" s="6">
        <v>10</v>
      </c>
      <c r="K468">
        <v>54937.8</v>
      </c>
      <c r="L468">
        <v>109875.6</v>
      </c>
      <c r="M468">
        <v>2000</v>
      </c>
      <c r="N468" t="s">
        <v>1160</v>
      </c>
      <c r="O468" t="s">
        <v>1164</v>
      </c>
      <c r="P468" s="10">
        <v>45818</v>
      </c>
      <c r="Q468" t="str">
        <f t="shared" si="21"/>
        <v>excellent</v>
      </c>
      <c r="R468">
        <f t="shared" si="22"/>
        <v>3</v>
      </c>
      <c r="S468" s="6">
        <f t="shared" si="23"/>
        <v>11</v>
      </c>
    </row>
    <row r="469" spans="1:19" x14ac:dyDescent="0.3">
      <c r="A469" s="10">
        <v>45822</v>
      </c>
      <c r="B469" t="s">
        <v>484</v>
      </c>
      <c r="C469" t="s">
        <v>1126</v>
      </c>
      <c r="D469" t="s">
        <v>1133</v>
      </c>
      <c r="E469" t="s">
        <v>1142</v>
      </c>
      <c r="F469" t="s">
        <v>1150</v>
      </c>
      <c r="G469" t="s">
        <v>1156</v>
      </c>
      <c r="H469">
        <v>2</v>
      </c>
      <c r="I469">
        <v>32961</v>
      </c>
      <c r="J469" s="6">
        <v>10</v>
      </c>
      <c r="K469">
        <v>29664.9</v>
      </c>
      <c r="L469">
        <v>59329.8</v>
      </c>
      <c r="M469">
        <v>1500</v>
      </c>
      <c r="N469" t="s">
        <v>1160</v>
      </c>
      <c r="O469" t="s">
        <v>1163</v>
      </c>
      <c r="Q469" t="str">
        <f t="shared" si="21"/>
        <v>no comment</v>
      </c>
      <c r="R469">
        <f t="shared" si="22"/>
        <v>1</v>
      </c>
      <c r="S469" s="6">
        <f t="shared" si="23"/>
        <v>0</v>
      </c>
    </row>
    <row r="470" spans="1:19" x14ac:dyDescent="0.3">
      <c r="A470" s="10">
        <v>45725</v>
      </c>
      <c r="B470" t="s">
        <v>485</v>
      </c>
      <c r="C470" t="s">
        <v>1117</v>
      </c>
      <c r="D470" t="s">
        <v>1133</v>
      </c>
      <c r="E470" t="s">
        <v>1142</v>
      </c>
      <c r="F470" t="s">
        <v>1150</v>
      </c>
      <c r="G470" t="s">
        <v>1156</v>
      </c>
      <c r="H470">
        <v>3</v>
      </c>
      <c r="I470">
        <v>69489</v>
      </c>
      <c r="J470" s="6">
        <v>10</v>
      </c>
      <c r="K470">
        <v>62540.1</v>
      </c>
      <c r="L470">
        <v>187620.3</v>
      </c>
      <c r="M470">
        <v>1000</v>
      </c>
      <c r="N470" t="s">
        <v>1160</v>
      </c>
      <c r="O470" t="s">
        <v>1163</v>
      </c>
      <c r="Q470" t="str">
        <f t="shared" si="21"/>
        <v>no comment</v>
      </c>
      <c r="R470">
        <f t="shared" si="22"/>
        <v>1</v>
      </c>
      <c r="S470" s="6">
        <f t="shared" si="23"/>
        <v>0</v>
      </c>
    </row>
    <row r="471" spans="1:19" x14ac:dyDescent="0.3">
      <c r="A471" s="10">
        <v>45680</v>
      </c>
      <c r="B471" t="s">
        <v>486</v>
      </c>
      <c r="C471" t="s">
        <v>1125</v>
      </c>
      <c r="D471" t="s">
        <v>1133</v>
      </c>
      <c r="E471" t="s">
        <v>1146</v>
      </c>
      <c r="F471" t="s">
        <v>1151</v>
      </c>
      <c r="G471" t="s">
        <v>1155</v>
      </c>
      <c r="H471">
        <v>1</v>
      </c>
      <c r="I471">
        <v>14725</v>
      </c>
      <c r="J471" s="6">
        <v>10</v>
      </c>
      <c r="K471">
        <v>13252.5</v>
      </c>
      <c r="L471">
        <v>13252.5</v>
      </c>
      <c r="M471">
        <v>1500</v>
      </c>
      <c r="N471" t="s">
        <v>1161</v>
      </c>
      <c r="O471" t="s">
        <v>1162</v>
      </c>
      <c r="Q471" t="str">
        <f t="shared" si="21"/>
        <v>okay</v>
      </c>
      <c r="R471">
        <f t="shared" si="22"/>
        <v>2</v>
      </c>
      <c r="S471" s="6">
        <f t="shared" si="23"/>
        <v>0</v>
      </c>
    </row>
    <row r="472" spans="1:19" x14ac:dyDescent="0.3">
      <c r="A472" s="10">
        <v>45746</v>
      </c>
      <c r="B472" t="s">
        <v>487</v>
      </c>
      <c r="C472" t="s">
        <v>1121</v>
      </c>
      <c r="D472" t="s">
        <v>1136</v>
      </c>
      <c r="E472" t="s">
        <v>1144</v>
      </c>
      <c r="F472" t="s">
        <v>1151</v>
      </c>
      <c r="G472" t="s">
        <v>1157</v>
      </c>
      <c r="H472">
        <v>5</v>
      </c>
      <c r="I472">
        <v>9632</v>
      </c>
      <c r="J472" s="6">
        <v>15</v>
      </c>
      <c r="K472">
        <v>8187.2</v>
      </c>
      <c r="L472">
        <v>40936</v>
      </c>
      <c r="M472">
        <v>1500</v>
      </c>
      <c r="N472" t="s">
        <v>1161</v>
      </c>
      <c r="O472" t="s">
        <v>1163</v>
      </c>
      <c r="Q472" t="str">
        <f t="shared" si="21"/>
        <v>no comment</v>
      </c>
      <c r="R472">
        <f t="shared" si="22"/>
        <v>1</v>
      </c>
      <c r="S472" s="6">
        <f t="shared" si="23"/>
        <v>0</v>
      </c>
    </row>
    <row r="473" spans="1:19" x14ac:dyDescent="0.3">
      <c r="A473" s="10">
        <v>45756</v>
      </c>
      <c r="B473" t="s">
        <v>488</v>
      </c>
      <c r="C473" t="s">
        <v>1128</v>
      </c>
      <c r="D473" t="s">
        <v>1135</v>
      </c>
      <c r="E473" t="s">
        <v>1144</v>
      </c>
      <c r="F473" t="s">
        <v>1151</v>
      </c>
      <c r="G473" t="s">
        <v>1157</v>
      </c>
      <c r="H473">
        <v>2</v>
      </c>
      <c r="I473">
        <v>71706</v>
      </c>
      <c r="J473" s="6">
        <v>5</v>
      </c>
      <c r="K473">
        <v>68120.7</v>
      </c>
      <c r="L473">
        <v>136241.4</v>
      </c>
      <c r="M473">
        <v>1500</v>
      </c>
      <c r="N473" t="s">
        <v>1159</v>
      </c>
      <c r="O473" t="s">
        <v>1163</v>
      </c>
      <c r="Q473" t="str">
        <f t="shared" si="21"/>
        <v>no comment</v>
      </c>
      <c r="R473">
        <f t="shared" si="22"/>
        <v>1</v>
      </c>
      <c r="S473" s="6">
        <f t="shared" si="23"/>
        <v>0</v>
      </c>
    </row>
    <row r="474" spans="1:19" x14ac:dyDescent="0.3">
      <c r="A474" s="10">
        <v>45775</v>
      </c>
      <c r="B474" t="s">
        <v>489</v>
      </c>
      <c r="C474" t="s">
        <v>1121</v>
      </c>
      <c r="D474" t="s">
        <v>1136</v>
      </c>
      <c r="E474" t="s">
        <v>1139</v>
      </c>
      <c r="F474" t="s">
        <v>1150</v>
      </c>
      <c r="G474" t="s">
        <v>1154</v>
      </c>
      <c r="H474">
        <v>2</v>
      </c>
      <c r="I474">
        <v>54808</v>
      </c>
      <c r="J474" s="6">
        <v>0</v>
      </c>
      <c r="K474">
        <v>54808</v>
      </c>
      <c r="L474">
        <v>109616</v>
      </c>
      <c r="M474">
        <v>1000</v>
      </c>
      <c r="N474" t="s">
        <v>1160</v>
      </c>
      <c r="O474" t="s">
        <v>1162</v>
      </c>
      <c r="Q474" t="str">
        <f t="shared" si="21"/>
        <v>okay</v>
      </c>
      <c r="R474">
        <f t="shared" si="22"/>
        <v>2</v>
      </c>
      <c r="S474" s="6">
        <f t="shared" si="23"/>
        <v>0</v>
      </c>
    </row>
    <row r="475" spans="1:19" x14ac:dyDescent="0.3">
      <c r="A475" s="10">
        <v>45790</v>
      </c>
      <c r="B475" t="s">
        <v>490</v>
      </c>
      <c r="C475" t="s">
        <v>1130</v>
      </c>
      <c r="D475" t="s">
        <v>1136</v>
      </c>
      <c r="E475" t="s">
        <v>1141</v>
      </c>
      <c r="F475" t="s">
        <v>1151</v>
      </c>
      <c r="G475" t="s">
        <v>1155</v>
      </c>
      <c r="H475">
        <v>1</v>
      </c>
      <c r="I475">
        <v>60805</v>
      </c>
      <c r="J475" s="6">
        <v>20</v>
      </c>
      <c r="K475">
        <v>48644</v>
      </c>
      <c r="L475">
        <v>48644</v>
      </c>
      <c r="M475">
        <v>1500</v>
      </c>
      <c r="N475" t="s">
        <v>1160</v>
      </c>
      <c r="O475" t="s">
        <v>1163</v>
      </c>
      <c r="Q475" t="str">
        <f t="shared" si="21"/>
        <v>no comment</v>
      </c>
      <c r="R475">
        <f t="shared" si="22"/>
        <v>1</v>
      </c>
      <c r="S475" s="6">
        <f t="shared" si="23"/>
        <v>0</v>
      </c>
    </row>
    <row r="476" spans="1:19" x14ac:dyDescent="0.3">
      <c r="A476" s="10">
        <v>45747</v>
      </c>
      <c r="B476" t="s">
        <v>491</v>
      </c>
      <c r="C476" t="s">
        <v>1130</v>
      </c>
      <c r="D476" t="s">
        <v>1136</v>
      </c>
      <c r="E476" t="s">
        <v>1138</v>
      </c>
      <c r="F476" t="s">
        <v>1149</v>
      </c>
      <c r="G476" t="s">
        <v>1153</v>
      </c>
      <c r="H476">
        <v>5</v>
      </c>
      <c r="I476">
        <v>48122</v>
      </c>
      <c r="J476" s="6">
        <v>5</v>
      </c>
      <c r="K476">
        <v>45715.9</v>
      </c>
      <c r="L476">
        <v>228579.5</v>
      </c>
      <c r="M476">
        <v>2000</v>
      </c>
      <c r="N476" t="s">
        <v>1161</v>
      </c>
      <c r="O476" t="s">
        <v>1164</v>
      </c>
      <c r="P476" s="10">
        <v>45749</v>
      </c>
      <c r="Q476" t="str">
        <f t="shared" si="21"/>
        <v>excellent</v>
      </c>
      <c r="R476">
        <f t="shared" si="22"/>
        <v>3</v>
      </c>
      <c r="S476" s="6">
        <f t="shared" si="23"/>
        <v>2</v>
      </c>
    </row>
    <row r="477" spans="1:19" x14ac:dyDescent="0.3">
      <c r="A477" s="10">
        <v>45676</v>
      </c>
      <c r="B477" t="s">
        <v>492</v>
      </c>
      <c r="C477" t="s">
        <v>1123</v>
      </c>
      <c r="D477" t="s">
        <v>1135</v>
      </c>
      <c r="E477" t="s">
        <v>1138</v>
      </c>
      <c r="F477" t="s">
        <v>1149</v>
      </c>
      <c r="G477" t="s">
        <v>1153</v>
      </c>
      <c r="H477">
        <v>1</v>
      </c>
      <c r="I477">
        <v>2111</v>
      </c>
      <c r="J477" s="6">
        <v>0</v>
      </c>
      <c r="K477">
        <v>2111</v>
      </c>
      <c r="L477">
        <v>2111</v>
      </c>
      <c r="M477">
        <v>2000</v>
      </c>
      <c r="N477" t="s">
        <v>1161</v>
      </c>
      <c r="O477" t="s">
        <v>1164</v>
      </c>
      <c r="P477" s="10">
        <v>45688</v>
      </c>
      <c r="Q477" t="str">
        <f t="shared" si="21"/>
        <v>excellent</v>
      </c>
      <c r="R477">
        <f t="shared" si="22"/>
        <v>3</v>
      </c>
      <c r="S477" s="6">
        <f t="shared" si="23"/>
        <v>12</v>
      </c>
    </row>
    <row r="478" spans="1:19" x14ac:dyDescent="0.3">
      <c r="A478" s="10">
        <v>45817</v>
      </c>
      <c r="B478" t="s">
        <v>493</v>
      </c>
      <c r="C478" t="s">
        <v>1130</v>
      </c>
      <c r="D478" t="s">
        <v>1136</v>
      </c>
      <c r="E478" t="s">
        <v>1143</v>
      </c>
      <c r="F478" t="s">
        <v>1151</v>
      </c>
      <c r="G478" t="s">
        <v>1157</v>
      </c>
      <c r="H478">
        <v>4</v>
      </c>
      <c r="I478">
        <v>57315</v>
      </c>
      <c r="J478" s="6">
        <v>20</v>
      </c>
      <c r="K478">
        <v>45852</v>
      </c>
      <c r="L478">
        <v>183408</v>
      </c>
      <c r="M478">
        <v>1000</v>
      </c>
      <c r="N478" t="s">
        <v>1161</v>
      </c>
      <c r="O478" t="s">
        <v>1164</v>
      </c>
      <c r="P478" s="10">
        <v>45820</v>
      </c>
      <c r="Q478" t="str">
        <f t="shared" si="21"/>
        <v>excellent</v>
      </c>
      <c r="R478">
        <f t="shared" si="22"/>
        <v>3</v>
      </c>
      <c r="S478" s="6">
        <f t="shared" si="23"/>
        <v>3</v>
      </c>
    </row>
    <row r="479" spans="1:19" x14ac:dyDescent="0.3">
      <c r="A479" s="10">
        <v>45675</v>
      </c>
      <c r="B479" t="s">
        <v>494</v>
      </c>
      <c r="C479" t="s">
        <v>1121</v>
      </c>
      <c r="D479" t="s">
        <v>1136</v>
      </c>
      <c r="E479" t="s">
        <v>1142</v>
      </c>
      <c r="F479" t="s">
        <v>1150</v>
      </c>
      <c r="G479" t="s">
        <v>1156</v>
      </c>
      <c r="H479">
        <v>5</v>
      </c>
      <c r="I479">
        <v>5237</v>
      </c>
      <c r="J479" s="6">
        <v>0</v>
      </c>
      <c r="K479">
        <v>5237</v>
      </c>
      <c r="L479">
        <v>26185</v>
      </c>
      <c r="M479">
        <v>2000</v>
      </c>
      <c r="N479" t="s">
        <v>1160</v>
      </c>
      <c r="O479" t="s">
        <v>1164</v>
      </c>
      <c r="P479" s="10">
        <v>45689</v>
      </c>
      <c r="Q479" t="str">
        <f t="shared" si="21"/>
        <v>excellent</v>
      </c>
      <c r="R479">
        <f t="shared" si="22"/>
        <v>3</v>
      </c>
      <c r="S479" s="6">
        <f t="shared" si="23"/>
        <v>14</v>
      </c>
    </row>
    <row r="480" spans="1:19" x14ac:dyDescent="0.3">
      <c r="A480" s="10">
        <v>45831</v>
      </c>
      <c r="B480" t="s">
        <v>495</v>
      </c>
      <c r="C480" t="s">
        <v>1129</v>
      </c>
      <c r="D480" t="s">
        <v>1133</v>
      </c>
      <c r="E480" t="s">
        <v>1139</v>
      </c>
      <c r="F480" t="s">
        <v>1150</v>
      </c>
      <c r="G480" t="s">
        <v>1154</v>
      </c>
      <c r="H480">
        <v>5</v>
      </c>
      <c r="I480">
        <v>56002</v>
      </c>
      <c r="J480" s="6">
        <v>15</v>
      </c>
      <c r="K480">
        <v>47601.7</v>
      </c>
      <c r="L480">
        <v>238008.5</v>
      </c>
      <c r="M480">
        <v>1000</v>
      </c>
      <c r="N480" t="s">
        <v>1159</v>
      </c>
      <c r="O480" t="s">
        <v>1162</v>
      </c>
      <c r="Q480" t="str">
        <f t="shared" si="21"/>
        <v>okay</v>
      </c>
      <c r="R480">
        <f t="shared" si="22"/>
        <v>2</v>
      </c>
      <c r="S480" s="6">
        <f t="shared" si="23"/>
        <v>0</v>
      </c>
    </row>
    <row r="481" spans="1:19" x14ac:dyDescent="0.3">
      <c r="A481" s="10">
        <v>45743</v>
      </c>
      <c r="B481" t="s">
        <v>496</v>
      </c>
      <c r="C481" t="s">
        <v>1123</v>
      </c>
      <c r="D481" t="s">
        <v>1135</v>
      </c>
      <c r="E481" t="s">
        <v>1141</v>
      </c>
      <c r="F481" t="s">
        <v>1151</v>
      </c>
      <c r="G481" t="s">
        <v>1155</v>
      </c>
      <c r="H481">
        <v>1</v>
      </c>
      <c r="I481">
        <v>21313</v>
      </c>
      <c r="J481" s="6">
        <v>10</v>
      </c>
      <c r="K481">
        <v>19181.7</v>
      </c>
      <c r="L481">
        <v>19181.7</v>
      </c>
      <c r="M481">
        <v>1000</v>
      </c>
      <c r="N481" t="s">
        <v>1161</v>
      </c>
      <c r="O481" t="s">
        <v>1163</v>
      </c>
      <c r="Q481" t="str">
        <f t="shared" si="21"/>
        <v>no comment</v>
      </c>
      <c r="R481">
        <f t="shared" si="22"/>
        <v>1</v>
      </c>
      <c r="S481" s="6">
        <f t="shared" si="23"/>
        <v>0</v>
      </c>
    </row>
    <row r="482" spans="1:19" x14ac:dyDescent="0.3">
      <c r="A482" s="10">
        <v>45771</v>
      </c>
      <c r="B482" t="s">
        <v>497</v>
      </c>
      <c r="C482" t="s">
        <v>1122</v>
      </c>
      <c r="D482" t="s">
        <v>1136</v>
      </c>
      <c r="E482" t="s">
        <v>1148</v>
      </c>
      <c r="F482" t="s">
        <v>1149</v>
      </c>
      <c r="G482" t="s">
        <v>1152</v>
      </c>
      <c r="H482">
        <v>3</v>
      </c>
      <c r="I482">
        <v>5486</v>
      </c>
      <c r="J482" s="6">
        <v>5</v>
      </c>
      <c r="K482">
        <v>5211.7</v>
      </c>
      <c r="L482">
        <v>15635.1</v>
      </c>
      <c r="M482">
        <v>1000</v>
      </c>
      <c r="N482" t="s">
        <v>1159</v>
      </c>
      <c r="O482" t="s">
        <v>1162</v>
      </c>
      <c r="Q482" t="str">
        <f t="shared" si="21"/>
        <v>okay</v>
      </c>
      <c r="R482">
        <f t="shared" si="22"/>
        <v>2</v>
      </c>
      <c r="S482" s="6">
        <f t="shared" si="23"/>
        <v>0</v>
      </c>
    </row>
    <row r="483" spans="1:19" x14ac:dyDescent="0.3">
      <c r="A483" s="10">
        <v>45796</v>
      </c>
      <c r="B483" t="s">
        <v>498</v>
      </c>
      <c r="C483" t="s">
        <v>1122</v>
      </c>
      <c r="D483" t="s">
        <v>1136</v>
      </c>
      <c r="E483" t="s">
        <v>1144</v>
      </c>
      <c r="F483" t="s">
        <v>1151</v>
      </c>
      <c r="G483" t="s">
        <v>1157</v>
      </c>
      <c r="H483">
        <v>3</v>
      </c>
      <c r="I483">
        <v>79382</v>
      </c>
      <c r="J483" s="6">
        <v>5</v>
      </c>
      <c r="K483">
        <v>75412.899999999994</v>
      </c>
      <c r="L483">
        <v>226238.7</v>
      </c>
      <c r="M483">
        <v>2000</v>
      </c>
      <c r="N483" t="s">
        <v>1159</v>
      </c>
      <c r="O483" t="s">
        <v>1162</v>
      </c>
      <c r="Q483" t="str">
        <f t="shared" si="21"/>
        <v>okay</v>
      </c>
      <c r="R483">
        <f t="shared" si="22"/>
        <v>2</v>
      </c>
      <c r="S483" s="6">
        <f t="shared" si="23"/>
        <v>0</v>
      </c>
    </row>
    <row r="484" spans="1:19" x14ac:dyDescent="0.3">
      <c r="A484" s="10">
        <v>45794</v>
      </c>
      <c r="B484" t="s">
        <v>499</v>
      </c>
      <c r="C484" t="s">
        <v>1132</v>
      </c>
      <c r="D484" t="s">
        <v>1134</v>
      </c>
      <c r="E484" t="s">
        <v>1147</v>
      </c>
      <c r="F484" t="s">
        <v>1150</v>
      </c>
      <c r="G484" t="s">
        <v>1156</v>
      </c>
      <c r="H484">
        <v>4</v>
      </c>
      <c r="I484">
        <v>54582</v>
      </c>
      <c r="J484" s="6">
        <v>15</v>
      </c>
      <c r="K484">
        <v>46394.7</v>
      </c>
      <c r="L484">
        <v>185578.8</v>
      </c>
      <c r="M484">
        <v>1000</v>
      </c>
      <c r="N484" t="s">
        <v>1160</v>
      </c>
      <c r="O484" t="s">
        <v>1163</v>
      </c>
      <c r="Q484" t="str">
        <f t="shared" si="21"/>
        <v>no comment</v>
      </c>
      <c r="R484">
        <f t="shared" si="22"/>
        <v>1</v>
      </c>
      <c r="S484" s="6">
        <f t="shared" si="23"/>
        <v>0</v>
      </c>
    </row>
    <row r="485" spans="1:19" x14ac:dyDescent="0.3">
      <c r="A485" s="10">
        <v>45658</v>
      </c>
      <c r="B485" t="s">
        <v>500</v>
      </c>
      <c r="C485" t="s">
        <v>1125</v>
      </c>
      <c r="D485" t="s">
        <v>1133</v>
      </c>
      <c r="E485" t="s">
        <v>1141</v>
      </c>
      <c r="F485" t="s">
        <v>1151</v>
      </c>
      <c r="G485" t="s">
        <v>1155</v>
      </c>
      <c r="H485">
        <v>4</v>
      </c>
      <c r="I485">
        <v>3163</v>
      </c>
      <c r="J485" s="6">
        <v>10</v>
      </c>
      <c r="K485">
        <v>2846.7</v>
      </c>
      <c r="L485">
        <v>11386.8</v>
      </c>
      <c r="M485">
        <v>1000</v>
      </c>
      <c r="N485" t="s">
        <v>1160</v>
      </c>
      <c r="O485" t="s">
        <v>1162</v>
      </c>
      <c r="Q485" t="str">
        <f t="shared" si="21"/>
        <v>okay</v>
      </c>
      <c r="R485">
        <f t="shared" si="22"/>
        <v>2</v>
      </c>
      <c r="S485" s="6">
        <f t="shared" si="23"/>
        <v>0</v>
      </c>
    </row>
    <row r="486" spans="1:19" x14ac:dyDescent="0.3">
      <c r="A486" s="10">
        <v>45747</v>
      </c>
      <c r="B486" t="s">
        <v>501</v>
      </c>
      <c r="C486" t="s">
        <v>1119</v>
      </c>
      <c r="D486" t="s">
        <v>1134</v>
      </c>
      <c r="E486" t="s">
        <v>1145</v>
      </c>
      <c r="F486" t="s">
        <v>1149</v>
      </c>
      <c r="G486" t="s">
        <v>1153</v>
      </c>
      <c r="H486">
        <v>2</v>
      </c>
      <c r="I486">
        <v>64732</v>
      </c>
      <c r="J486" s="6">
        <v>0</v>
      </c>
      <c r="K486">
        <v>64732</v>
      </c>
      <c r="L486">
        <v>129464</v>
      </c>
      <c r="M486">
        <v>2000</v>
      </c>
      <c r="N486" t="s">
        <v>1161</v>
      </c>
      <c r="O486" t="s">
        <v>1162</v>
      </c>
      <c r="Q486" t="str">
        <f t="shared" si="21"/>
        <v>okay</v>
      </c>
      <c r="R486">
        <f t="shared" si="22"/>
        <v>2</v>
      </c>
      <c r="S486" s="6">
        <f t="shared" si="23"/>
        <v>0</v>
      </c>
    </row>
    <row r="487" spans="1:19" x14ac:dyDescent="0.3">
      <c r="A487" s="10">
        <v>45731</v>
      </c>
      <c r="B487" t="s">
        <v>502</v>
      </c>
      <c r="C487" t="s">
        <v>1128</v>
      </c>
      <c r="D487" t="s">
        <v>1135</v>
      </c>
      <c r="E487" t="s">
        <v>1143</v>
      </c>
      <c r="F487" t="s">
        <v>1151</v>
      </c>
      <c r="G487" t="s">
        <v>1157</v>
      </c>
      <c r="H487">
        <v>1</v>
      </c>
      <c r="I487">
        <v>57149</v>
      </c>
      <c r="J487" s="6">
        <v>0</v>
      </c>
      <c r="K487">
        <v>57149</v>
      </c>
      <c r="L487">
        <v>57149</v>
      </c>
      <c r="M487">
        <v>1500</v>
      </c>
      <c r="N487" t="s">
        <v>1160</v>
      </c>
      <c r="O487" t="s">
        <v>1162</v>
      </c>
      <c r="Q487" t="str">
        <f t="shared" si="21"/>
        <v>okay</v>
      </c>
      <c r="R487">
        <f t="shared" si="22"/>
        <v>2</v>
      </c>
      <c r="S487" s="6">
        <f t="shared" si="23"/>
        <v>0</v>
      </c>
    </row>
    <row r="488" spans="1:19" x14ac:dyDescent="0.3">
      <c r="A488" s="10">
        <v>45837</v>
      </c>
      <c r="B488" t="s">
        <v>503</v>
      </c>
      <c r="C488" t="s">
        <v>1132</v>
      </c>
      <c r="D488" t="s">
        <v>1134</v>
      </c>
      <c r="E488" t="s">
        <v>1143</v>
      </c>
      <c r="F488" t="s">
        <v>1151</v>
      </c>
      <c r="G488" t="s">
        <v>1157</v>
      </c>
      <c r="H488">
        <v>2</v>
      </c>
      <c r="I488">
        <v>22204</v>
      </c>
      <c r="J488" s="6">
        <v>15</v>
      </c>
      <c r="K488">
        <v>18873.400000000001</v>
      </c>
      <c r="L488">
        <v>37746.800000000003</v>
      </c>
      <c r="M488">
        <v>1500</v>
      </c>
      <c r="N488" t="s">
        <v>1159</v>
      </c>
      <c r="O488" t="s">
        <v>1162</v>
      </c>
      <c r="Q488" t="str">
        <f t="shared" si="21"/>
        <v>okay</v>
      </c>
      <c r="R488">
        <f t="shared" si="22"/>
        <v>2</v>
      </c>
      <c r="S488" s="6">
        <f t="shared" si="23"/>
        <v>0</v>
      </c>
    </row>
    <row r="489" spans="1:19" x14ac:dyDescent="0.3">
      <c r="A489" s="10">
        <v>45753</v>
      </c>
      <c r="B489" t="s">
        <v>504</v>
      </c>
      <c r="C489" t="s">
        <v>1120</v>
      </c>
      <c r="D489" t="s">
        <v>1135</v>
      </c>
      <c r="E489" t="s">
        <v>1145</v>
      </c>
      <c r="F489" t="s">
        <v>1149</v>
      </c>
      <c r="G489" t="s">
        <v>1153</v>
      </c>
      <c r="H489">
        <v>2</v>
      </c>
      <c r="I489">
        <v>15209</v>
      </c>
      <c r="J489" s="6">
        <v>10</v>
      </c>
      <c r="K489">
        <v>13688.1</v>
      </c>
      <c r="L489">
        <v>27376.2</v>
      </c>
      <c r="M489">
        <v>2000</v>
      </c>
      <c r="N489" t="s">
        <v>1160</v>
      </c>
      <c r="O489" t="s">
        <v>1164</v>
      </c>
      <c r="P489" s="10">
        <v>45755</v>
      </c>
      <c r="Q489" t="str">
        <f t="shared" si="21"/>
        <v>excellent</v>
      </c>
      <c r="R489">
        <f t="shared" si="22"/>
        <v>3</v>
      </c>
      <c r="S489" s="6">
        <f t="shared" si="23"/>
        <v>2</v>
      </c>
    </row>
    <row r="490" spans="1:19" x14ac:dyDescent="0.3">
      <c r="A490" s="10">
        <v>45726</v>
      </c>
      <c r="B490" t="s">
        <v>505</v>
      </c>
      <c r="C490" t="s">
        <v>1127</v>
      </c>
      <c r="D490" t="s">
        <v>1134</v>
      </c>
      <c r="E490" t="s">
        <v>1139</v>
      </c>
      <c r="F490" t="s">
        <v>1150</v>
      </c>
      <c r="G490" t="s">
        <v>1154</v>
      </c>
      <c r="H490">
        <v>4</v>
      </c>
      <c r="I490">
        <v>61758</v>
      </c>
      <c r="J490" s="6">
        <v>0</v>
      </c>
      <c r="K490">
        <v>61758</v>
      </c>
      <c r="L490">
        <v>247032</v>
      </c>
      <c r="M490">
        <v>2000</v>
      </c>
      <c r="N490" t="s">
        <v>1160</v>
      </c>
      <c r="O490" t="s">
        <v>1162</v>
      </c>
      <c r="Q490" t="str">
        <f t="shared" si="21"/>
        <v>okay</v>
      </c>
      <c r="R490">
        <f t="shared" si="22"/>
        <v>2</v>
      </c>
      <c r="S490" s="6">
        <f t="shared" si="23"/>
        <v>0</v>
      </c>
    </row>
    <row r="491" spans="1:19" x14ac:dyDescent="0.3">
      <c r="A491" s="10">
        <v>45744</v>
      </c>
      <c r="B491" t="s">
        <v>506</v>
      </c>
      <c r="C491" t="s">
        <v>1128</v>
      </c>
      <c r="D491" t="s">
        <v>1135</v>
      </c>
      <c r="E491" t="s">
        <v>1144</v>
      </c>
      <c r="F491" t="s">
        <v>1151</v>
      </c>
      <c r="G491" t="s">
        <v>1157</v>
      </c>
      <c r="H491">
        <v>5</v>
      </c>
      <c r="I491">
        <v>47076</v>
      </c>
      <c r="J491" s="6">
        <v>0</v>
      </c>
      <c r="K491">
        <v>47076</v>
      </c>
      <c r="L491">
        <v>235380</v>
      </c>
      <c r="M491">
        <v>1000</v>
      </c>
      <c r="N491" t="s">
        <v>1160</v>
      </c>
      <c r="O491" t="s">
        <v>1163</v>
      </c>
      <c r="Q491" t="str">
        <f t="shared" si="21"/>
        <v>no comment</v>
      </c>
      <c r="R491">
        <f t="shared" si="22"/>
        <v>1</v>
      </c>
      <c r="S491" s="6">
        <f t="shared" si="23"/>
        <v>0</v>
      </c>
    </row>
    <row r="492" spans="1:19" x14ac:dyDescent="0.3">
      <c r="A492" s="10">
        <v>45667</v>
      </c>
      <c r="B492" t="s">
        <v>507</v>
      </c>
      <c r="C492" t="s">
        <v>1121</v>
      </c>
      <c r="D492" t="s">
        <v>1136</v>
      </c>
      <c r="E492" t="s">
        <v>1145</v>
      </c>
      <c r="F492" t="s">
        <v>1149</v>
      </c>
      <c r="G492" t="s">
        <v>1153</v>
      </c>
      <c r="H492">
        <v>1</v>
      </c>
      <c r="I492">
        <v>6023</v>
      </c>
      <c r="J492" s="6">
        <v>15</v>
      </c>
      <c r="K492">
        <v>5119.55</v>
      </c>
      <c r="L492">
        <v>5119.55</v>
      </c>
      <c r="M492">
        <v>1000</v>
      </c>
      <c r="N492" t="s">
        <v>1160</v>
      </c>
      <c r="O492" t="s">
        <v>1162</v>
      </c>
      <c r="Q492" t="str">
        <f t="shared" si="21"/>
        <v>okay</v>
      </c>
      <c r="R492">
        <f t="shared" si="22"/>
        <v>2</v>
      </c>
      <c r="S492" s="6">
        <f t="shared" si="23"/>
        <v>0</v>
      </c>
    </row>
    <row r="493" spans="1:19" x14ac:dyDescent="0.3">
      <c r="A493" s="10">
        <v>45809</v>
      </c>
      <c r="B493" t="s">
        <v>508</v>
      </c>
      <c r="C493" t="s">
        <v>1123</v>
      </c>
      <c r="D493" t="s">
        <v>1135</v>
      </c>
      <c r="E493" t="s">
        <v>1140</v>
      </c>
      <c r="F493" t="s">
        <v>1150</v>
      </c>
      <c r="G493" t="s">
        <v>1154</v>
      </c>
      <c r="H493">
        <v>4</v>
      </c>
      <c r="I493">
        <v>68218</v>
      </c>
      <c r="J493" s="6">
        <v>15</v>
      </c>
      <c r="K493">
        <v>57985.3</v>
      </c>
      <c r="L493">
        <v>231941.2</v>
      </c>
      <c r="M493">
        <v>2000</v>
      </c>
      <c r="N493" t="s">
        <v>1161</v>
      </c>
      <c r="O493" t="s">
        <v>1162</v>
      </c>
      <c r="Q493" t="str">
        <f t="shared" si="21"/>
        <v>okay</v>
      </c>
      <c r="R493">
        <f t="shared" si="22"/>
        <v>2</v>
      </c>
      <c r="S493" s="6">
        <f t="shared" si="23"/>
        <v>0</v>
      </c>
    </row>
    <row r="494" spans="1:19" x14ac:dyDescent="0.3">
      <c r="A494" s="10">
        <v>45824</v>
      </c>
      <c r="B494" t="s">
        <v>509</v>
      </c>
      <c r="C494" t="s">
        <v>1123</v>
      </c>
      <c r="D494" t="s">
        <v>1135</v>
      </c>
      <c r="E494" t="s">
        <v>1147</v>
      </c>
      <c r="F494" t="s">
        <v>1150</v>
      </c>
      <c r="G494" t="s">
        <v>1156</v>
      </c>
      <c r="H494">
        <v>1</v>
      </c>
      <c r="I494">
        <v>68285</v>
      </c>
      <c r="J494" s="6">
        <v>5</v>
      </c>
      <c r="K494">
        <v>64870.75</v>
      </c>
      <c r="L494">
        <v>64870.75</v>
      </c>
      <c r="M494">
        <v>1500</v>
      </c>
      <c r="N494" t="s">
        <v>1160</v>
      </c>
      <c r="O494" t="s">
        <v>1162</v>
      </c>
      <c r="Q494" t="str">
        <f t="shared" si="21"/>
        <v>okay</v>
      </c>
      <c r="R494">
        <f t="shared" si="22"/>
        <v>2</v>
      </c>
      <c r="S494" s="6">
        <f t="shared" si="23"/>
        <v>0</v>
      </c>
    </row>
    <row r="495" spans="1:19" x14ac:dyDescent="0.3">
      <c r="A495" s="10">
        <v>45670</v>
      </c>
      <c r="B495" t="s">
        <v>510</v>
      </c>
      <c r="C495" t="s">
        <v>1125</v>
      </c>
      <c r="D495" t="s">
        <v>1133</v>
      </c>
      <c r="E495" t="s">
        <v>1140</v>
      </c>
      <c r="F495" t="s">
        <v>1150</v>
      </c>
      <c r="G495" t="s">
        <v>1154</v>
      </c>
      <c r="H495">
        <v>5</v>
      </c>
      <c r="I495">
        <v>43196</v>
      </c>
      <c r="J495" s="6">
        <v>0</v>
      </c>
      <c r="K495">
        <v>43196</v>
      </c>
      <c r="L495">
        <v>215980</v>
      </c>
      <c r="M495">
        <v>2000</v>
      </c>
      <c r="N495" t="s">
        <v>1160</v>
      </c>
      <c r="O495" t="s">
        <v>1163</v>
      </c>
      <c r="Q495" t="str">
        <f t="shared" si="21"/>
        <v>no comment</v>
      </c>
      <c r="R495">
        <f t="shared" si="22"/>
        <v>1</v>
      </c>
      <c r="S495" s="6">
        <f t="shared" si="23"/>
        <v>0</v>
      </c>
    </row>
    <row r="496" spans="1:19" x14ac:dyDescent="0.3">
      <c r="A496" s="10">
        <v>45789</v>
      </c>
      <c r="B496" t="s">
        <v>511</v>
      </c>
      <c r="C496" t="s">
        <v>1126</v>
      </c>
      <c r="D496" t="s">
        <v>1133</v>
      </c>
      <c r="E496" t="s">
        <v>1140</v>
      </c>
      <c r="F496" t="s">
        <v>1150</v>
      </c>
      <c r="G496" t="s">
        <v>1154</v>
      </c>
      <c r="H496">
        <v>4</v>
      </c>
      <c r="I496">
        <v>23289</v>
      </c>
      <c r="J496" s="6">
        <v>0</v>
      </c>
      <c r="K496">
        <v>23289</v>
      </c>
      <c r="L496">
        <v>93156</v>
      </c>
      <c r="M496">
        <v>2000</v>
      </c>
      <c r="N496" t="s">
        <v>1160</v>
      </c>
      <c r="O496" t="s">
        <v>1163</v>
      </c>
      <c r="Q496" t="str">
        <f t="shared" si="21"/>
        <v>no comment</v>
      </c>
      <c r="R496">
        <f t="shared" si="22"/>
        <v>1</v>
      </c>
      <c r="S496" s="6">
        <f t="shared" si="23"/>
        <v>0</v>
      </c>
    </row>
    <row r="497" spans="1:19" x14ac:dyDescent="0.3">
      <c r="A497" s="10">
        <v>45791</v>
      </c>
      <c r="B497" t="s">
        <v>512</v>
      </c>
      <c r="C497" t="s">
        <v>1122</v>
      </c>
      <c r="D497" t="s">
        <v>1136</v>
      </c>
      <c r="E497" t="s">
        <v>1144</v>
      </c>
      <c r="F497" t="s">
        <v>1151</v>
      </c>
      <c r="G497" t="s">
        <v>1157</v>
      </c>
      <c r="H497">
        <v>1</v>
      </c>
      <c r="I497">
        <v>22954</v>
      </c>
      <c r="J497" s="6">
        <v>0</v>
      </c>
      <c r="K497">
        <v>22954</v>
      </c>
      <c r="L497">
        <v>22954</v>
      </c>
      <c r="M497">
        <v>1500</v>
      </c>
      <c r="N497" t="s">
        <v>1160</v>
      </c>
      <c r="O497" t="s">
        <v>1164</v>
      </c>
      <c r="P497" s="10">
        <v>45801</v>
      </c>
      <c r="Q497" t="str">
        <f t="shared" si="21"/>
        <v>excellent</v>
      </c>
      <c r="R497">
        <f t="shared" si="22"/>
        <v>3</v>
      </c>
      <c r="S497" s="6">
        <f t="shared" si="23"/>
        <v>10</v>
      </c>
    </row>
    <row r="498" spans="1:19" x14ac:dyDescent="0.3">
      <c r="A498" s="10">
        <v>45784</v>
      </c>
      <c r="B498" t="s">
        <v>513</v>
      </c>
      <c r="C498" t="s">
        <v>1126</v>
      </c>
      <c r="D498" t="s">
        <v>1133</v>
      </c>
      <c r="E498" t="s">
        <v>1139</v>
      </c>
      <c r="F498" t="s">
        <v>1150</v>
      </c>
      <c r="G498" t="s">
        <v>1154</v>
      </c>
      <c r="H498">
        <v>3</v>
      </c>
      <c r="I498">
        <v>43142</v>
      </c>
      <c r="J498" s="6">
        <v>0</v>
      </c>
      <c r="K498">
        <v>43142</v>
      </c>
      <c r="L498">
        <v>129426</v>
      </c>
      <c r="M498">
        <v>2000</v>
      </c>
      <c r="N498" t="s">
        <v>1160</v>
      </c>
      <c r="O498" t="s">
        <v>1164</v>
      </c>
      <c r="P498" s="10">
        <v>45788</v>
      </c>
      <c r="Q498" t="str">
        <f t="shared" si="21"/>
        <v>excellent</v>
      </c>
      <c r="R498">
        <f t="shared" si="22"/>
        <v>3</v>
      </c>
      <c r="S498" s="6">
        <f t="shared" si="23"/>
        <v>4</v>
      </c>
    </row>
    <row r="499" spans="1:19" x14ac:dyDescent="0.3">
      <c r="A499" s="10">
        <v>45834</v>
      </c>
      <c r="B499" t="s">
        <v>514</v>
      </c>
      <c r="C499" t="s">
        <v>1125</v>
      </c>
      <c r="D499" t="s">
        <v>1133</v>
      </c>
      <c r="E499" t="s">
        <v>1146</v>
      </c>
      <c r="F499" t="s">
        <v>1151</v>
      </c>
      <c r="G499" t="s">
        <v>1155</v>
      </c>
      <c r="H499">
        <v>2</v>
      </c>
      <c r="I499">
        <v>40611</v>
      </c>
      <c r="J499" s="6">
        <v>10</v>
      </c>
      <c r="K499">
        <v>36549.9</v>
      </c>
      <c r="L499">
        <v>73099.8</v>
      </c>
      <c r="M499">
        <v>1000</v>
      </c>
      <c r="N499" t="s">
        <v>1160</v>
      </c>
      <c r="O499" t="s">
        <v>1164</v>
      </c>
      <c r="P499" s="10">
        <v>45845</v>
      </c>
      <c r="Q499" t="str">
        <f t="shared" si="21"/>
        <v>excellent</v>
      </c>
      <c r="R499">
        <f t="shared" si="22"/>
        <v>3</v>
      </c>
      <c r="S499" s="6">
        <f t="shared" si="23"/>
        <v>11</v>
      </c>
    </row>
    <row r="500" spans="1:19" x14ac:dyDescent="0.3">
      <c r="A500" s="10">
        <v>45796</v>
      </c>
      <c r="B500" t="s">
        <v>515</v>
      </c>
      <c r="C500" t="s">
        <v>1120</v>
      </c>
      <c r="D500" t="s">
        <v>1135</v>
      </c>
      <c r="E500" t="s">
        <v>1145</v>
      </c>
      <c r="F500" t="s">
        <v>1149</v>
      </c>
      <c r="G500" t="s">
        <v>1153</v>
      </c>
      <c r="H500">
        <v>5</v>
      </c>
      <c r="I500">
        <v>19980</v>
      </c>
      <c r="J500" s="6">
        <v>0</v>
      </c>
      <c r="K500">
        <v>19980</v>
      </c>
      <c r="L500">
        <v>99900</v>
      </c>
      <c r="M500">
        <v>2000</v>
      </c>
      <c r="N500" t="s">
        <v>1161</v>
      </c>
      <c r="O500" t="s">
        <v>1164</v>
      </c>
      <c r="P500" s="10">
        <v>45805</v>
      </c>
      <c r="Q500" t="str">
        <f t="shared" si="21"/>
        <v>excellent</v>
      </c>
      <c r="R500">
        <f t="shared" si="22"/>
        <v>3</v>
      </c>
      <c r="S500" s="6">
        <f t="shared" si="23"/>
        <v>9</v>
      </c>
    </row>
    <row r="501" spans="1:19" x14ac:dyDescent="0.3">
      <c r="A501" s="10">
        <v>45712</v>
      </c>
      <c r="B501" t="s">
        <v>516</v>
      </c>
      <c r="C501" t="s">
        <v>1131</v>
      </c>
      <c r="D501" t="s">
        <v>1136</v>
      </c>
      <c r="E501" t="s">
        <v>1148</v>
      </c>
      <c r="F501" t="s">
        <v>1149</v>
      </c>
      <c r="G501" t="s">
        <v>1152</v>
      </c>
      <c r="H501">
        <v>3</v>
      </c>
      <c r="I501">
        <v>79654</v>
      </c>
      <c r="J501" s="6">
        <v>5</v>
      </c>
      <c r="K501">
        <v>75671.3</v>
      </c>
      <c r="L501">
        <v>227013.9</v>
      </c>
      <c r="M501">
        <v>1500</v>
      </c>
      <c r="N501" t="s">
        <v>1160</v>
      </c>
      <c r="O501" t="s">
        <v>1164</v>
      </c>
      <c r="P501" s="10">
        <v>45725</v>
      </c>
      <c r="Q501" t="str">
        <f t="shared" si="21"/>
        <v>excellent</v>
      </c>
      <c r="R501">
        <f t="shared" si="22"/>
        <v>3</v>
      </c>
      <c r="S501" s="6">
        <f t="shared" si="23"/>
        <v>13</v>
      </c>
    </row>
    <row r="502" spans="1:19" x14ac:dyDescent="0.3">
      <c r="A502" s="10">
        <v>45759</v>
      </c>
      <c r="B502" t="s">
        <v>517</v>
      </c>
      <c r="C502" t="s">
        <v>1122</v>
      </c>
      <c r="D502" t="s">
        <v>1136</v>
      </c>
      <c r="E502" t="s">
        <v>1140</v>
      </c>
      <c r="F502" t="s">
        <v>1150</v>
      </c>
      <c r="G502" t="s">
        <v>1154</v>
      </c>
      <c r="H502">
        <v>3</v>
      </c>
      <c r="I502">
        <v>71378</v>
      </c>
      <c r="J502" s="6">
        <v>20</v>
      </c>
      <c r="K502">
        <v>57102.400000000001</v>
      </c>
      <c r="L502">
        <v>171307.2</v>
      </c>
      <c r="M502">
        <v>2000</v>
      </c>
      <c r="N502" t="s">
        <v>1159</v>
      </c>
      <c r="O502" t="s">
        <v>1163</v>
      </c>
      <c r="Q502" t="str">
        <f t="shared" si="21"/>
        <v>no comment</v>
      </c>
      <c r="R502">
        <f t="shared" si="22"/>
        <v>1</v>
      </c>
      <c r="S502" s="6">
        <f t="shared" si="23"/>
        <v>0</v>
      </c>
    </row>
    <row r="503" spans="1:19" x14ac:dyDescent="0.3">
      <c r="A503" s="10">
        <v>45826</v>
      </c>
      <c r="B503" t="s">
        <v>518</v>
      </c>
      <c r="C503" t="s">
        <v>1119</v>
      </c>
      <c r="D503" t="s">
        <v>1134</v>
      </c>
      <c r="E503" t="s">
        <v>1141</v>
      </c>
      <c r="F503" t="s">
        <v>1151</v>
      </c>
      <c r="G503" t="s">
        <v>1155</v>
      </c>
      <c r="H503">
        <v>1</v>
      </c>
      <c r="I503">
        <v>46777</v>
      </c>
      <c r="J503" s="6">
        <v>15</v>
      </c>
      <c r="K503">
        <v>39760.449999999997</v>
      </c>
      <c r="L503">
        <v>39760.449999999997</v>
      </c>
      <c r="M503">
        <v>2000</v>
      </c>
      <c r="N503" t="s">
        <v>1159</v>
      </c>
      <c r="O503" t="s">
        <v>1163</v>
      </c>
      <c r="Q503" t="str">
        <f t="shared" si="21"/>
        <v>no comment</v>
      </c>
      <c r="R503">
        <f t="shared" si="22"/>
        <v>1</v>
      </c>
      <c r="S503" s="6">
        <f t="shared" si="23"/>
        <v>0</v>
      </c>
    </row>
    <row r="504" spans="1:19" x14ac:dyDescent="0.3">
      <c r="A504" s="10">
        <v>45762</v>
      </c>
      <c r="B504" t="s">
        <v>519</v>
      </c>
      <c r="C504" t="s">
        <v>1123</v>
      </c>
      <c r="D504" t="s">
        <v>1135</v>
      </c>
      <c r="E504" t="s">
        <v>1137</v>
      </c>
      <c r="F504" t="s">
        <v>1149</v>
      </c>
      <c r="G504" t="s">
        <v>1152</v>
      </c>
      <c r="H504">
        <v>4</v>
      </c>
      <c r="I504">
        <v>44735</v>
      </c>
      <c r="J504" s="6">
        <v>5</v>
      </c>
      <c r="K504">
        <v>42498.25</v>
      </c>
      <c r="L504">
        <v>169993</v>
      </c>
      <c r="M504">
        <v>1500</v>
      </c>
      <c r="N504" t="s">
        <v>1160</v>
      </c>
      <c r="O504" t="s">
        <v>1163</v>
      </c>
      <c r="Q504" t="str">
        <f t="shared" si="21"/>
        <v>no comment</v>
      </c>
      <c r="R504">
        <f t="shared" si="22"/>
        <v>1</v>
      </c>
      <c r="S504" s="6">
        <f t="shared" si="23"/>
        <v>0</v>
      </c>
    </row>
    <row r="505" spans="1:19" x14ac:dyDescent="0.3">
      <c r="A505" s="10">
        <v>45812</v>
      </c>
      <c r="B505" t="s">
        <v>520</v>
      </c>
      <c r="C505" t="s">
        <v>1125</v>
      </c>
      <c r="D505" t="s">
        <v>1133</v>
      </c>
      <c r="E505" t="s">
        <v>1147</v>
      </c>
      <c r="F505" t="s">
        <v>1150</v>
      </c>
      <c r="G505" t="s">
        <v>1156</v>
      </c>
      <c r="H505">
        <v>1</v>
      </c>
      <c r="I505">
        <v>22517</v>
      </c>
      <c r="J505" s="6">
        <v>5</v>
      </c>
      <c r="K505">
        <v>21391.15</v>
      </c>
      <c r="L505">
        <v>21391.15</v>
      </c>
      <c r="M505">
        <v>2000</v>
      </c>
      <c r="N505" t="s">
        <v>1161</v>
      </c>
      <c r="O505" t="s">
        <v>1164</v>
      </c>
      <c r="P505" s="10">
        <v>45823</v>
      </c>
      <c r="Q505" t="str">
        <f t="shared" si="21"/>
        <v>excellent</v>
      </c>
      <c r="R505">
        <f t="shared" si="22"/>
        <v>3</v>
      </c>
      <c r="S505" s="6">
        <f t="shared" si="23"/>
        <v>11</v>
      </c>
    </row>
    <row r="506" spans="1:19" x14ac:dyDescent="0.3">
      <c r="A506" s="10">
        <v>45660</v>
      </c>
      <c r="B506" t="s">
        <v>521</v>
      </c>
      <c r="C506" t="s">
        <v>1117</v>
      </c>
      <c r="D506" t="s">
        <v>1133</v>
      </c>
      <c r="E506" t="s">
        <v>1141</v>
      </c>
      <c r="F506" t="s">
        <v>1151</v>
      </c>
      <c r="G506" t="s">
        <v>1155</v>
      </c>
      <c r="H506">
        <v>1</v>
      </c>
      <c r="I506">
        <v>7543</v>
      </c>
      <c r="J506" s="6">
        <v>20</v>
      </c>
      <c r="K506">
        <v>6034.4</v>
      </c>
      <c r="L506">
        <v>6034.4</v>
      </c>
      <c r="M506">
        <v>1000</v>
      </c>
      <c r="N506" t="s">
        <v>1161</v>
      </c>
      <c r="O506" t="s">
        <v>1164</v>
      </c>
      <c r="P506" s="10">
        <v>45673</v>
      </c>
      <c r="Q506" t="str">
        <f t="shared" si="21"/>
        <v>excellent</v>
      </c>
      <c r="R506">
        <f t="shared" si="22"/>
        <v>3</v>
      </c>
      <c r="S506" s="6">
        <f t="shared" si="23"/>
        <v>13</v>
      </c>
    </row>
    <row r="507" spans="1:19" x14ac:dyDescent="0.3">
      <c r="A507" s="10">
        <v>45742</v>
      </c>
      <c r="B507" t="s">
        <v>522</v>
      </c>
      <c r="C507" t="s">
        <v>1123</v>
      </c>
      <c r="D507" t="s">
        <v>1135</v>
      </c>
      <c r="E507" t="s">
        <v>1144</v>
      </c>
      <c r="F507" t="s">
        <v>1151</v>
      </c>
      <c r="G507" t="s">
        <v>1157</v>
      </c>
      <c r="H507">
        <v>5</v>
      </c>
      <c r="I507">
        <v>61853</v>
      </c>
      <c r="J507" s="6">
        <v>10</v>
      </c>
      <c r="K507">
        <v>55667.7</v>
      </c>
      <c r="L507">
        <v>278338.5</v>
      </c>
      <c r="M507">
        <v>1500</v>
      </c>
      <c r="N507" t="s">
        <v>1159</v>
      </c>
      <c r="O507" t="s">
        <v>1162</v>
      </c>
      <c r="Q507" t="str">
        <f t="shared" si="21"/>
        <v>okay</v>
      </c>
      <c r="R507">
        <f t="shared" si="22"/>
        <v>2</v>
      </c>
      <c r="S507" s="6">
        <f t="shared" si="23"/>
        <v>0</v>
      </c>
    </row>
    <row r="508" spans="1:19" x14ac:dyDescent="0.3">
      <c r="A508" s="10">
        <v>45701</v>
      </c>
      <c r="B508" t="s">
        <v>523</v>
      </c>
      <c r="C508" t="s">
        <v>1127</v>
      </c>
      <c r="D508" t="s">
        <v>1134</v>
      </c>
      <c r="E508" t="s">
        <v>1140</v>
      </c>
      <c r="F508" t="s">
        <v>1150</v>
      </c>
      <c r="G508" t="s">
        <v>1154</v>
      </c>
      <c r="H508">
        <v>1</v>
      </c>
      <c r="I508">
        <v>23555</v>
      </c>
      <c r="J508" s="6">
        <v>10</v>
      </c>
      <c r="K508">
        <v>21199.5</v>
      </c>
      <c r="L508">
        <v>21199.5</v>
      </c>
      <c r="M508">
        <v>1500</v>
      </c>
      <c r="N508" t="s">
        <v>1161</v>
      </c>
      <c r="O508" t="s">
        <v>1164</v>
      </c>
      <c r="P508" s="10">
        <v>45703</v>
      </c>
      <c r="Q508" t="str">
        <f t="shared" si="21"/>
        <v>excellent</v>
      </c>
      <c r="R508">
        <f t="shared" si="22"/>
        <v>3</v>
      </c>
      <c r="S508" s="6">
        <f t="shared" si="23"/>
        <v>2</v>
      </c>
    </row>
    <row r="509" spans="1:19" x14ac:dyDescent="0.3">
      <c r="A509" s="10">
        <v>45671</v>
      </c>
      <c r="B509" t="s">
        <v>524</v>
      </c>
      <c r="C509" t="s">
        <v>1124</v>
      </c>
      <c r="D509" t="s">
        <v>1135</v>
      </c>
      <c r="E509" t="s">
        <v>1139</v>
      </c>
      <c r="F509" t="s">
        <v>1150</v>
      </c>
      <c r="G509" t="s">
        <v>1154</v>
      </c>
      <c r="H509">
        <v>4</v>
      </c>
      <c r="I509">
        <v>70640</v>
      </c>
      <c r="J509" s="6">
        <v>0</v>
      </c>
      <c r="K509">
        <v>70640</v>
      </c>
      <c r="L509">
        <v>282560</v>
      </c>
      <c r="M509">
        <v>1000</v>
      </c>
      <c r="N509" t="s">
        <v>1161</v>
      </c>
      <c r="O509" t="s">
        <v>1164</v>
      </c>
      <c r="P509" s="10">
        <v>45675</v>
      </c>
      <c r="Q509" t="str">
        <f t="shared" si="21"/>
        <v>excellent</v>
      </c>
      <c r="R509">
        <f t="shared" si="22"/>
        <v>3</v>
      </c>
      <c r="S509" s="6">
        <f t="shared" si="23"/>
        <v>4</v>
      </c>
    </row>
    <row r="510" spans="1:19" x14ac:dyDescent="0.3">
      <c r="A510" s="10">
        <v>45723</v>
      </c>
      <c r="B510" t="s">
        <v>525</v>
      </c>
      <c r="C510" t="s">
        <v>1129</v>
      </c>
      <c r="D510" t="s">
        <v>1133</v>
      </c>
      <c r="E510" t="s">
        <v>1147</v>
      </c>
      <c r="F510" t="s">
        <v>1150</v>
      </c>
      <c r="G510" t="s">
        <v>1156</v>
      </c>
      <c r="H510">
        <v>3</v>
      </c>
      <c r="I510">
        <v>78465</v>
      </c>
      <c r="J510" s="6">
        <v>5</v>
      </c>
      <c r="K510">
        <v>74541.75</v>
      </c>
      <c r="L510">
        <v>223625.25</v>
      </c>
      <c r="M510">
        <v>1500</v>
      </c>
      <c r="N510" t="s">
        <v>1159</v>
      </c>
      <c r="O510" t="s">
        <v>1164</v>
      </c>
      <c r="P510" s="10">
        <v>45729</v>
      </c>
      <c r="Q510" t="str">
        <f t="shared" si="21"/>
        <v>excellent</v>
      </c>
      <c r="R510">
        <f t="shared" si="22"/>
        <v>3</v>
      </c>
      <c r="S510" s="6">
        <f t="shared" si="23"/>
        <v>6</v>
      </c>
    </row>
    <row r="511" spans="1:19" x14ac:dyDescent="0.3">
      <c r="A511" s="10">
        <v>45721</v>
      </c>
      <c r="B511" t="s">
        <v>526</v>
      </c>
      <c r="C511" t="s">
        <v>1125</v>
      </c>
      <c r="D511" t="s">
        <v>1133</v>
      </c>
      <c r="E511" t="s">
        <v>1141</v>
      </c>
      <c r="F511" t="s">
        <v>1151</v>
      </c>
      <c r="G511" t="s">
        <v>1155</v>
      </c>
      <c r="H511">
        <v>4</v>
      </c>
      <c r="I511">
        <v>53347</v>
      </c>
      <c r="J511" s="6">
        <v>15</v>
      </c>
      <c r="K511">
        <v>45344.95</v>
      </c>
      <c r="L511">
        <v>181379.8</v>
      </c>
      <c r="M511">
        <v>1500</v>
      </c>
      <c r="N511" t="s">
        <v>1160</v>
      </c>
      <c r="O511" t="s">
        <v>1162</v>
      </c>
      <c r="Q511" t="str">
        <f t="shared" si="21"/>
        <v>okay</v>
      </c>
      <c r="R511">
        <f t="shared" si="22"/>
        <v>2</v>
      </c>
      <c r="S511" s="6">
        <f t="shared" si="23"/>
        <v>0</v>
      </c>
    </row>
    <row r="512" spans="1:19" x14ac:dyDescent="0.3">
      <c r="A512" s="10">
        <v>45679</v>
      </c>
      <c r="B512" t="s">
        <v>527</v>
      </c>
      <c r="C512" t="s">
        <v>1123</v>
      </c>
      <c r="D512" t="s">
        <v>1135</v>
      </c>
      <c r="E512" t="s">
        <v>1147</v>
      </c>
      <c r="F512" t="s">
        <v>1150</v>
      </c>
      <c r="G512" t="s">
        <v>1156</v>
      </c>
      <c r="H512">
        <v>2</v>
      </c>
      <c r="I512">
        <v>50162</v>
      </c>
      <c r="J512" s="6">
        <v>20</v>
      </c>
      <c r="K512">
        <v>40129.599999999999</v>
      </c>
      <c r="L512">
        <v>80259.199999999997</v>
      </c>
      <c r="M512">
        <v>1500</v>
      </c>
      <c r="N512" t="s">
        <v>1161</v>
      </c>
      <c r="O512" t="s">
        <v>1162</v>
      </c>
      <c r="Q512" t="str">
        <f t="shared" si="21"/>
        <v>okay</v>
      </c>
      <c r="R512">
        <f t="shared" si="22"/>
        <v>2</v>
      </c>
      <c r="S512" s="6">
        <f t="shared" si="23"/>
        <v>0</v>
      </c>
    </row>
    <row r="513" spans="1:19" x14ac:dyDescent="0.3">
      <c r="A513" s="10">
        <v>45823</v>
      </c>
      <c r="B513" t="s">
        <v>528</v>
      </c>
      <c r="C513" t="s">
        <v>1128</v>
      </c>
      <c r="D513" t="s">
        <v>1135</v>
      </c>
      <c r="E513" t="s">
        <v>1146</v>
      </c>
      <c r="F513" t="s">
        <v>1151</v>
      </c>
      <c r="G513" t="s">
        <v>1155</v>
      </c>
      <c r="H513">
        <v>4</v>
      </c>
      <c r="I513">
        <v>4083</v>
      </c>
      <c r="J513" s="6">
        <v>20</v>
      </c>
      <c r="K513">
        <v>3266.4</v>
      </c>
      <c r="L513">
        <v>13065.6</v>
      </c>
      <c r="M513">
        <v>1500</v>
      </c>
      <c r="N513" t="s">
        <v>1160</v>
      </c>
      <c r="O513" t="s">
        <v>1162</v>
      </c>
      <c r="Q513" t="str">
        <f t="shared" si="21"/>
        <v>okay</v>
      </c>
      <c r="R513">
        <f t="shared" si="22"/>
        <v>2</v>
      </c>
      <c r="S513" s="6">
        <f t="shared" si="23"/>
        <v>0</v>
      </c>
    </row>
    <row r="514" spans="1:19" x14ac:dyDescent="0.3">
      <c r="A514" s="10">
        <v>45805</v>
      </c>
      <c r="B514" t="s">
        <v>529</v>
      </c>
      <c r="C514" t="s">
        <v>1120</v>
      </c>
      <c r="D514" t="s">
        <v>1135</v>
      </c>
      <c r="E514" t="s">
        <v>1144</v>
      </c>
      <c r="F514" t="s">
        <v>1151</v>
      </c>
      <c r="G514" t="s">
        <v>1157</v>
      </c>
      <c r="H514">
        <v>2</v>
      </c>
      <c r="I514">
        <v>47691</v>
      </c>
      <c r="J514" s="6">
        <v>15</v>
      </c>
      <c r="K514">
        <v>40537.35</v>
      </c>
      <c r="L514">
        <v>81074.7</v>
      </c>
      <c r="M514">
        <v>2000</v>
      </c>
      <c r="N514" t="s">
        <v>1159</v>
      </c>
      <c r="O514" t="s">
        <v>1162</v>
      </c>
      <c r="Q514" t="str">
        <f t="shared" ref="Q514:Q577" si="24">IF(O514="delivered","excellent",IF(O514="in transit","okay",IF(O514="failed","no comment")))</f>
        <v>okay</v>
      </c>
      <c r="R514">
        <f t="shared" si="22"/>
        <v>2</v>
      </c>
      <c r="S514" s="6">
        <f t="shared" si="23"/>
        <v>0</v>
      </c>
    </row>
    <row r="515" spans="1:19" x14ac:dyDescent="0.3">
      <c r="A515" s="10">
        <v>45698</v>
      </c>
      <c r="B515" t="s">
        <v>530</v>
      </c>
      <c r="C515" t="s">
        <v>1131</v>
      </c>
      <c r="D515" t="s">
        <v>1136</v>
      </c>
      <c r="E515" t="s">
        <v>1145</v>
      </c>
      <c r="F515" t="s">
        <v>1149</v>
      </c>
      <c r="G515" t="s">
        <v>1153</v>
      </c>
      <c r="H515">
        <v>2</v>
      </c>
      <c r="I515">
        <v>7890</v>
      </c>
      <c r="J515" s="6">
        <v>20</v>
      </c>
      <c r="K515">
        <v>6312</v>
      </c>
      <c r="L515">
        <v>12624</v>
      </c>
      <c r="M515">
        <v>2000</v>
      </c>
      <c r="N515" t="s">
        <v>1160</v>
      </c>
      <c r="O515" t="s">
        <v>1163</v>
      </c>
      <c r="Q515" t="str">
        <f t="shared" si="24"/>
        <v>no comment</v>
      </c>
      <c r="R515">
        <f t="shared" ref="R515:R578" si="25">IF(Q515="excellent",3,IF(Q515="no comment",1,IF(Q515="okay",2)))</f>
        <v>1</v>
      </c>
      <c r="S515" s="6">
        <f t="shared" ref="S515:S578" si="26">(IFERROR(DATEDIF(A515,P515,"d"),0))</f>
        <v>0</v>
      </c>
    </row>
    <row r="516" spans="1:19" x14ac:dyDescent="0.3">
      <c r="A516" s="10">
        <v>45716</v>
      </c>
      <c r="B516" t="s">
        <v>531</v>
      </c>
      <c r="C516" t="s">
        <v>1124</v>
      </c>
      <c r="D516" t="s">
        <v>1135</v>
      </c>
      <c r="E516" t="s">
        <v>1148</v>
      </c>
      <c r="F516" t="s">
        <v>1149</v>
      </c>
      <c r="G516" t="s">
        <v>1152</v>
      </c>
      <c r="H516">
        <v>1</v>
      </c>
      <c r="I516">
        <v>26695</v>
      </c>
      <c r="J516" s="6">
        <v>0</v>
      </c>
      <c r="K516">
        <v>26695</v>
      </c>
      <c r="L516">
        <v>26695</v>
      </c>
      <c r="M516">
        <v>1000</v>
      </c>
      <c r="N516" t="s">
        <v>1159</v>
      </c>
      <c r="O516" t="s">
        <v>1164</v>
      </c>
      <c r="P516" s="10">
        <v>45728</v>
      </c>
      <c r="Q516" t="str">
        <f t="shared" si="24"/>
        <v>excellent</v>
      </c>
      <c r="R516">
        <f t="shared" si="25"/>
        <v>3</v>
      </c>
      <c r="S516" s="6">
        <f t="shared" si="26"/>
        <v>12</v>
      </c>
    </row>
    <row r="517" spans="1:19" x14ac:dyDescent="0.3">
      <c r="A517" s="10">
        <v>45693</v>
      </c>
      <c r="B517" t="s">
        <v>532</v>
      </c>
      <c r="C517" t="s">
        <v>1124</v>
      </c>
      <c r="D517" t="s">
        <v>1135</v>
      </c>
      <c r="E517" t="s">
        <v>1144</v>
      </c>
      <c r="F517" t="s">
        <v>1151</v>
      </c>
      <c r="G517" t="s">
        <v>1157</v>
      </c>
      <c r="H517">
        <v>5</v>
      </c>
      <c r="I517">
        <v>30823</v>
      </c>
      <c r="J517" s="6">
        <v>5</v>
      </c>
      <c r="K517">
        <v>29281.85</v>
      </c>
      <c r="L517">
        <v>146409.25</v>
      </c>
      <c r="M517">
        <v>2000</v>
      </c>
      <c r="N517" t="s">
        <v>1159</v>
      </c>
      <c r="O517" t="s">
        <v>1163</v>
      </c>
      <c r="Q517" t="str">
        <f t="shared" si="24"/>
        <v>no comment</v>
      </c>
      <c r="R517">
        <f t="shared" si="25"/>
        <v>1</v>
      </c>
      <c r="S517" s="6">
        <f t="shared" si="26"/>
        <v>0</v>
      </c>
    </row>
    <row r="518" spans="1:19" x14ac:dyDescent="0.3">
      <c r="A518" s="10">
        <v>45707</v>
      </c>
      <c r="B518" t="s">
        <v>533</v>
      </c>
      <c r="C518" t="s">
        <v>1119</v>
      </c>
      <c r="D518" t="s">
        <v>1134</v>
      </c>
      <c r="E518" t="s">
        <v>1140</v>
      </c>
      <c r="F518" t="s">
        <v>1150</v>
      </c>
      <c r="G518" t="s">
        <v>1154</v>
      </c>
      <c r="H518">
        <v>4</v>
      </c>
      <c r="I518">
        <v>37839</v>
      </c>
      <c r="J518" s="6">
        <v>20</v>
      </c>
      <c r="K518">
        <v>30271.200000000001</v>
      </c>
      <c r="L518">
        <v>121084.8</v>
      </c>
      <c r="M518">
        <v>1500</v>
      </c>
      <c r="N518" t="s">
        <v>1160</v>
      </c>
      <c r="O518" t="s">
        <v>1164</v>
      </c>
      <c r="P518" s="10">
        <v>45715</v>
      </c>
      <c r="Q518" t="str">
        <f t="shared" si="24"/>
        <v>excellent</v>
      </c>
      <c r="R518">
        <f t="shared" si="25"/>
        <v>3</v>
      </c>
      <c r="S518" s="6">
        <f t="shared" si="26"/>
        <v>8</v>
      </c>
    </row>
    <row r="519" spans="1:19" x14ac:dyDescent="0.3">
      <c r="A519" s="10">
        <v>45678</v>
      </c>
      <c r="B519" t="s">
        <v>534</v>
      </c>
      <c r="C519" t="s">
        <v>1126</v>
      </c>
      <c r="D519" t="s">
        <v>1133</v>
      </c>
      <c r="E519" t="s">
        <v>1143</v>
      </c>
      <c r="F519" t="s">
        <v>1151</v>
      </c>
      <c r="G519" t="s">
        <v>1157</v>
      </c>
      <c r="H519">
        <v>3</v>
      </c>
      <c r="I519">
        <v>51713</v>
      </c>
      <c r="J519" s="6">
        <v>20</v>
      </c>
      <c r="K519">
        <v>41370.400000000001</v>
      </c>
      <c r="L519">
        <v>124111.2</v>
      </c>
      <c r="M519">
        <v>2000</v>
      </c>
      <c r="N519" t="s">
        <v>1161</v>
      </c>
      <c r="O519" t="s">
        <v>1163</v>
      </c>
      <c r="Q519" t="str">
        <f t="shared" si="24"/>
        <v>no comment</v>
      </c>
      <c r="R519">
        <f t="shared" si="25"/>
        <v>1</v>
      </c>
      <c r="S519" s="6">
        <f t="shared" si="26"/>
        <v>0</v>
      </c>
    </row>
    <row r="520" spans="1:19" x14ac:dyDescent="0.3">
      <c r="A520" s="10">
        <v>45677</v>
      </c>
      <c r="B520" t="s">
        <v>535</v>
      </c>
      <c r="C520" t="s">
        <v>1118</v>
      </c>
      <c r="D520" t="s">
        <v>1134</v>
      </c>
      <c r="E520" t="s">
        <v>1145</v>
      </c>
      <c r="F520" t="s">
        <v>1149</v>
      </c>
      <c r="G520" t="s">
        <v>1153</v>
      </c>
      <c r="H520">
        <v>3</v>
      </c>
      <c r="I520">
        <v>22052</v>
      </c>
      <c r="J520" s="6">
        <v>10</v>
      </c>
      <c r="K520">
        <v>19846.8</v>
      </c>
      <c r="L520">
        <v>59540.399999999987</v>
      </c>
      <c r="M520">
        <v>1500</v>
      </c>
      <c r="N520" t="s">
        <v>1160</v>
      </c>
      <c r="O520" t="s">
        <v>1162</v>
      </c>
      <c r="Q520" t="str">
        <f t="shared" si="24"/>
        <v>okay</v>
      </c>
      <c r="R520">
        <f t="shared" si="25"/>
        <v>2</v>
      </c>
      <c r="S520" s="6">
        <f t="shared" si="26"/>
        <v>0</v>
      </c>
    </row>
    <row r="521" spans="1:19" x14ac:dyDescent="0.3">
      <c r="A521" s="10">
        <v>45690</v>
      </c>
      <c r="B521" t="s">
        <v>536</v>
      </c>
      <c r="C521" t="s">
        <v>1126</v>
      </c>
      <c r="D521" t="s">
        <v>1133</v>
      </c>
      <c r="E521" t="s">
        <v>1148</v>
      </c>
      <c r="F521" t="s">
        <v>1149</v>
      </c>
      <c r="G521" t="s">
        <v>1152</v>
      </c>
      <c r="H521">
        <v>3</v>
      </c>
      <c r="I521">
        <v>23019</v>
      </c>
      <c r="J521" s="6">
        <v>10</v>
      </c>
      <c r="K521">
        <v>19566.150000000001</v>
      </c>
      <c r="L521">
        <v>58698.45</v>
      </c>
      <c r="M521">
        <v>1000</v>
      </c>
      <c r="N521" t="s">
        <v>1160</v>
      </c>
      <c r="O521" t="s">
        <v>1164</v>
      </c>
      <c r="P521" s="10">
        <v>45697</v>
      </c>
      <c r="Q521" t="str">
        <f t="shared" si="24"/>
        <v>excellent</v>
      </c>
      <c r="R521">
        <f t="shared" si="25"/>
        <v>3</v>
      </c>
      <c r="S521" s="6">
        <f t="shared" si="26"/>
        <v>7</v>
      </c>
    </row>
    <row r="522" spans="1:19" x14ac:dyDescent="0.3">
      <c r="A522" s="10">
        <v>45681</v>
      </c>
      <c r="B522" t="s">
        <v>537</v>
      </c>
      <c r="C522" t="s">
        <v>1130</v>
      </c>
      <c r="D522" t="s">
        <v>1136</v>
      </c>
      <c r="E522" t="s">
        <v>1138</v>
      </c>
      <c r="F522" t="s">
        <v>1149</v>
      </c>
      <c r="G522" t="s">
        <v>1153</v>
      </c>
      <c r="H522">
        <v>2</v>
      </c>
      <c r="I522">
        <v>56562</v>
      </c>
      <c r="J522" s="6">
        <v>20</v>
      </c>
      <c r="K522">
        <v>45249.599999999999</v>
      </c>
      <c r="L522">
        <v>90499.199999999997</v>
      </c>
      <c r="M522">
        <v>1500</v>
      </c>
      <c r="N522" t="s">
        <v>1159</v>
      </c>
      <c r="O522" t="s">
        <v>1162</v>
      </c>
      <c r="Q522" t="str">
        <f t="shared" si="24"/>
        <v>okay</v>
      </c>
      <c r="R522">
        <f t="shared" si="25"/>
        <v>2</v>
      </c>
      <c r="S522" s="6">
        <f t="shared" si="26"/>
        <v>0</v>
      </c>
    </row>
    <row r="523" spans="1:19" x14ac:dyDescent="0.3">
      <c r="A523" s="10">
        <v>45813</v>
      </c>
      <c r="B523" t="s">
        <v>538</v>
      </c>
      <c r="C523" t="s">
        <v>1132</v>
      </c>
      <c r="D523" t="s">
        <v>1134</v>
      </c>
      <c r="E523" t="s">
        <v>1143</v>
      </c>
      <c r="F523" t="s">
        <v>1151</v>
      </c>
      <c r="G523" t="s">
        <v>1157</v>
      </c>
      <c r="H523">
        <v>1</v>
      </c>
      <c r="I523">
        <v>24888</v>
      </c>
      <c r="J523" s="6">
        <v>10</v>
      </c>
      <c r="K523">
        <v>22399.200000000001</v>
      </c>
      <c r="L523">
        <v>22399.200000000001</v>
      </c>
      <c r="M523">
        <v>1000</v>
      </c>
      <c r="N523" t="s">
        <v>1160</v>
      </c>
      <c r="O523" t="s">
        <v>1164</v>
      </c>
      <c r="P523" s="10">
        <v>45816</v>
      </c>
      <c r="Q523" t="str">
        <f t="shared" si="24"/>
        <v>excellent</v>
      </c>
      <c r="R523">
        <f t="shared" si="25"/>
        <v>3</v>
      </c>
      <c r="S523" s="6">
        <f t="shared" si="26"/>
        <v>3</v>
      </c>
    </row>
    <row r="524" spans="1:19" x14ac:dyDescent="0.3">
      <c r="A524" s="10">
        <v>45803</v>
      </c>
      <c r="B524" t="s">
        <v>539</v>
      </c>
      <c r="C524" t="s">
        <v>1131</v>
      </c>
      <c r="D524" t="s">
        <v>1136</v>
      </c>
      <c r="E524" t="s">
        <v>1138</v>
      </c>
      <c r="F524" t="s">
        <v>1149</v>
      </c>
      <c r="G524" t="s">
        <v>1153</v>
      </c>
      <c r="H524">
        <v>3</v>
      </c>
      <c r="I524">
        <v>30722</v>
      </c>
      <c r="J524" s="6">
        <v>15</v>
      </c>
      <c r="K524">
        <v>26113.7</v>
      </c>
      <c r="L524">
        <v>78341.100000000006</v>
      </c>
      <c r="M524">
        <v>1000</v>
      </c>
      <c r="N524" t="s">
        <v>1161</v>
      </c>
      <c r="O524" t="s">
        <v>1164</v>
      </c>
      <c r="P524" s="10">
        <v>45805</v>
      </c>
      <c r="Q524" t="str">
        <f t="shared" si="24"/>
        <v>excellent</v>
      </c>
      <c r="R524">
        <f t="shared" si="25"/>
        <v>3</v>
      </c>
      <c r="S524" s="6">
        <f t="shared" si="26"/>
        <v>2</v>
      </c>
    </row>
    <row r="525" spans="1:19" x14ac:dyDescent="0.3">
      <c r="A525" s="10">
        <v>45798</v>
      </c>
      <c r="B525" t="s">
        <v>540</v>
      </c>
      <c r="C525" t="s">
        <v>1119</v>
      </c>
      <c r="D525" t="s">
        <v>1134</v>
      </c>
      <c r="E525" t="s">
        <v>1143</v>
      </c>
      <c r="F525" t="s">
        <v>1151</v>
      </c>
      <c r="G525" t="s">
        <v>1157</v>
      </c>
      <c r="H525">
        <v>4</v>
      </c>
      <c r="I525">
        <v>5397</v>
      </c>
      <c r="J525" s="6">
        <v>15</v>
      </c>
      <c r="K525">
        <v>4587.45</v>
      </c>
      <c r="L525">
        <v>18349.8</v>
      </c>
      <c r="M525">
        <v>1500</v>
      </c>
      <c r="N525" t="s">
        <v>1160</v>
      </c>
      <c r="O525" t="s">
        <v>1163</v>
      </c>
      <c r="Q525" t="str">
        <f t="shared" si="24"/>
        <v>no comment</v>
      </c>
      <c r="R525">
        <f t="shared" si="25"/>
        <v>1</v>
      </c>
      <c r="S525" s="6">
        <f t="shared" si="26"/>
        <v>0</v>
      </c>
    </row>
    <row r="526" spans="1:19" x14ac:dyDescent="0.3">
      <c r="A526" s="10">
        <v>45673</v>
      </c>
      <c r="B526" t="s">
        <v>541</v>
      </c>
      <c r="C526" t="s">
        <v>1119</v>
      </c>
      <c r="D526" t="s">
        <v>1134</v>
      </c>
      <c r="E526" t="s">
        <v>1140</v>
      </c>
      <c r="F526" t="s">
        <v>1150</v>
      </c>
      <c r="G526" t="s">
        <v>1154</v>
      </c>
      <c r="H526">
        <v>5</v>
      </c>
      <c r="I526">
        <v>53933</v>
      </c>
      <c r="J526" s="6">
        <v>10</v>
      </c>
      <c r="K526">
        <v>48539.7</v>
      </c>
      <c r="L526">
        <v>242698.5</v>
      </c>
      <c r="M526">
        <v>1000</v>
      </c>
      <c r="N526" t="s">
        <v>1160</v>
      </c>
      <c r="O526" t="s">
        <v>1162</v>
      </c>
      <c r="Q526" t="str">
        <f t="shared" si="24"/>
        <v>okay</v>
      </c>
      <c r="R526">
        <f t="shared" si="25"/>
        <v>2</v>
      </c>
      <c r="S526" s="6">
        <f t="shared" si="26"/>
        <v>0</v>
      </c>
    </row>
    <row r="527" spans="1:19" x14ac:dyDescent="0.3">
      <c r="A527" s="10">
        <v>45685</v>
      </c>
      <c r="B527" t="s">
        <v>542</v>
      </c>
      <c r="C527" t="s">
        <v>1124</v>
      </c>
      <c r="D527" t="s">
        <v>1135</v>
      </c>
      <c r="E527" t="s">
        <v>1139</v>
      </c>
      <c r="F527" t="s">
        <v>1150</v>
      </c>
      <c r="G527" t="s">
        <v>1154</v>
      </c>
      <c r="H527">
        <v>1</v>
      </c>
      <c r="I527">
        <v>45935</v>
      </c>
      <c r="J527" s="6">
        <v>5</v>
      </c>
      <c r="K527">
        <v>43638.25</v>
      </c>
      <c r="L527">
        <v>43638.25</v>
      </c>
      <c r="M527">
        <v>1000</v>
      </c>
      <c r="N527" t="s">
        <v>1161</v>
      </c>
      <c r="O527" t="s">
        <v>1163</v>
      </c>
      <c r="Q527" t="str">
        <f t="shared" si="24"/>
        <v>no comment</v>
      </c>
      <c r="R527">
        <f t="shared" si="25"/>
        <v>1</v>
      </c>
      <c r="S527" s="6">
        <f t="shared" si="26"/>
        <v>0</v>
      </c>
    </row>
    <row r="528" spans="1:19" x14ac:dyDescent="0.3">
      <c r="A528" s="10">
        <v>45814</v>
      </c>
      <c r="B528" t="s">
        <v>543</v>
      </c>
      <c r="C528" t="s">
        <v>1129</v>
      </c>
      <c r="D528" t="s">
        <v>1133</v>
      </c>
      <c r="E528" t="s">
        <v>1148</v>
      </c>
      <c r="F528" t="s">
        <v>1149</v>
      </c>
      <c r="G528" t="s">
        <v>1152</v>
      </c>
      <c r="H528">
        <v>2</v>
      </c>
      <c r="I528">
        <v>43726</v>
      </c>
      <c r="J528" s="6">
        <v>10</v>
      </c>
      <c r="K528">
        <v>39353.4</v>
      </c>
      <c r="L528">
        <v>78706.8</v>
      </c>
      <c r="M528">
        <v>1000</v>
      </c>
      <c r="N528" t="s">
        <v>1161</v>
      </c>
      <c r="O528" t="s">
        <v>1163</v>
      </c>
      <c r="Q528" t="str">
        <f t="shared" si="24"/>
        <v>no comment</v>
      </c>
      <c r="R528">
        <f t="shared" si="25"/>
        <v>1</v>
      </c>
      <c r="S528" s="6">
        <f t="shared" si="26"/>
        <v>0</v>
      </c>
    </row>
    <row r="529" spans="1:19" x14ac:dyDescent="0.3">
      <c r="A529" s="10">
        <v>45661</v>
      </c>
      <c r="B529" t="s">
        <v>544</v>
      </c>
      <c r="C529" t="s">
        <v>1128</v>
      </c>
      <c r="D529" t="s">
        <v>1135</v>
      </c>
      <c r="E529" t="s">
        <v>1147</v>
      </c>
      <c r="F529" t="s">
        <v>1150</v>
      </c>
      <c r="G529" t="s">
        <v>1156</v>
      </c>
      <c r="H529">
        <v>4</v>
      </c>
      <c r="I529">
        <v>44943</v>
      </c>
      <c r="J529" s="6">
        <v>20</v>
      </c>
      <c r="K529">
        <v>35954.400000000001</v>
      </c>
      <c r="L529">
        <v>143817.60000000001</v>
      </c>
      <c r="M529">
        <v>1000</v>
      </c>
      <c r="N529" t="s">
        <v>1161</v>
      </c>
      <c r="O529" t="s">
        <v>1164</v>
      </c>
      <c r="P529" s="10">
        <v>45674</v>
      </c>
      <c r="Q529" t="str">
        <f t="shared" si="24"/>
        <v>excellent</v>
      </c>
      <c r="R529">
        <f t="shared" si="25"/>
        <v>3</v>
      </c>
      <c r="S529" s="6">
        <f t="shared" si="26"/>
        <v>13</v>
      </c>
    </row>
    <row r="530" spans="1:19" x14ac:dyDescent="0.3">
      <c r="A530" s="10">
        <v>45658</v>
      </c>
      <c r="B530" t="s">
        <v>545</v>
      </c>
      <c r="C530" t="s">
        <v>1119</v>
      </c>
      <c r="D530" t="s">
        <v>1134</v>
      </c>
      <c r="E530" t="s">
        <v>1143</v>
      </c>
      <c r="F530" t="s">
        <v>1151</v>
      </c>
      <c r="G530" t="s">
        <v>1157</v>
      </c>
      <c r="H530">
        <v>4</v>
      </c>
      <c r="I530">
        <v>8891</v>
      </c>
      <c r="J530" s="6">
        <v>10</v>
      </c>
      <c r="K530">
        <v>7557.35</v>
      </c>
      <c r="L530">
        <v>30229.4</v>
      </c>
      <c r="M530">
        <v>1500</v>
      </c>
      <c r="N530" t="s">
        <v>1159</v>
      </c>
      <c r="O530" t="s">
        <v>1162</v>
      </c>
      <c r="Q530" t="str">
        <f t="shared" si="24"/>
        <v>okay</v>
      </c>
      <c r="R530">
        <f t="shared" si="25"/>
        <v>2</v>
      </c>
      <c r="S530" s="6">
        <f t="shared" si="26"/>
        <v>0</v>
      </c>
    </row>
    <row r="531" spans="1:19" x14ac:dyDescent="0.3">
      <c r="A531" s="10">
        <v>45805</v>
      </c>
      <c r="B531" t="s">
        <v>546</v>
      </c>
      <c r="C531" t="s">
        <v>1131</v>
      </c>
      <c r="D531" t="s">
        <v>1136</v>
      </c>
      <c r="E531" t="s">
        <v>1144</v>
      </c>
      <c r="F531" t="s">
        <v>1151</v>
      </c>
      <c r="G531" t="s">
        <v>1157</v>
      </c>
      <c r="H531">
        <v>4</v>
      </c>
      <c r="I531">
        <v>7092</v>
      </c>
      <c r="J531" s="6">
        <v>15</v>
      </c>
      <c r="K531">
        <v>6028.2</v>
      </c>
      <c r="L531">
        <v>24112.799999999999</v>
      </c>
      <c r="M531">
        <v>1500</v>
      </c>
      <c r="N531" t="s">
        <v>1161</v>
      </c>
      <c r="O531" t="s">
        <v>1163</v>
      </c>
      <c r="Q531" t="str">
        <f t="shared" si="24"/>
        <v>no comment</v>
      </c>
      <c r="R531">
        <f t="shared" si="25"/>
        <v>1</v>
      </c>
      <c r="S531" s="6">
        <f t="shared" si="26"/>
        <v>0</v>
      </c>
    </row>
    <row r="532" spans="1:19" x14ac:dyDescent="0.3">
      <c r="A532" s="10">
        <v>45682</v>
      </c>
      <c r="B532" t="s">
        <v>547</v>
      </c>
      <c r="C532" t="s">
        <v>1127</v>
      </c>
      <c r="D532" t="s">
        <v>1134</v>
      </c>
      <c r="E532" t="s">
        <v>1145</v>
      </c>
      <c r="F532" t="s">
        <v>1149</v>
      </c>
      <c r="G532" t="s">
        <v>1153</v>
      </c>
      <c r="H532">
        <v>3</v>
      </c>
      <c r="I532">
        <v>45461</v>
      </c>
      <c r="J532" s="6">
        <v>5</v>
      </c>
      <c r="K532">
        <v>43187.95</v>
      </c>
      <c r="L532">
        <v>129563.85</v>
      </c>
      <c r="M532">
        <v>2000</v>
      </c>
      <c r="N532" t="s">
        <v>1161</v>
      </c>
      <c r="O532" t="s">
        <v>1164</v>
      </c>
      <c r="P532" s="10">
        <v>45688</v>
      </c>
      <c r="Q532" t="str">
        <f t="shared" si="24"/>
        <v>excellent</v>
      </c>
      <c r="R532">
        <f t="shared" si="25"/>
        <v>3</v>
      </c>
      <c r="S532" s="6">
        <f t="shared" si="26"/>
        <v>6</v>
      </c>
    </row>
    <row r="533" spans="1:19" x14ac:dyDescent="0.3">
      <c r="A533" s="10">
        <v>45743</v>
      </c>
      <c r="B533" t="s">
        <v>548</v>
      </c>
      <c r="C533" t="s">
        <v>1117</v>
      </c>
      <c r="D533" t="s">
        <v>1133</v>
      </c>
      <c r="E533" t="s">
        <v>1139</v>
      </c>
      <c r="F533" t="s">
        <v>1150</v>
      </c>
      <c r="G533" t="s">
        <v>1154</v>
      </c>
      <c r="H533">
        <v>1</v>
      </c>
      <c r="I533">
        <v>47083</v>
      </c>
      <c r="J533" s="6">
        <v>15</v>
      </c>
      <c r="K533">
        <v>40020.550000000003</v>
      </c>
      <c r="L533">
        <v>40020.550000000003</v>
      </c>
      <c r="M533">
        <v>1000</v>
      </c>
      <c r="N533" t="s">
        <v>1160</v>
      </c>
      <c r="O533" t="s">
        <v>1163</v>
      </c>
      <c r="Q533" t="str">
        <f t="shared" si="24"/>
        <v>no comment</v>
      </c>
      <c r="R533">
        <f t="shared" si="25"/>
        <v>1</v>
      </c>
      <c r="S533" s="6">
        <f t="shared" si="26"/>
        <v>0</v>
      </c>
    </row>
    <row r="534" spans="1:19" x14ac:dyDescent="0.3">
      <c r="A534" s="10">
        <v>45769</v>
      </c>
      <c r="B534" t="s">
        <v>549</v>
      </c>
      <c r="C534" t="s">
        <v>1120</v>
      </c>
      <c r="D534" t="s">
        <v>1135</v>
      </c>
      <c r="E534" t="s">
        <v>1140</v>
      </c>
      <c r="F534" t="s">
        <v>1150</v>
      </c>
      <c r="G534" t="s">
        <v>1154</v>
      </c>
      <c r="H534">
        <v>3</v>
      </c>
      <c r="I534">
        <v>37070</v>
      </c>
      <c r="J534" s="6">
        <v>15</v>
      </c>
      <c r="K534">
        <v>31509.5</v>
      </c>
      <c r="L534">
        <v>94528.5</v>
      </c>
      <c r="M534">
        <v>1000</v>
      </c>
      <c r="N534" t="s">
        <v>1159</v>
      </c>
      <c r="O534" t="s">
        <v>1164</v>
      </c>
      <c r="P534" s="10">
        <v>45774</v>
      </c>
      <c r="Q534" t="str">
        <f t="shared" si="24"/>
        <v>excellent</v>
      </c>
      <c r="R534">
        <f t="shared" si="25"/>
        <v>3</v>
      </c>
      <c r="S534" s="6">
        <f t="shared" si="26"/>
        <v>5</v>
      </c>
    </row>
    <row r="535" spans="1:19" x14ac:dyDescent="0.3">
      <c r="A535" s="10">
        <v>45737</v>
      </c>
      <c r="B535" t="s">
        <v>550</v>
      </c>
      <c r="C535" t="s">
        <v>1130</v>
      </c>
      <c r="D535" t="s">
        <v>1136</v>
      </c>
      <c r="E535" t="s">
        <v>1145</v>
      </c>
      <c r="F535" t="s">
        <v>1149</v>
      </c>
      <c r="G535" t="s">
        <v>1153</v>
      </c>
      <c r="H535">
        <v>5</v>
      </c>
      <c r="I535">
        <v>12785</v>
      </c>
      <c r="J535" s="6">
        <v>10</v>
      </c>
      <c r="K535">
        <v>11506.5</v>
      </c>
      <c r="L535">
        <v>57532.5</v>
      </c>
      <c r="M535">
        <v>1500</v>
      </c>
      <c r="N535" t="s">
        <v>1160</v>
      </c>
      <c r="O535" t="s">
        <v>1162</v>
      </c>
      <c r="Q535" t="str">
        <f t="shared" si="24"/>
        <v>okay</v>
      </c>
      <c r="R535">
        <f t="shared" si="25"/>
        <v>2</v>
      </c>
      <c r="S535" s="6">
        <f t="shared" si="26"/>
        <v>0</v>
      </c>
    </row>
    <row r="536" spans="1:19" x14ac:dyDescent="0.3">
      <c r="A536" s="10">
        <v>45700</v>
      </c>
      <c r="B536" t="s">
        <v>551</v>
      </c>
      <c r="C536" t="s">
        <v>1118</v>
      </c>
      <c r="D536" t="s">
        <v>1134</v>
      </c>
      <c r="E536" t="s">
        <v>1145</v>
      </c>
      <c r="F536" t="s">
        <v>1149</v>
      </c>
      <c r="G536" t="s">
        <v>1153</v>
      </c>
      <c r="H536">
        <v>5</v>
      </c>
      <c r="I536">
        <v>44586</v>
      </c>
      <c r="J536" s="6">
        <v>20</v>
      </c>
      <c r="K536">
        <v>35668.800000000003</v>
      </c>
      <c r="L536">
        <v>178344</v>
      </c>
      <c r="M536">
        <v>1000</v>
      </c>
      <c r="N536" t="s">
        <v>1161</v>
      </c>
      <c r="O536" t="s">
        <v>1162</v>
      </c>
      <c r="Q536" t="str">
        <f t="shared" si="24"/>
        <v>okay</v>
      </c>
      <c r="R536">
        <f t="shared" si="25"/>
        <v>2</v>
      </c>
      <c r="S536" s="6">
        <f t="shared" si="26"/>
        <v>0</v>
      </c>
    </row>
    <row r="537" spans="1:19" x14ac:dyDescent="0.3">
      <c r="A537" s="10">
        <v>45772</v>
      </c>
      <c r="B537" t="s">
        <v>552</v>
      </c>
      <c r="C537" t="s">
        <v>1129</v>
      </c>
      <c r="D537" t="s">
        <v>1133</v>
      </c>
      <c r="E537" t="s">
        <v>1145</v>
      </c>
      <c r="F537" t="s">
        <v>1149</v>
      </c>
      <c r="G537" t="s">
        <v>1153</v>
      </c>
      <c r="H537">
        <v>2</v>
      </c>
      <c r="I537">
        <v>51551</v>
      </c>
      <c r="J537" s="6">
        <v>5</v>
      </c>
      <c r="K537">
        <v>48973.45</v>
      </c>
      <c r="L537">
        <v>97946.9</v>
      </c>
      <c r="M537">
        <v>2000</v>
      </c>
      <c r="N537" t="s">
        <v>1160</v>
      </c>
      <c r="O537" t="s">
        <v>1163</v>
      </c>
      <c r="Q537" t="str">
        <f t="shared" si="24"/>
        <v>no comment</v>
      </c>
      <c r="R537">
        <f t="shared" si="25"/>
        <v>1</v>
      </c>
      <c r="S537" s="6">
        <f t="shared" si="26"/>
        <v>0</v>
      </c>
    </row>
    <row r="538" spans="1:19" x14ac:dyDescent="0.3">
      <c r="A538" s="10">
        <v>45677</v>
      </c>
      <c r="B538" t="s">
        <v>553</v>
      </c>
      <c r="C538" t="s">
        <v>1127</v>
      </c>
      <c r="D538" t="s">
        <v>1134</v>
      </c>
      <c r="E538" t="s">
        <v>1148</v>
      </c>
      <c r="F538" t="s">
        <v>1149</v>
      </c>
      <c r="G538" t="s">
        <v>1152</v>
      </c>
      <c r="H538">
        <v>4</v>
      </c>
      <c r="I538">
        <v>61892</v>
      </c>
      <c r="J538" s="6">
        <v>0</v>
      </c>
      <c r="K538">
        <v>61892</v>
      </c>
      <c r="L538">
        <v>247568</v>
      </c>
      <c r="M538">
        <v>2000</v>
      </c>
      <c r="N538" t="s">
        <v>1160</v>
      </c>
      <c r="O538" t="s">
        <v>1162</v>
      </c>
      <c r="Q538" t="str">
        <f t="shared" si="24"/>
        <v>okay</v>
      </c>
      <c r="R538">
        <f t="shared" si="25"/>
        <v>2</v>
      </c>
      <c r="S538" s="6">
        <f t="shared" si="26"/>
        <v>0</v>
      </c>
    </row>
    <row r="539" spans="1:19" x14ac:dyDescent="0.3">
      <c r="A539" s="10">
        <v>45662</v>
      </c>
      <c r="B539" t="s">
        <v>554</v>
      </c>
      <c r="C539" t="s">
        <v>1120</v>
      </c>
      <c r="D539" t="s">
        <v>1135</v>
      </c>
      <c r="E539" t="s">
        <v>1147</v>
      </c>
      <c r="F539" t="s">
        <v>1150</v>
      </c>
      <c r="G539" t="s">
        <v>1156</v>
      </c>
      <c r="H539">
        <v>5</v>
      </c>
      <c r="I539">
        <v>42791</v>
      </c>
      <c r="J539" s="6">
        <v>5</v>
      </c>
      <c r="K539">
        <v>40651.449999999997</v>
      </c>
      <c r="L539">
        <v>203257.25</v>
      </c>
      <c r="M539">
        <v>1500</v>
      </c>
      <c r="N539" t="s">
        <v>1161</v>
      </c>
      <c r="O539" t="s">
        <v>1163</v>
      </c>
      <c r="Q539" t="str">
        <f t="shared" si="24"/>
        <v>no comment</v>
      </c>
      <c r="R539">
        <f t="shared" si="25"/>
        <v>1</v>
      </c>
      <c r="S539" s="6">
        <f t="shared" si="26"/>
        <v>0</v>
      </c>
    </row>
    <row r="540" spans="1:19" x14ac:dyDescent="0.3">
      <c r="A540" s="10">
        <v>45772</v>
      </c>
      <c r="B540" t="s">
        <v>555</v>
      </c>
      <c r="C540" t="s">
        <v>1117</v>
      </c>
      <c r="D540" t="s">
        <v>1133</v>
      </c>
      <c r="E540" t="s">
        <v>1137</v>
      </c>
      <c r="F540" t="s">
        <v>1149</v>
      </c>
      <c r="G540" t="s">
        <v>1152</v>
      </c>
      <c r="H540">
        <v>2</v>
      </c>
      <c r="I540">
        <v>17459</v>
      </c>
      <c r="J540" s="6">
        <v>10</v>
      </c>
      <c r="K540">
        <v>16586.05</v>
      </c>
      <c r="L540">
        <v>33172.1</v>
      </c>
      <c r="M540">
        <v>2000</v>
      </c>
      <c r="N540" t="s">
        <v>1160</v>
      </c>
      <c r="O540" t="s">
        <v>1162</v>
      </c>
      <c r="Q540" t="str">
        <f t="shared" si="24"/>
        <v>okay</v>
      </c>
      <c r="R540">
        <f t="shared" si="25"/>
        <v>2</v>
      </c>
      <c r="S540" s="6">
        <f t="shared" si="26"/>
        <v>0</v>
      </c>
    </row>
    <row r="541" spans="1:19" x14ac:dyDescent="0.3">
      <c r="A541" s="10">
        <v>45667</v>
      </c>
      <c r="B541" t="s">
        <v>556</v>
      </c>
      <c r="C541" t="s">
        <v>1119</v>
      </c>
      <c r="D541" t="s">
        <v>1134</v>
      </c>
      <c r="E541" t="s">
        <v>1137</v>
      </c>
      <c r="F541" t="s">
        <v>1149</v>
      </c>
      <c r="G541" t="s">
        <v>1152</v>
      </c>
      <c r="H541">
        <v>5</v>
      </c>
      <c r="I541">
        <v>14191</v>
      </c>
      <c r="J541" s="6">
        <v>15</v>
      </c>
      <c r="K541">
        <v>12062.35</v>
      </c>
      <c r="L541">
        <v>60311.75</v>
      </c>
      <c r="M541">
        <v>1500</v>
      </c>
      <c r="N541" t="s">
        <v>1160</v>
      </c>
      <c r="O541" t="s">
        <v>1164</v>
      </c>
      <c r="P541" s="10">
        <v>45681</v>
      </c>
      <c r="Q541" t="str">
        <f t="shared" si="24"/>
        <v>excellent</v>
      </c>
      <c r="R541">
        <f t="shared" si="25"/>
        <v>3</v>
      </c>
      <c r="S541" s="6">
        <f t="shared" si="26"/>
        <v>14</v>
      </c>
    </row>
    <row r="542" spans="1:19" x14ac:dyDescent="0.3">
      <c r="A542" s="10">
        <v>45807</v>
      </c>
      <c r="B542" t="s">
        <v>557</v>
      </c>
      <c r="C542" t="s">
        <v>1127</v>
      </c>
      <c r="D542" t="s">
        <v>1134</v>
      </c>
      <c r="E542" t="s">
        <v>1139</v>
      </c>
      <c r="F542" t="s">
        <v>1150</v>
      </c>
      <c r="G542" t="s">
        <v>1154</v>
      </c>
      <c r="H542">
        <v>3</v>
      </c>
      <c r="I542">
        <v>35924</v>
      </c>
      <c r="J542" s="6">
        <v>0</v>
      </c>
      <c r="K542">
        <v>35924</v>
      </c>
      <c r="L542">
        <v>107772</v>
      </c>
      <c r="M542">
        <v>1500</v>
      </c>
      <c r="N542" t="s">
        <v>1160</v>
      </c>
      <c r="O542" t="s">
        <v>1163</v>
      </c>
      <c r="Q542" t="str">
        <f t="shared" si="24"/>
        <v>no comment</v>
      </c>
      <c r="R542">
        <f t="shared" si="25"/>
        <v>1</v>
      </c>
      <c r="S542" s="6">
        <f t="shared" si="26"/>
        <v>0</v>
      </c>
    </row>
    <row r="543" spans="1:19" x14ac:dyDescent="0.3">
      <c r="A543" s="10">
        <v>45750</v>
      </c>
      <c r="B543" t="s">
        <v>558</v>
      </c>
      <c r="C543" t="s">
        <v>1121</v>
      </c>
      <c r="D543" t="s">
        <v>1136</v>
      </c>
      <c r="E543" t="s">
        <v>1146</v>
      </c>
      <c r="F543" t="s">
        <v>1151</v>
      </c>
      <c r="G543" t="s">
        <v>1155</v>
      </c>
      <c r="H543">
        <v>5</v>
      </c>
      <c r="I543">
        <v>2188</v>
      </c>
      <c r="J543" s="6">
        <v>20</v>
      </c>
      <c r="K543">
        <v>1750.4</v>
      </c>
      <c r="L543">
        <v>8752</v>
      </c>
      <c r="M543">
        <v>1000</v>
      </c>
      <c r="N543" t="s">
        <v>1160</v>
      </c>
      <c r="O543" t="s">
        <v>1162</v>
      </c>
      <c r="Q543" t="str">
        <f t="shared" si="24"/>
        <v>okay</v>
      </c>
      <c r="R543">
        <f t="shared" si="25"/>
        <v>2</v>
      </c>
      <c r="S543" s="6">
        <f t="shared" si="26"/>
        <v>0</v>
      </c>
    </row>
    <row r="544" spans="1:19" x14ac:dyDescent="0.3">
      <c r="A544" s="10">
        <v>45721</v>
      </c>
      <c r="B544" t="s">
        <v>559</v>
      </c>
      <c r="C544" t="s">
        <v>1131</v>
      </c>
      <c r="D544" t="s">
        <v>1136</v>
      </c>
      <c r="E544" t="s">
        <v>1141</v>
      </c>
      <c r="F544" t="s">
        <v>1151</v>
      </c>
      <c r="G544" t="s">
        <v>1155</v>
      </c>
      <c r="H544">
        <v>2</v>
      </c>
      <c r="I544">
        <v>75409</v>
      </c>
      <c r="J544" s="6">
        <v>5</v>
      </c>
      <c r="K544">
        <v>71638.55</v>
      </c>
      <c r="L544">
        <v>143277.1</v>
      </c>
      <c r="M544">
        <v>2000</v>
      </c>
      <c r="N544" t="s">
        <v>1161</v>
      </c>
      <c r="O544" t="s">
        <v>1163</v>
      </c>
      <c r="Q544" t="str">
        <f t="shared" si="24"/>
        <v>no comment</v>
      </c>
      <c r="R544">
        <f t="shared" si="25"/>
        <v>1</v>
      </c>
      <c r="S544" s="6">
        <f t="shared" si="26"/>
        <v>0</v>
      </c>
    </row>
    <row r="545" spans="1:19" x14ac:dyDescent="0.3">
      <c r="A545" s="10">
        <v>45831</v>
      </c>
      <c r="B545" t="s">
        <v>560</v>
      </c>
      <c r="C545" t="s">
        <v>1118</v>
      </c>
      <c r="D545" t="s">
        <v>1134</v>
      </c>
      <c r="E545" t="s">
        <v>1144</v>
      </c>
      <c r="F545" t="s">
        <v>1151</v>
      </c>
      <c r="G545" t="s">
        <v>1157</v>
      </c>
      <c r="H545">
        <v>3</v>
      </c>
      <c r="I545">
        <v>75922</v>
      </c>
      <c r="J545" s="6">
        <v>20</v>
      </c>
      <c r="K545">
        <v>60737.599999999999</v>
      </c>
      <c r="L545">
        <v>182212.8</v>
      </c>
      <c r="M545">
        <v>1500</v>
      </c>
      <c r="N545" t="s">
        <v>1159</v>
      </c>
      <c r="O545" t="s">
        <v>1164</v>
      </c>
      <c r="P545" s="10">
        <v>45844</v>
      </c>
      <c r="Q545" t="str">
        <f t="shared" si="24"/>
        <v>excellent</v>
      </c>
      <c r="R545">
        <f t="shared" si="25"/>
        <v>3</v>
      </c>
      <c r="S545" s="6">
        <f t="shared" si="26"/>
        <v>13</v>
      </c>
    </row>
    <row r="546" spans="1:19" x14ac:dyDescent="0.3">
      <c r="A546" s="10">
        <v>45800</v>
      </c>
      <c r="B546" t="s">
        <v>561</v>
      </c>
      <c r="C546" t="s">
        <v>1126</v>
      </c>
      <c r="D546" t="s">
        <v>1133</v>
      </c>
      <c r="E546" t="s">
        <v>1145</v>
      </c>
      <c r="F546" t="s">
        <v>1149</v>
      </c>
      <c r="G546" t="s">
        <v>1153</v>
      </c>
      <c r="H546">
        <v>3</v>
      </c>
      <c r="I546">
        <v>49408</v>
      </c>
      <c r="J546" s="6">
        <v>5</v>
      </c>
      <c r="K546">
        <v>46937.599999999999</v>
      </c>
      <c r="L546">
        <v>140812.79999999999</v>
      </c>
      <c r="M546">
        <v>1500</v>
      </c>
      <c r="N546" t="s">
        <v>1159</v>
      </c>
      <c r="O546" t="s">
        <v>1162</v>
      </c>
      <c r="Q546" t="str">
        <f t="shared" si="24"/>
        <v>okay</v>
      </c>
      <c r="R546">
        <f t="shared" si="25"/>
        <v>2</v>
      </c>
      <c r="S546" s="6">
        <f t="shared" si="26"/>
        <v>0</v>
      </c>
    </row>
    <row r="547" spans="1:19" x14ac:dyDescent="0.3">
      <c r="A547" s="10">
        <v>45656</v>
      </c>
      <c r="B547" t="s">
        <v>562</v>
      </c>
      <c r="C547" t="s">
        <v>1123</v>
      </c>
      <c r="D547" t="s">
        <v>1135</v>
      </c>
      <c r="E547" t="s">
        <v>1144</v>
      </c>
      <c r="F547" t="s">
        <v>1151</v>
      </c>
      <c r="G547" t="s">
        <v>1157</v>
      </c>
      <c r="H547">
        <v>5</v>
      </c>
      <c r="I547">
        <v>42712</v>
      </c>
      <c r="J547" s="6">
        <v>5</v>
      </c>
      <c r="K547">
        <v>40576.400000000001</v>
      </c>
      <c r="L547">
        <v>202882</v>
      </c>
      <c r="M547">
        <v>2000</v>
      </c>
      <c r="N547" t="s">
        <v>1159</v>
      </c>
      <c r="O547" t="s">
        <v>1162</v>
      </c>
      <c r="Q547" t="str">
        <f t="shared" si="24"/>
        <v>okay</v>
      </c>
      <c r="R547">
        <f t="shared" si="25"/>
        <v>2</v>
      </c>
      <c r="S547" s="6">
        <f t="shared" si="26"/>
        <v>0</v>
      </c>
    </row>
    <row r="548" spans="1:19" x14ac:dyDescent="0.3">
      <c r="A548" s="10">
        <v>45764</v>
      </c>
      <c r="B548" t="s">
        <v>563</v>
      </c>
      <c r="C548" t="s">
        <v>1129</v>
      </c>
      <c r="D548" t="s">
        <v>1133</v>
      </c>
      <c r="E548" t="s">
        <v>1145</v>
      </c>
      <c r="F548" t="s">
        <v>1149</v>
      </c>
      <c r="G548" t="s">
        <v>1153</v>
      </c>
      <c r="H548">
        <v>5</v>
      </c>
      <c r="I548">
        <v>12439</v>
      </c>
      <c r="J548" s="6">
        <v>20</v>
      </c>
      <c r="K548">
        <v>9951.2000000000007</v>
      </c>
      <c r="L548">
        <v>49756</v>
      </c>
      <c r="M548">
        <v>2000</v>
      </c>
      <c r="N548" t="s">
        <v>1161</v>
      </c>
      <c r="O548" t="s">
        <v>1164</v>
      </c>
      <c r="P548" s="10">
        <v>45773</v>
      </c>
      <c r="Q548" t="str">
        <f t="shared" si="24"/>
        <v>excellent</v>
      </c>
      <c r="R548">
        <f t="shared" si="25"/>
        <v>3</v>
      </c>
      <c r="S548" s="6">
        <f t="shared" si="26"/>
        <v>9</v>
      </c>
    </row>
    <row r="549" spans="1:19" x14ac:dyDescent="0.3">
      <c r="A549" s="10">
        <v>45688</v>
      </c>
      <c r="B549" t="s">
        <v>564</v>
      </c>
      <c r="C549" t="s">
        <v>1124</v>
      </c>
      <c r="D549" t="s">
        <v>1135</v>
      </c>
      <c r="E549" t="s">
        <v>1148</v>
      </c>
      <c r="F549" t="s">
        <v>1149</v>
      </c>
      <c r="G549" t="s">
        <v>1152</v>
      </c>
      <c r="H549">
        <v>4</v>
      </c>
      <c r="I549">
        <v>31140</v>
      </c>
      <c r="J549" s="6">
        <v>10</v>
      </c>
      <c r="K549">
        <v>28026</v>
      </c>
      <c r="L549">
        <v>112104</v>
      </c>
      <c r="M549">
        <v>1500</v>
      </c>
      <c r="N549" t="s">
        <v>1160</v>
      </c>
      <c r="O549" t="s">
        <v>1163</v>
      </c>
      <c r="Q549" t="str">
        <f t="shared" si="24"/>
        <v>no comment</v>
      </c>
      <c r="R549">
        <f t="shared" si="25"/>
        <v>1</v>
      </c>
      <c r="S549" s="6">
        <f t="shared" si="26"/>
        <v>0</v>
      </c>
    </row>
    <row r="550" spans="1:19" x14ac:dyDescent="0.3">
      <c r="A550" s="10">
        <v>45713</v>
      </c>
      <c r="B550" t="s">
        <v>300</v>
      </c>
      <c r="C550" t="s">
        <v>1118</v>
      </c>
      <c r="D550" t="s">
        <v>1134</v>
      </c>
      <c r="E550" t="s">
        <v>1144</v>
      </c>
      <c r="F550" t="s">
        <v>1151</v>
      </c>
      <c r="G550" t="s">
        <v>1157</v>
      </c>
      <c r="H550">
        <v>1</v>
      </c>
      <c r="I550">
        <v>63297</v>
      </c>
      <c r="J550" s="6">
        <v>5</v>
      </c>
      <c r="K550">
        <v>60132.15</v>
      </c>
      <c r="L550">
        <v>60132.15</v>
      </c>
      <c r="M550">
        <v>2000</v>
      </c>
      <c r="N550" t="s">
        <v>1159</v>
      </c>
      <c r="O550" t="s">
        <v>1164</v>
      </c>
      <c r="P550" s="10">
        <v>45716</v>
      </c>
      <c r="Q550" t="str">
        <f t="shared" si="24"/>
        <v>excellent</v>
      </c>
      <c r="R550">
        <f t="shared" si="25"/>
        <v>3</v>
      </c>
      <c r="S550" s="6">
        <f t="shared" si="26"/>
        <v>3</v>
      </c>
    </row>
    <row r="551" spans="1:19" x14ac:dyDescent="0.3">
      <c r="A551" s="10">
        <v>45719</v>
      </c>
      <c r="B551" t="s">
        <v>565</v>
      </c>
      <c r="C551" t="s">
        <v>1122</v>
      </c>
      <c r="D551" t="s">
        <v>1136</v>
      </c>
      <c r="E551" t="s">
        <v>1148</v>
      </c>
      <c r="F551" t="s">
        <v>1149</v>
      </c>
      <c r="G551" t="s">
        <v>1152</v>
      </c>
      <c r="H551">
        <v>2</v>
      </c>
      <c r="I551">
        <v>14916</v>
      </c>
      <c r="J551" s="6">
        <v>20</v>
      </c>
      <c r="K551">
        <v>11932.8</v>
      </c>
      <c r="L551">
        <v>23865.599999999999</v>
      </c>
      <c r="M551">
        <v>2000</v>
      </c>
      <c r="N551" t="s">
        <v>1161</v>
      </c>
      <c r="O551" t="s">
        <v>1163</v>
      </c>
      <c r="Q551" t="str">
        <f t="shared" si="24"/>
        <v>no comment</v>
      </c>
      <c r="R551">
        <f t="shared" si="25"/>
        <v>1</v>
      </c>
      <c r="S551" s="6">
        <f t="shared" si="26"/>
        <v>0</v>
      </c>
    </row>
    <row r="552" spans="1:19" x14ac:dyDescent="0.3">
      <c r="A552" s="10">
        <v>45686</v>
      </c>
      <c r="B552" t="s">
        <v>566</v>
      </c>
      <c r="C552" t="s">
        <v>1127</v>
      </c>
      <c r="D552" t="s">
        <v>1134</v>
      </c>
      <c r="E552" t="s">
        <v>1137</v>
      </c>
      <c r="F552" t="s">
        <v>1149</v>
      </c>
      <c r="G552" t="s">
        <v>1152</v>
      </c>
      <c r="H552">
        <v>4</v>
      </c>
      <c r="I552">
        <v>37087</v>
      </c>
      <c r="J552" s="6">
        <v>15</v>
      </c>
      <c r="K552">
        <v>31523.95</v>
      </c>
      <c r="L552">
        <v>126095.8</v>
      </c>
      <c r="M552">
        <v>1000</v>
      </c>
      <c r="N552" t="s">
        <v>1160</v>
      </c>
      <c r="O552" t="s">
        <v>1163</v>
      </c>
      <c r="Q552" t="str">
        <f t="shared" si="24"/>
        <v>no comment</v>
      </c>
      <c r="R552">
        <f t="shared" si="25"/>
        <v>1</v>
      </c>
      <c r="S552" s="6">
        <f t="shared" si="26"/>
        <v>0</v>
      </c>
    </row>
    <row r="553" spans="1:19" x14ac:dyDescent="0.3">
      <c r="A553" s="10">
        <v>45732</v>
      </c>
      <c r="B553" t="s">
        <v>567</v>
      </c>
      <c r="C553" t="s">
        <v>1131</v>
      </c>
      <c r="D553" t="s">
        <v>1136</v>
      </c>
      <c r="E553" t="s">
        <v>1146</v>
      </c>
      <c r="F553" t="s">
        <v>1151</v>
      </c>
      <c r="G553" t="s">
        <v>1155</v>
      </c>
      <c r="H553">
        <v>4</v>
      </c>
      <c r="I553">
        <v>15814</v>
      </c>
      <c r="J553" s="6">
        <v>15</v>
      </c>
      <c r="K553">
        <v>13441.9</v>
      </c>
      <c r="L553">
        <v>53767.6</v>
      </c>
      <c r="M553">
        <v>2000</v>
      </c>
      <c r="N553" t="s">
        <v>1160</v>
      </c>
      <c r="O553" t="s">
        <v>1162</v>
      </c>
      <c r="Q553" t="str">
        <f t="shared" si="24"/>
        <v>okay</v>
      </c>
      <c r="R553">
        <f t="shared" si="25"/>
        <v>2</v>
      </c>
      <c r="S553" s="6">
        <f t="shared" si="26"/>
        <v>0</v>
      </c>
    </row>
    <row r="554" spans="1:19" x14ac:dyDescent="0.3">
      <c r="A554" s="10">
        <v>45746</v>
      </c>
      <c r="B554" t="s">
        <v>568</v>
      </c>
      <c r="C554" t="s">
        <v>1122</v>
      </c>
      <c r="D554" t="s">
        <v>1136</v>
      </c>
      <c r="E554" t="s">
        <v>1147</v>
      </c>
      <c r="F554" t="s">
        <v>1150</v>
      </c>
      <c r="G554" t="s">
        <v>1156</v>
      </c>
      <c r="H554">
        <v>1</v>
      </c>
      <c r="I554">
        <v>79201</v>
      </c>
      <c r="J554" s="6">
        <v>15</v>
      </c>
      <c r="K554">
        <v>67320.850000000006</v>
      </c>
      <c r="L554">
        <v>67320.850000000006</v>
      </c>
      <c r="M554">
        <v>2000</v>
      </c>
      <c r="N554" t="s">
        <v>1161</v>
      </c>
      <c r="O554" t="s">
        <v>1162</v>
      </c>
      <c r="Q554" t="str">
        <f t="shared" si="24"/>
        <v>okay</v>
      </c>
      <c r="R554">
        <f t="shared" si="25"/>
        <v>2</v>
      </c>
      <c r="S554" s="6">
        <f t="shared" si="26"/>
        <v>0</v>
      </c>
    </row>
    <row r="555" spans="1:19" x14ac:dyDescent="0.3">
      <c r="A555" s="10">
        <v>45709</v>
      </c>
      <c r="B555" t="s">
        <v>569</v>
      </c>
      <c r="C555" t="s">
        <v>1130</v>
      </c>
      <c r="D555" t="s">
        <v>1136</v>
      </c>
      <c r="E555" t="s">
        <v>1143</v>
      </c>
      <c r="F555" t="s">
        <v>1151</v>
      </c>
      <c r="G555" t="s">
        <v>1157</v>
      </c>
      <c r="H555">
        <v>5</v>
      </c>
      <c r="I555">
        <v>9706</v>
      </c>
      <c r="J555" s="6">
        <v>15</v>
      </c>
      <c r="K555">
        <v>8250.1</v>
      </c>
      <c r="L555">
        <v>41250.5</v>
      </c>
      <c r="M555">
        <v>1500</v>
      </c>
      <c r="N555" t="s">
        <v>1159</v>
      </c>
      <c r="O555" t="s">
        <v>1163</v>
      </c>
      <c r="Q555" t="str">
        <f t="shared" si="24"/>
        <v>no comment</v>
      </c>
      <c r="R555">
        <f t="shared" si="25"/>
        <v>1</v>
      </c>
      <c r="S555" s="6">
        <f t="shared" si="26"/>
        <v>0</v>
      </c>
    </row>
    <row r="556" spans="1:19" x14ac:dyDescent="0.3">
      <c r="A556" s="10">
        <v>45747</v>
      </c>
      <c r="B556" t="s">
        <v>570</v>
      </c>
      <c r="C556" t="s">
        <v>1118</v>
      </c>
      <c r="D556" t="s">
        <v>1134</v>
      </c>
      <c r="E556" t="s">
        <v>1142</v>
      </c>
      <c r="F556" t="s">
        <v>1150</v>
      </c>
      <c r="G556" t="s">
        <v>1156</v>
      </c>
      <c r="H556">
        <v>5</v>
      </c>
      <c r="I556">
        <v>8444</v>
      </c>
      <c r="J556" s="6">
        <v>0</v>
      </c>
      <c r="K556">
        <v>8444</v>
      </c>
      <c r="L556">
        <v>42220</v>
      </c>
      <c r="M556">
        <v>2000</v>
      </c>
      <c r="N556" t="s">
        <v>1159</v>
      </c>
      <c r="O556" t="s">
        <v>1162</v>
      </c>
      <c r="Q556" t="str">
        <f t="shared" si="24"/>
        <v>okay</v>
      </c>
      <c r="R556">
        <f t="shared" si="25"/>
        <v>2</v>
      </c>
      <c r="S556" s="6">
        <f t="shared" si="26"/>
        <v>0</v>
      </c>
    </row>
    <row r="557" spans="1:19" x14ac:dyDescent="0.3">
      <c r="A557" s="10">
        <v>45791</v>
      </c>
      <c r="B557" t="s">
        <v>571</v>
      </c>
      <c r="C557" t="s">
        <v>1132</v>
      </c>
      <c r="D557" t="s">
        <v>1134</v>
      </c>
      <c r="E557" t="s">
        <v>1146</v>
      </c>
      <c r="F557" t="s">
        <v>1151</v>
      </c>
      <c r="G557" t="s">
        <v>1155</v>
      </c>
      <c r="H557">
        <v>4</v>
      </c>
      <c r="I557">
        <v>66284</v>
      </c>
      <c r="J557" s="6">
        <v>10</v>
      </c>
      <c r="K557">
        <v>59655.6</v>
      </c>
      <c r="L557">
        <v>238622.4</v>
      </c>
      <c r="M557">
        <v>2000</v>
      </c>
      <c r="N557" t="s">
        <v>1159</v>
      </c>
      <c r="O557" t="s">
        <v>1162</v>
      </c>
      <c r="Q557" t="str">
        <f t="shared" si="24"/>
        <v>okay</v>
      </c>
      <c r="R557">
        <f t="shared" si="25"/>
        <v>2</v>
      </c>
      <c r="S557" s="6">
        <f t="shared" si="26"/>
        <v>0</v>
      </c>
    </row>
    <row r="558" spans="1:19" x14ac:dyDescent="0.3">
      <c r="A558" s="10">
        <v>45730</v>
      </c>
      <c r="B558" t="s">
        <v>572</v>
      </c>
      <c r="C558" t="s">
        <v>1118</v>
      </c>
      <c r="D558" t="s">
        <v>1134</v>
      </c>
      <c r="E558" t="s">
        <v>1140</v>
      </c>
      <c r="F558" t="s">
        <v>1150</v>
      </c>
      <c r="G558" t="s">
        <v>1154</v>
      </c>
      <c r="H558">
        <v>3</v>
      </c>
      <c r="I558">
        <v>78724</v>
      </c>
      <c r="J558" s="6">
        <v>15</v>
      </c>
      <c r="K558">
        <v>66915.399999999994</v>
      </c>
      <c r="L558">
        <v>200746.2</v>
      </c>
      <c r="M558">
        <v>2000</v>
      </c>
      <c r="N558" t="s">
        <v>1159</v>
      </c>
      <c r="O558" t="s">
        <v>1164</v>
      </c>
      <c r="P558" s="10">
        <v>45735</v>
      </c>
      <c r="Q558" t="str">
        <f t="shared" si="24"/>
        <v>excellent</v>
      </c>
      <c r="R558">
        <f t="shared" si="25"/>
        <v>3</v>
      </c>
      <c r="S558" s="6">
        <f t="shared" si="26"/>
        <v>5</v>
      </c>
    </row>
    <row r="559" spans="1:19" x14ac:dyDescent="0.3">
      <c r="A559" s="10">
        <v>45739</v>
      </c>
      <c r="B559" t="s">
        <v>573</v>
      </c>
      <c r="C559" t="s">
        <v>1123</v>
      </c>
      <c r="D559" t="s">
        <v>1135</v>
      </c>
      <c r="E559" t="s">
        <v>1139</v>
      </c>
      <c r="F559" t="s">
        <v>1150</v>
      </c>
      <c r="G559" t="s">
        <v>1154</v>
      </c>
      <c r="H559">
        <v>4</v>
      </c>
      <c r="I559">
        <v>32122</v>
      </c>
      <c r="J559" s="6">
        <v>5</v>
      </c>
      <c r="K559">
        <v>30515.9</v>
      </c>
      <c r="L559">
        <v>122063.6</v>
      </c>
      <c r="M559">
        <v>1000</v>
      </c>
      <c r="N559" t="s">
        <v>1159</v>
      </c>
      <c r="O559" t="s">
        <v>1163</v>
      </c>
      <c r="Q559" t="str">
        <f t="shared" si="24"/>
        <v>no comment</v>
      </c>
      <c r="R559">
        <f t="shared" si="25"/>
        <v>1</v>
      </c>
      <c r="S559" s="6">
        <f t="shared" si="26"/>
        <v>0</v>
      </c>
    </row>
    <row r="560" spans="1:19" x14ac:dyDescent="0.3">
      <c r="A560" s="10">
        <v>45681</v>
      </c>
      <c r="B560" t="s">
        <v>574</v>
      </c>
      <c r="C560" t="s">
        <v>1127</v>
      </c>
      <c r="D560" t="s">
        <v>1134</v>
      </c>
      <c r="E560" t="s">
        <v>1143</v>
      </c>
      <c r="F560" t="s">
        <v>1151</v>
      </c>
      <c r="G560" t="s">
        <v>1157</v>
      </c>
      <c r="H560">
        <v>4</v>
      </c>
      <c r="I560">
        <v>56933</v>
      </c>
      <c r="J560" s="6">
        <v>10</v>
      </c>
      <c r="K560">
        <v>51239.7</v>
      </c>
      <c r="L560">
        <v>204958.8</v>
      </c>
      <c r="M560">
        <v>2000</v>
      </c>
      <c r="N560" t="s">
        <v>1160</v>
      </c>
      <c r="O560" t="s">
        <v>1164</v>
      </c>
      <c r="P560" s="10">
        <v>45691</v>
      </c>
      <c r="Q560" t="str">
        <f t="shared" si="24"/>
        <v>excellent</v>
      </c>
      <c r="R560">
        <f t="shared" si="25"/>
        <v>3</v>
      </c>
      <c r="S560" s="6">
        <f t="shared" si="26"/>
        <v>10</v>
      </c>
    </row>
    <row r="561" spans="1:19" x14ac:dyDescent="0.3">
      <c r="A561" s="10">
        <v>45773</v>
      </c>
      <c r="B561" t="s">
        <v>575</v>
      </c>
      <c r="C561" t="s">
        <v>1117</v>
      </c>
      <c r="D561" t="s">
        <v>1133</v>
      </c>
      <c r="E561" t="s">
        <v>1143</v>
      </c>
      <c r="F561" t="s">
        <v>1151</v>
      </c>
      <c r="G561" t="s">
        <v>1157</v>
      </c>
      <c r="H561">
        <v>1</v>
      </c>
      <c r="I561">
        <v>35293</v>
      </c>
      <c r="J561" s="6">
        <v>0</v>
      </c>
      <c r="K561">
        <v>35293</v>
      </c>
      <c r="L561">
        <v>35293</v>
      </c>
      <c r="M561">
        <v>1000</v>
      </c>
      <c r="N561" t="s">
        <v>1160</v>
      </c>
      <c r="O561" t="s">
        <v>1162</v>
      </c>
      <c r="Q561" t="str">
        <f t="shared" si="24"/>
        <v>okay</v>
      </c>
      <c r="R561">
        <f t="shared" si="25"/>
        <v>2</v>
      </c>
      <c r="S561" s="6">
        <f t="shared" si="26"/>
        <v>0</v>
      </c>
    </row>
    <row r="562" spans="1:19" x14ac:dyDescent="0.3">
      <c r="A562" s="10">
        <v>45768</v>
      </c>
      <c r="B562" t="s">
        <v>576</v>
      </c>
      <c r="C562" t="s">
        <v>1132</v>
      </c>
      <c r="D562" t="s">
        <v>1134</v>
      </c>
      <c r="E562" t="s">
        <v>1139</v>
      </c>
      <c r="F562" t="s">
        <v>1150</v>
      </c>
      <c r="G562" t="s">
        <v>1154</v>
      </c>
      <c r="H562">
        <v>2</v>
      </c>
      <c r="I562">
        <v>19336</v>
      </c>
      <c r="J562" s="6">
        <v>10</v>
      </c>
      <c r="K562">
        <v>17402.400000000001</v>
      </c>
      <c r="L562">
        <v>34804.800000000003</v>
      </c>
      <c r="M562">
        <v>1500</v>
      </c>
      <c r="N562" t="s">
        <v>1159</v>
      </c>
      <c r="O562" t="s">
        <v>1162</v>
      </c>
      <c r="Q562" t="str">
        <f t="shared" si="24"/>
        <v>okay</v>
      </c>
      <c r="R562">
        <f t="shared" si="25"/>
        <v>2</v>
      </c>
      <c r="S562" s="6">
        <f t="shared" si="26"/>
        <v>0</v>
      </c>
    </row>
    <row r="563" spans="1:19" x14ac:dyDescent="0.3">
      <c r="A563" s="10">
        <v>45698</v>
      </c>
      <c r="B563" t="s">
        <v>577</v>
      </c>
      <c r="C563" t="s">
        <v>1123</v>
      </c>
      <c r="D563" t="s">
        <v>1135</v>
      </c>
      <c r="E563" t="s">
        <v>1143</v>
      </c>
      <c r="F563" t="s">
        <v>1151</v>
      </c>
      <c r="G563" t="s">
        <v>1157</v>
      </c>
      <c r="H563">
        <v>4</v>
      </c>
      <c r="I563">
        <v>47427</v>
      </c>
      <c r="J563" s="6">
        <v>10</v>
      </c>
      <c r="K563">
        <v>42684.3</v>
      </c>
      <c r="L563">
        <v>170737.2</v>
      </c>
      <c r="M563">
        <v>1000</v>
      </c>
      <c r="N563" t="s">
        <v>1159</v>
      </c>
      <c r="O563" t="s">
        <v>1163</v>
      </c>
      <c r="Q563" t="str">
        <f t="shared" si="24"/>
        <v>no comment</v>
      </c>
      <c r="R563">
        <f t="shared" si="25"/>
        <v>1</v>
      </c>
      <c r="S563" s="6">
        <f t="shared" si="26"/>
        <v>0</v>
      </c>
    </row>
    <row r="564" spans="1:19" x14ac:dyDescent="0.3">
      <c r="A564" s="10">
        <v>45832</v>
      </c>
      <c r="B564" t="s">
        <v>578</v>
      </c>
      <c r="C564" t="s">
        <v>1128</v>
      </c>
      <c r="D564" t="s">
        <v>1135</v>
      </c>
      <c r="E564" t="s">
        <v>1138</v>
      </c>
      <c r="F564" t="s">
        <v>1149</v>
      </c>
      <c r="G564" t="s">
        <v>1153</v>
      </c>
      <c r="H564">
        <v>5</v>
      </c>
      <c r="I564">
        <v>15357</v>
      </c>
      <c r="J564" s="6">
        <v>0</v>
      </c>
      <c r="K564">
        <v>15357</v>
      </c>
      <c r="L564">
        <v>76785</v>
      </c>
      <c r="M564">
        <v>1000</v>
      </c>
      <c r="N564" t="s">
        <v>1161</v>
      </c>
      <c r="O564" t="s">
        <v>1163</v>
      </c>
      <c r="Q564" t="str">
        <f t="shared" si="24"/>
        <v>no comment</v>
      </c>
      <c r="R564">
        <f t="shared" si="25"/>
        <v>1</v>
      </c>
      <c r="S564" s="6">
        <f t="shared" si="26"/>
        <v>0</v>
      </c>
    </row>
    <row r="565" spans="1:19" x14ac:dyDescent="0.3">
      <c r="A565" s="10">
        <v>45744</v>
      </c>
      <c r="B565" t="s">
        <v>579</v>
      </c>
      <c r="C565" t="s">
        <v>1128</v>
      </c>
      <c r="D565" t="s">
        <v>1135</v>
      </c>
      <c r="E565" t="s">
        <v>1148</v>
      </c>
      <c r="F565" t="s">
        <v>1149</v>
      </c>
      <c r="G565" t="s">
        <v>1152</v>
      </c>
      <c r="H565">
        <v>2</v>
      </c>
      <c r="I565">
        <v>59743</v>
      </c>
      <c r="J565" s="6">
        <v>0</v>
      </c>
      <c r="K565">
        <v>59743</v>
      </c>
      <c r="L565">
        <v>119486</v>
      </c>
      <c r="M565">
        <v>1000</v>
      </c>
      <c r="N565" t="s">
        <v>1159</v>
      </c>
      <c r="O565" t="s">
        <v>1164</v>
      </c>
      <c r="P565" s="10">
        <v>45748</v>
      </c>
      <c r="Q565" t="str">
        <f t="shared" si="24"/>
        <v>excellent</v>
      </c>
      <c r="R565">
        <f t="shared" si="25"/>
        <v>3</v>
      </c>
      <c r="S565" s="6">
        <f t="shared" si="26"/>
        <v>4</v>
      </c>
    </row>
    <row r="566" spans="1:19" x14ac:dyDescent="0.3">
      <c r="A566" s="10">
        <v>45808</v>
      </c>
      <c r="B566" t="s">
        <v>580</v>
      </c>
      <c r="C566" t="s">
        <v>1129</v>
      </c>
      <c r="D566" t="s">
        <v>1133</v>
      </c>
      <c r="E566" t="s">
        <v>1148</v>
      </c>
      <c r="F566" t="s">
        <v>1149</v>
      </c>
      <c r="G566" t="s">
        <v>1152</v>
      </c>
      <c r="H566">
        <v>5</v>
      </c>
      <c r="I566">
        <v>19954</v>
      </c>
      <c r="J566" s="6">
        <v>0</v>
      </c>
      <c r="K566">
        <v>19954</v>
      </c>
      <c r="L566">
        <v>99770</v>
      </c>
      <c r="M566">
        <v>1000</v>
      </c>
      <c r="N566" t="s">
        <v>1159</v>
      </c>
      <c r="O566" t="s">
        <v>1162</v>
      </c>
      <c r="Q566" t="str">
        <f t="shared" si="24"/>
        <v>okay</v>
      </c>
      <c r="R566">
        <f t="shared" si="25"/>
        <v>2</v>
      </c>
      <c r="S566" s="6">
        <f t="shared" si="26"/>
        <v>0</v>
      </c>
    </row>
    <row r="567" spans="1:19" x14ac:dyDescent="0.3">
      <c r="A567" s="10">
        <v>45831</v>
      </c>
      <c r="B567" t="s">
        <v>581</v>
      </c>
      <c r="C567" t="s">
        <v>1123</v>
      </c>
      <c r="D567" t="s">
        <v>1135</v>
      </c>
      <c r="E567" t="s">
        <v>1138</v>
      </c>
      <c r="F567" t="s">
        <v>1149</v>
      </c>
      <c r="G567" t="s">
        <v>1153</v>
      </c>
      <c r="H567">
        <v>2</v>
      </c>
      <c r="I567">
        <v>42315</v>
      </c>
      <c r="J567" s="6">
        <v>0</v>
      </c>
      <c r="K567">
        <v>42315</v>
      </c>
      <c r="L567">
        <v>84630</v>
      </c>
      <c r="M567">
        <v>1000</v>
      </c>
      <c r="N567" t="s">
        <v>1160</v>
      </c>
      <c r="O567" t="s">
        <v>1162</v>
      </c>
      <c r="Q567" t="str">
        <f t="shared" si="24"/>
        <v>okay</v>
      </c>
      <c r="R567">
        <f t="shared" si="25"/>
        <v>2</v>
      </c>
      <c r="S567" s="6">
        <f t="shared" si="26"/>
        <v>0</v>
      </c>
    </row>
    <row r="568" spans="1:19" x14ac:dyDescent="0.3">
      <c r="A568" s="10">
        <v>45687</v>
      </c>
      <c r="B568" t="s">
        <v>582</v>
      </c>
      <c r="C568" t="s">
        <v>1127</v>
      </c>
      <c r="D568" t="s">
        <v>1134</v>
      </c>
      <c r="E568" t="s">
        <v>1146</v>
      </c>
      <c r="F568" t="s">
        <v>1151</v>
      </c>
      <c r="G568" t="s">
        <v>1155</v>
      </c>
      <c r="H568">
        <v>5</v>
      </c>
      <c r="I568">
        <v>8684</v>
      </c>
      <c r="J568" s="6">
        <v>5</v>
      </c>
      <c r="K568">
        <v>8249.7999999999993</v>
      </c>
      <c r="L568">
        <v>41249</v>
      </c>
      <c r="M568">
        <v>2000</v>
      </c>
      <c r="N568" t="s">
        <v>1159</v>
      </c>
      <c r="O568" t="s">
        <v>1164</v>
      </c>
      <c r="P568" s="10">
        <v>45689</v>
      </c>
      <c r="Q568" t="str">
        <f t="shared" si="24"/>
        <v>excellent</v>
      </c>
      <c r="R568">
        <f t="shared" si="25"/>
        <v>3</v>
      </c>
      <c r="S568" s="6">
        <f t="shared" si="26"/>
        <v>2</v>
      </c>
    </row>
    <row r="569" spans="1:19" x14ac:dyDescent="0.3">
      <c r="A569" s="10">
        <v>45667</v>
      </c>
      <c r="B569" t="s">
        <v>583</v>
      </c>
      <c r="C569" t="s">
        <v>1119</v>
      </c>
      <c r="D569" t="s">
        <v>1134</v>
      </c>
      <c r="E569" t="s">
        <v>1145</v>
      </c>
      <c r="F569" t="s">
        <v>1149</v>
      </c>
      <c r="G569" t="s">
        <v>1153</v>
      </c>
      <c r="H569">
        <v>5</v>
      </c>
      <c r="I569">
        <v>65913</v>
      </c>
      <c r="J569" s="6">
        <v>20</v>
      </c>
      <c r="K569">
        <v>52730.400000000001</v>
      </c>
      <c r="L569">
        <v>263652</v>
      </c>
      <c r="M569">
        <v>2000</v>
      </c>
      <c r="N569" t="s">
        <v>1160</v>
      </c>
      <c r="O569" t="s">
        <v>1162</v>
      </c>
      <c r="Q569" t="str">
        <f t="shared" si="24"/>
        <v>okay</v>
      </c>
      <c r="R569">
        <f t="shared" si="25"/>
        <v>2</v>
      </c>
      <c r="S569" s="6">
        <f t="shared" si="26"/>
        <v>0</v>
      </c>
    </row>
    <row r="570" spans="1:19" x14ac:dyDescent="0.3">
      <c r="A570" s="10">
        <v>45802</v>
      </c>
      <c r="B570" t="s">
        <v>584</v>
      </c>
      <c r="C570" t="s">
        <v>1128</v>
      </c>
      <c r="D570" t="s">
        <v>1135</v>
      </c>
      <c r="E570" t="s">
        <v>1137</v>
      </c>
      <c r="F570" t="s">
        <v>1149</v>
      </c>
      <c r="G570" t="s">
        <v>1152</v>
      </c>
      <c r="H570">
        <v>4</v>
      </c>
      <c r="I570">
        <v>14453</v>
      </c>
      <c r="J570" s="6">
        <v>10</v>
      </c>
      <c r="K570">
        <v>13007.7</v>
      </c>
      <c r="L570">
        <v>52030.8</v>
      </c>
      <c r="M570">
        <v>1500</v>
      </c>
      <c r="N570" t="s">
        <v>1161</v>
      </c>
      <c r="O570" t="s">
        <v>1163</v>
      </c>
      <c r="Q570" t="str">
        <f t="shared" si="24"/>
        <v>no comment</v>
      </c>
      <c r="R570">
        <f t="shared" si="25"/>
        <v>1</v>
      </c>
      <c r="S570" s="6">
        <f t="shared" si="26"/>
        <v>0</v>
      </c>
    </row>
    <row r="571" spans="1:19" x14ac:dyDescent="0.3">
      <c r="A571" s="10">
        <v>45661</v>
      </c>
      <c r="B571" t="s">
        <v>585</v>
      </c>
      <c r="C571" t="s">
        <v>1125</v>
      </c>
      <c r="D571" t="s">
        <v>1133</v>
      </c>
      <c r="E571" t="s">
        <v>1146</v>
      </c>
      <c r="F571" t="s">
        <v>1151</v>
      </c>
      <c r="G571" t="s">
        <v>1155</v>
      </c>
      <c r="H571">
        <v>5</v>
      </c>
      <c r="I571">
        <v>41883</v>
      </c>
      <c r="J571" s="6">
        <v>20</v>
      </c>
      <c r="K571">
        <v>33506.400000000001</v>
      </c>
      <c r="L571">
        <v>167532</v>
      </c>
      <c r="M571">
        <v>1000</v>
      </c>
      <c r="N571" t="s">
        <v>1159</v>
      </c>
      <c r="O571" t="s">
        <v>1163</v>
      </c>
      <c r="Q571" t="str">
        <f t="shared" si="24"/>
        <v>no comment</v>
      </c>
      <c r="R571">
        <f t="shared" si="25"/>
        <v>1</v>
      </c>
      <c r="S571" s="6">
        <f t="shared" si="26"/>
        <v>0</v>
      </c>
    </row>
    <row r="572" spans="1:19" x14ac:dyDescent="0.3">
      <c r="A572" s="10">
        <v>45687</v>
      </c>
      <c r="B572" t="s">
        <v>586</v>
      </c>
      <c r="C572" t="s">
        <v>1125</v>
      </c>
      <c r="D572" t="s">
        <v>1133</v>
      </c>
      <c r="E572" t="s">
        <v>1141</v>
      </c>
      <c r="F572" t="s">
        <v>1151</v>
      </c>
      <c r="G572" t="s">
        <v>1155</v>
      </c>
      <c r="H572">
        <v>3</v>
      </c>
      <c r="I572">
        <v>61013</v>
      </c>
      <c r="J572" s="6">
        <v>15</v>
      </c>
      <c r="K572">
        <v>51861.05</v>
      </c>
      <c r="L572">
        <v>155583.15</v>
      </c>
      <c r="M572">
        <v>1000</v>
      </c>
      <c r="N572" t="s">
        <v>1159</v>
      </c>
      <c r="O572" t="s">
        <v>1162</v>
      </c>
      <c r="Q572" t="str">
        <f t="shared" si="24"/>
        <v>okay</v>
      </c>
      <c r="R572">
        <f t="shared" si="25"/>
        <v>2</v>
      </c>
      <c r="S572" s="6">
        <f t="shared" si="26"/>
        <v>0</v>
      </c>
    </row>
    <row r="573" spans="1:19" x14ac:dyDescent="0.3">
      <c r="A573" s="10">
        <v>45837</v>
      </c>
      <c r="B573" t="s">
        <v>587</v>
      </c>
      <c r="C573" t="s">
        <v>1117</v>
      </c>
      <c r="D573" t="s">
        <v>1133</v>
      </c>
      <c r="E573" t="s">
        <v>1142</v>
      </c>
      <c r="F573" t="s">
        <v>1150</v>
      </c>
      <c r="G573" t="s">
        <v>1156</v>
      </c>
      <c r="H573">
        <v>2</v>
      </c>
      <c r="I573">
        <v>74300</v>
      </c>
      <c r="J573" s="6">
        <v>5</v>
      </c>
      <c r="K573">
        <v>70585</v>
      </c>
      <c r="L573">
        <v>141170</v>
      </c>
      <c r="M573">
        <v>1500</v>
      </c>
      <c r="N573" t="s">
        <v>1159</v>
      </c>
      <c r="O573" t="s">
        <v>1163</v>
      </c>
      <c r="Q573" t="str">
        <f t="shared" si="24"/>
        <v>no comment</v>
      </c>
      <c r="R573">
        <f t="shared" si="25"/>
        <v>1</v>
      </c>
      <c r="S573" s="6">
        <f t="shared" si="26"/>
        <v>0</v>
      </c>
    </row>
    <row r="574" spans="1:19" x14ac:dyDescent="0.3">
      <c r="A574" s="10">
        <v>45782</v>
      </c>
      <c r="B574" t="s">
        <v>588</v>
      </c>
      <c r="C574" t="s">
        <v>1121</v>
      </c>
      <c r="D574" t="s">
        <v>1136</v>
      </c>
      <c r="E574" t="s">
        <v>1137</v>
      </c>
      <c r="F574" t="s">
        <v>1149</v>
      </c>
      <c r="G574" t="s">
        <v>1152</v>
      </c>
      <c r="H574">
        <v>2</v>
      </c>
      <c r="I574">
        <v>16742</v>
      </c>
      <c r="J574" s="6">
        <v>15</v>
      </c>
      <c r="K574">
        <v>14230.7</v>
      </c>
      <c r="L574">
        <v>28461.4</v>
      </c>
      <c r="M574">
        <v>1000</v>
      </c>
      <c r="N574" t="s">
        <v>1161</v>
      </c>
      <c r="O574" t="s">
        <v>1162</v>
      </c>
      <c r="Q574" t="str">
        <f t="shared" si="24"/>
        <v>okay</v>
      </c>
      <c r="R574">
        <f t="shared" si="25"/>
        <v>2</v>
      </c>
      <c r="S574" s="6">
        <f t="shared" si="26"/>
        <v>0</v>
      </c>
    </row>
    <row r="575" spans="1:19" x14ac:dyDescent="0.3">
      <c r="A575" s="10">
        <v>45715</v>
      </c>
      <c r="B575" t="s">
        <v>589</v>
      </c>
      <c r="C575" t="s">
        <v>1120</v>
      </c>
      <c r="D575" t="s">
        <v>1135</v>
      </c>
      <c r="E575" t="s">
        <v>1138</v>
      </c>
      <c r="F575" t="s">
        <v>1149</v>
      </c>
      <c r="G575" t="s">
        <v>1153</v>
      </c>
      <c r="H575">
        <v>5</v>
      </c>
      <c r="I575">
        <v>61232</v>
      </c>
      <c r="J575" s="6">
        <v>10</v>
      </c>
      <c r="K575">
        <v>55108.800000000003</v>
      </c>
      <c r="L575">
        <v>275544</v>
      </c>
      <c r="M575">
        <v>1500</v>
      </c>
      <c r="N575" t="s">
        <v>1161</v>
      </c>
      <c r="O575" t="s">
        <v>1163</v>
      </c>
      <c r="Q575" t="str">
        <f t="shared" si="24"/>
        <v>no comment</v>
      </c>
      <c r="R575">
        <f t="shared" si="25"/>
        <v>1</v>
      </c>
      <c r="S575" s="6">
        <f t="shared" si="26"/>
        <v>0</v>
      </c>
    </row>
    <row r="576" spans="1:19" x14ac:dyDescent="0.3">
      <c r="A576" s="10">
        <v>45720</v>
      </c>
      <c r="B576" t="s">
        <v>590</v>
      </c>
      <c r="C576" t="s">
        <v>1117</v>
      </c>
      <c r="D576" t="s">
        <v>1133</v>
      </c>
      <c r="E576" t="s">
        <v>1140</v>
      </c>
      <c r="F576" t="s">
        <v>1150</v>
      </c>
      <c r="G576" t="s">
        <v>1154</v>
      </c>
      <c r="H576">
        <v>3</v>
      </c>
      <c r="I576">
        <v>61837</v>
      </c>
      <c r="J576" s="6">
        <v>10</v>
      </c>
      <c r="K576">
        <v>55653.3</v>
      </c>
      <c r="L576">
        <v>166959.9</v>
      </c>
      <c r="M576">
        <v>1500</v>
      </c>
      <c r="N576" t="s">
        <v>1161</v>
      </c>
      <c r="O576" t="s">
        <v>1164</v>
      </c>
      <c r="P576" s="10">
        <v>45733</v>
      </c>
      <c r="Q576" t="str">
        <f t="shared" si="24"/>
        <v>excellent</v>
      </c>
      <c r="R576">
        <f t="shared" si="25"/>
        <v>3</v>
      </c>
      <c r="S576" s="6">
        <f t="shared" si="26"/>
        <v>13</v>
      </c>
    </row>
    <row r="577" spans="1:19" x14ac:dyDescent="0.3">
      <c r="A577" s="10">
        <v>45693</v>
      </c>
      <c r="B577" t="s">
        <v>591</v>
      </c>
      <c r="C577" t="s">
        <v>1127</v>
      </c>
      <c r="D577" t="s">
        <v>1134</v>
      </c>
      <c r="E577" t="s">
        <v>1146</v>
      </c>
      <c r="F577" t="s">
        <v>1151</v>
      </c>
      <c r="G577" t="s">
        <v>1155</v>
      </c>
      <c r="H577">
        <v>5</v>
      </c>
      <c r="I577">
        <v>20829</v>
      </c>
      <c r="J577" s="6">
        <v>10</v>
      </c>
      <c r="K577">
        <v>18746.099999999999</v>
      </c>
      <c r="L577">
        <v>93730.5</v>
      </c>
      <c r="M577">
        <v>2000</v>
      </c>
      <c r="N577" t="s">
        <v>1161</v>
      </c>
      <c r="O577" t="s">
        <v>1163</v>
      </c>
      <c r="Q577" t="str">
        <f t="shared" si="24"/>
        <v>no comment</v>
      </c>
      <c r="R577">
        <f t="shared" si="25"/>
        <v>1</v>
      </c>
      <c r="S577" s="6">
        <f t="shared" si="26"/>
        <v>0</v>
      </c>
    </row>
    <row r="578" spans="1:19" x14ac:dyDescent="0.3">
      <c r="A578" s="10">
        <v>45830</v>
      </c>
      <c r="B578" t="s">
        <v>592</v>
      </c>
      <c r="C578" t="s">
        <v>1127</v>
      </c>
      <c r="D578" t="s">
        <v>1134</v>
      </c>
      <c r="E578" t="s">
        <v>1137</v>
      </c>
      <c r="F578" t="s">
        <v>1149</v>
      </c>
      <c r="G578" t="s">
        <v>1152</v>
      </c>
      <c r="H578">
        <v>5</v>
      </c>
      <c r="I578">
        <v>23655</v>
      </c>
      <c r="J578" s="6">
        <v>5</v>
      </c>
      <c r="K578">
        <v>22472.25</v>
      </c>
      <c r="L578">
        <v>112361.25</v>
      </c>
      <c r="M578">
        <v>1000</v>
      </c>
      <c r="N578" t="s">
        <v>1160</v>
      </c>
      <c r="O578" t="s">
        <v>1164</v>
      </c>
      <c r="P578" s="10">
        <v>45836</v>
      </c>
      <c r="Q578" t="str">
        <f t="shared" ref="Q578:Q641" si="27">IF(O578="delivered","excellent",IF(O578="in transit","okay",IF(O578="failed","no comment")))</f>
        <v>excellent</v>
      </c>
      <c r="R578">
        <f t="shared" si="25"/>
        <v>3</v>
      </c>
      <c r="S578" s="6">
        <f t="shared" si="26"/>
        <v>6</v>
      </c>
    </row>
    <row r="579" spans="1:19" x14ac:dyDescent="0.3">
      <c r="A579" s="10">
        <v>45822</v>
      </c>
      <c r="B579" t="s">
        <v>593</v>
      </c>
      <c r="C579" t="s">
        <v>1118</v>
      </c>
      <c r="D579" t="s">
        <v>1134</v>
      </c>
      <c r="E579" t="s">
        <v>1146</v>
      </c>
      <c r="F579" t="s">
        <v>1151</v>
      </c>
      <c r="G579" t="s">
        <v>1155</v>
      </c>
      <c r="H579">
        <v>5</v>
      </c>
      <c r="I579">
        <v>59059</v>
      </c>
      <c r="J579" s="6">
        <v>10</v>
      </c>
      <c r="K579">
        <v>53153.1</v>
      </c>
      <c r="L579">
        <v>265765.5</v>
      </c>
      <c r="M579">
        <v>1000</v>
      </c>
      <c r="N579" t="s">
        <v>1159</v>
      </c>
      <c r="O579" t="s">
        <v>1163</v>
      </c>
      <c r="Q579" t="str">
        <f t="shared" si="27"/>
        <v>no comment</v>
      </c>
      <c r="R579">
        <f t="shared" ref="R579:R642" si="28">IF(Q579="excellent",3,IF(Q579="no comment",1,IF(Q579="okay",2)))</f>
        <v>1</v>
      </c>
      <c r="S579" s="6">
        <f t="shared" ref="S579:S642" si="29">(IFERROR(DATEDIF(A579,P579,"d"),0))</f>
        <v>0</v>
      </c>
    </row>
    <row r="580" spans="1:19" x14ac:dyDescent="0.3">
      <c r="A580" s="10">
        <v>45755</v>
      </c>
      <c r="B580" t="s">
        <v>594</v>
      </c>
      <c r="C580" t="s">
        <v>1117</v>
      </c>
      <c r="D580" t="s">
        <v>1133</v>
      </c>
      <c r="E580" t="s">
        <v>1137</v>
      </c>
      <c r="F580" t="s">
        <v>1149</v>
      </c>
      <c r="G580" t="s">
        <v>1152</v>
      </c>
      <c r="H580">
        <v>3</v>
      </c>
      <c r="I580">
        <v>7012</v>
      </c>
      <c r="J580" s="6">
        <v>10</v>
      </c>
      <c r="K580">
        <v>6310.8</v>
      </c>
      <c r="L580">
        <v>18932.400000000001</v>
      </c>
      <c r="M580">
        <v>2000</v>
      </c>
      <c r="N580" t="s">
        <v>1159</v>
      </c>
      <c r="O580" t="s">
        <v>1163</v>
      </c>
      <c r="Q580" t="str">
        <f t="shared" si="27"/>
        <v>no comment</v>
      </c>
      <c r="R580">
        <f t="shared" si="28"/>
        <v>1</v>
      </c>
      <c r="S580" s="6">
        <f t="shared" si="29"/>
        <v>0</v>
      </c>
    </row>
    <row r="581" spans="1:19" x14ac:dyDescent="0.3">
      <c r="A581" s="10">
        <v>45711</v>
      </c>
      <c r="B581" t="s">
        <v>595</v>
      </c>
      <c r="C581" t="s">
        <v>1130</v>
      </c>
      <c r="D581" t="s">
        <v>1136</v>
      </c>
      <c r="E581" t="s">
        <v>1145</v>
      </c>
      <c r="F581" t="s">
        <v>1149</v>
      </c>
      <c r="G581" t="s">
        <v>1153</v>
      </c>
      <c r="H581">
        <v>4</v>
      </c>
      <c r="I581">
        <v>61072</v>
      </c>
      <c r="J581" s="6">
        <v>20</v>
      </c>
      <c r="K581">
        <v>48857.599999999999</v>
      </c>
      <c r="L581">
        <v>195430.39999999999</v>
      </c>
      <c r="M581">
        <v>2000</v>
      </c>
      <c r="N581" t="s">
        <v>1160</v>
      </c>
      <c r="O581" t="s">
        <v>1162</v>
      </c>
      <c r="Q581" t="str">
        <f t="shared" si="27"/>
        <v>okay</v>
      </c>
      <c r="R581">
        <f t="shared" si="28"/>
        <v>2</v>
      </c>
      <c r="S581" s="6">
        <f t="shared" si="29"/>
        <v>0</v>
      </c>
    </row>
    <row r="582" spans="1:19" x14ac:dyDescent="0.3">
      <c r="A582" s="10">
        <v>45808</v>
      </c>
      <c r="B582" t="s">
        <v>596</v>
      </c>
      <c r="C582" t="s">
        <v>1130</v>
      </c>
      <c r="D582" t="s">
        <v>1136</v>
      </c>
      <c r="E582" t="s">
        <v>1146</v>
      </c>
      <c r="F582" t="s">
        <v>1151</v>
      </c>
      <c r="G582" t="s">
        <v>1155</v>
      </c>
      <c r="H582">
        <v>2</v>
      </c>
      <c r="I582">
        <v>24845</v>
      </c>
      <c r="J582" s="6">
        <v>0</v>
      </c>
      <c r="K582">
        <v>24845</v>
      </c>
      <c r="L582">
        <v>49690</v>
      </c>
      <c r="M582">
        <v>1500</v>
      </c>
      <c r="N582" t="s">
        <v>1160</v>
      </c>
      <c r="O582" t="s">
        <v>1163</v>
      </c>
      <c r="Q582" t="str">
        <f t="shared" si="27"/>
        <v>no comment</v>
      </c>
      <c r="R582">
        <f t="shared" si="28"/>
        <v>1</v>
      </c>
      <c r="S582" s="6">
        <f t="shared" si="29"/>
        <v>0</v>
      </c>
    </row>
    <row r="583" spans="1:19" x14ac:dyDescent="0.3">
      <c r="A583" s="10">
        <v>45772</v>
      </c>
      <c r="B583" t="s">
        <v>597</v>
      </c>
      <c r="C583" t="s">
        <v>1129</v>
      </c>
      <c r="D583" t="s">
        <v>1133</v>
      </c>
      <c r="E583" t="s">
        <v>1137</v>
      </c>
      <c r="F583" t="s">
        <v>1149</v>
      </c>
      <c r="G583" t="s">
        <v>1152</v>
      </c>
      <c r="H583">
        <v>4</v>
      </c>
      <c r="I583">
        <v>49393</v>
      </c>
      <c r="J583" s="6">
        <v>15</v>
      </c>
      <c r="K583">
        <v>41984.05</v>
      </c>
      <c r="L583">
        <v>167936.2</v>
      </c>
      <c r="M583">
        <v>2000</v>
      </c>
      <c r="N583" t="s">
        <v>1159</v>
      </c>
      <c r="O583" t="s">
        <v>1162</v>
      </c>
      <c r="Q583" t="str">
        <f t="shared" si="27"/>
        <v>okay</v>
      </c>
      <c r="R583">
        <f t="shared" si="28"/>
        <v>2</v>
      </c>
      <c r="S583" s="6">
        <f t="shared" si="29"/>
        <v>0</v>
      </c>
    </row>
    <row r="584" spans="1:19" x14ac:dyDescent="0.3">
      <c r="A584" s="10">
        <v>45797</v>
      </c>
      <c r="B584" t="s">
        <v>598</v>
      </c>
      <c r="C584" t="s">
        <v>1120</v>
      </c>
      <c r="D584" t="s">
        <v>1135</v>
      </c>
      <c r="E584" t="s">
        <v>1144</v>
      </c>
      <c r="F584" t="s">
        <v>1151</v>
      </c>
      <c r="G584" t="s">
        <v>1157</v>
      </c>
      <c r="H584">
        <v>2</v>
      </c>
      <c r="I584">
        <v>54003</v>
      </c>
      <c r="J584" s="6">
        <v>5</v>
      </c>
      <c r="K584">
        <v>51302.85</v>
      </c>
      <c r="L584">
        <v>102605.7</v>
      </c>
      <c r="M584">
        <v>2000</v>
      </c>
      <c r="N584" t="s">
        <v>1161</v>
      </c>
      <c r="O584" t="s">
        <v>1164</v>
      </c>
      <c r="P584" s="10">
        <v>45805</v>
      </c>
      <c r="Q584" t="str">
        <f t="shared" si="27"/>
        <v>excellent</v>
      </c>
      <c r="R584">
        <f t="shared" si="28"/>
        <v>3</v>
      </c>
      <c r="S584" s="6">
        <f t="shared" si="29"/>
        <v>8</v>
      </c>
    </row>
    <row r="585" spans="1:19" x14ac:dyDescent="0.3">
      <c r="A585" s="10">
        <v>45769</v>
      </c>
      <c r="B585" t="s">
        <v>599</v>
      </c>
      <c r="C585" t="s">
        <v>1129</v>
      </c>
      <c r="D585" t="s">
        <v>1133</v>
      </c>
      <c r="E585" t="s">
        <v>1142</v>
      </c>
      <c r="F585" t="s">
        <v>1150</v>
      </c>
      <c r="G585" t="s">
        <v>1156</v>
      </c>
      <c r="H585">
        <v>2</v>
      </c>
      <c r="I585">
        <v>25929</v>
      </c>
      <c r="J585" s="6">
        <v>10</v>
      </c>
      <c r="K585">
        <v>23336.1</v>
      </c>
      <c r="L585">
        <v>46672.2</v>
      </c>
      <c r="M585">
        <v>1000</v>
      </c>
      <c r="N585" t="s">
        <v>1161</v>
      </c>
      <c r="O585" t="s">
        <v>1164</v>
      </c>
      <c r="P585" s="10">
        <v>45781</v>
      </c>
      <c r="Q585" t="str">
        <f t="shared" si="27"/>
        <v>excellent</v>
      </c>
      <c r="R585">
        <f t="shared" si="28"/>
        <v>3</v>
      </c>
      <c r="S585" s="6">
        <f t="shared" si="29"/>
        <v>12</v>
      </c>
    </row>
    <row r="586" spans="1:19" x14ac:dyDescent="0.3">
      <c r="A586" s="10">
        <v>45793</v>
      </c>
      <c r="B586" t="s">
        <v>600</v>
      </c>
      <c r="C586" t="s">
        <v>1124</v>
      </c>
      <c r="D586" t="s">
        <v>1135</v>
      </c>
      <c r="E586" t="s">
        <v>1138</v>
      </c>
      <c r="F586" t="s">
        <v>1149</v>
      </c>
      <c r="G586" t="s">
        <v>1153</v>
      </c>
      <c r="H586">
        <v>4</v>
      </c>
      <c r="I586">
        <v>67857</v>
      </c>
      <c r="J586" s="6">
        <v>0</v>
      </c>
      <c r="K586">
        <v>67857</v>
      </c>
      <c r="L586">
        <v>271428</v>
      </c>
      <c r="M586">
        <v>1000</v>
      </c>
      <c r="N586" t="s">
        <v>1161</v>
      </c>
      <c r="O586" t="s">
        <v>1163</v>
      </c>
      <c r="Q586" t="str">
        <f t="shared" si="27"/>
        <v>no comment</v>
      </c>
      <c r="R586">
        <f t="shared" si="28"/>
        <v>1</v>
      </c>
      <c r="S586" s="6">
        <f t="shared" si="29"/>
        <v>0</v>
      </c>
    </row>
    <row r="587" spans="1:19" x14ac:dyDescent="0.3">
      <c r="A587" s="10">
        <v>45717</v>
      </c>
      <c r="B587" t="s">
        <v>601</v>
      </c>
      <c r="C587" t="s">
        <v>1128</v>
      </c>
      <c r="D587" t="s">
        <v>1135</v>
      </c>
      <c r="E587" t="s">
        <v>1143</v>
      </c>
      <c r="F587" t="s">
        <v>1151</v>
      </c>
      <c r="G587" t="s">
        <v>1157</v>
      </c>
      <c r="H587">
        <v>4</v>
      </c>
      <c r="I587">
        <v>25548</v>
      </c>
      <c r="J587" s="6">
        <v>15</v>
      </c>
      <c r="K587">
        <v>21715.8</v>
      </c>
      <c r="L587">
        <v>86863.2</v>
      </c>
      <c r="M587">
        <v>2000</v>
      </c>
      <c r="N587" t="s">
        <v>1159</v>
      </c>
      <c r="O587" t="s">
        <v>1162</v>
      </c>
      <c r="Q587" t="str">
        <f t="shared" si="27"/>
        <v>okay</v>
      </c>
      <c r="R587">
        <f t="shared" si="28"/>
        <v>2</v>
      </c>
      <c r="S587" s="6">
        <f t="shared" si="29"/>
        <v>0</v>
      </c>
    </row>
    <row r="588" spans="1:19" x14ac:dyDescent="0.3">
      <c r="A588" s="10">
        <v>45751</v>
      </c>
      <c r="B588" t="s">
        <v>602</v>
      </c>
      <c r="C588" t="s">
        <v>1122</v>
      </c>
      <c r="D588" t="s">
        <v>1136</v>
      </c>
      <c r="E588" t="s">
        <v>1141</v>
      </c>
      <c r="F588" t="s">
        <v>1151</v>
      </c>
      <c r="G588" t="s">
        <v>1155</v>
      </c>
      <c r="H588">
        <v>1</v>
      </c>
      <c r="I588">
        <v>31054</v>
      </c>
      <c r="J588" s="6">
        <v>0</v>
      </c>
      <c r="K588">
        <v>31054</v>
      </c>
      <c r="L588">
        <v>31054</v>
      </c>
      <c r="M588">
        <v>1500</v>
      </c>
      <c r="N588" t="s">
        <v>1161</v>
      </c>
      <c r="O588" t="s">
        <v>1164</v>
      </c>
      <c r="P588" s="10">
        <v>45762</v>
      </c>
      <c r="Q588" t="str">
        <f t="shared" si="27"/>
        <v>excellent</v>
      </c>
      <c r="R588">
        <f t="shared" si="28"/>
        <v>3</v>
      </c>
      <c r="S588" s="6">
        <f t="shared" si="29"/>
        <v>11</v>
      </c>
    </row>
    <row r="589" spans="1:19" x14ac:dyDescent="0.3">
      <c r="A589" s="10">
        <v>45707</v>
      </c>
      <c r="B589" t="s">
        <v>603</v>
      </c>
      <c r="C589" t="s">
        <v>1129</v>
      </c>
      <c r="D589" t="s">
        <v>1133</v>
      </c>
      <c r="E589" t="s">
        <v>1141</v>
      </c>
      <c r="F589" t="s">
        <v>1151</v>
      </c>
      <c r="G589" t="s">
        <v>1155</v>
      </c>
      <c r="H589">
        <v>3</v>
      </c>
      <c r="I589">
        <v>64712</v>
      </c>
      <c r="J589" s="6">
        <v>10</v>
      </c>
      <c r="K589">
        <v>58240.800000000003</v>
      </c>
      <c r="L589">
        <v>174722.4</v>
      </c>
      <c r="M589">
        <v>1000</v>
      </c>
      <c r="N589" t="s">
        <v>1161</v>
      </c>
      <c r="O589" t="s">
        <v>1163</v>
      </c>
      <c r="Q589" t="str">
        <f t="shared" si="27"/>
        <v>no comment</v>
      </c>
      <c r="R589">
        <f t="shared" si="28"/>
        <v>1</v>
      </c>
      <c r="S589" s="6">
        <f t="shared" si="29"/>
        <v>0</v>
      </c>
    </row>
    <row r="590" spans="1:19" x14ac:dyDescent="0.3">
      <c r="A590" s="10">
        <v>45828</v>
      </c>
      <c r="B590" t="s">
        <v>604</v>
      </c>
      <c r="C590" t="s">
        <v>1119</v>
      </c>
      <c r="D590" t="s">
        <v>1134</v>
      </c>
      <c r="E590" t="s">
        <v>1142</v>
      </c>
      <c r="F590" t="s">
        <v>1150</v>
      </c>
      <c r="G590" t="s">
        <v>1156</v>
      </c>
      <c r="H590">
        <v>1</v>
      </c>
      <c r="I590">
        <v>63271</v>
      </c>
      <c r="J590" s="6">
        <v>20</v>
      </c>
      <c r="K590">
        <v>50616.800000000003</v>
      </c>
      <c r="L590">
        <v>50616.800000000003</v>
      </c>
      <c r="M590">
        <v>1500</v>
      </c>
      <c r="N590" t="s">
        <v>1161</v>
      </c>
      <c r="O590" t="s">
        <v>1164</v>
      </c>
      <c r="P590" s="10">
        <v>45834</v>
      </c>
      <c r="Q590" t="str">
        <f t="shared" si="27"/>
        <v>excellent</v>
      </c>
      <c r="R590">
        <f t="shared" si="28"/>
        <v>3</v>
      </c>
      <c r="S590" s="6">
        <f t="shared" si="29"/>
        <v>6</v>
      </c>
    </row>
    <row r="591" spans="1:19" x14ac:dyDescent="0.3">
      <c r="A591" s="10">
        <v>45792</v>
      </c>
      <c r="B591" t="s">
        <v>605</v>
      </c>
      <c r="C591" t="s">
        <v>1131</v>
      </c>
      <c r="D591" t="s">
        <v>1136</v>
      </c>
      <c r="E591" t="s">
        <v>1142</v>
      </c>
      <c r="F591" t="s">
        <v>1150</v>
      </c>
      <c r="G591" t="s">
        <v>1156</v>
      </c>
      <c r="H591">
        <v>2</v>
      </c>
      <c r="I591">
        <v>35915</v>
      </c>
      <c r="J591" s="6">
        <v>20</v>
      </c>
      <c r="K591">
        <v>28732</v>
      </c>
      <c r="L591">
        <v>57464</v>
      </c>
      <c r="M591">
        <v>1500</v>
      </c>
      <c r="N591" t="s">
        <v>1161</v>
      </c>
      <c r="O591" t="s">
        <v>1162</v>
      </c>
      <c r="Q591" t="str">
        <f t="shared" si="27"/>
        <v>okay</v>
      </c>
      <c r="R591">
        <f t="shared" si="28"/>
        <v>2</v>
      </c>
      <c r="S591" s="6">
        <f t="shared" si="29"/>
        <v>0</v>
      </c>
    </row>
    <row r="592" spans="1:19" x14ac:dyDescent="0.3">
      <c r="A592" s="10">
        <v>45711</v>
      </c>
      <c r="B592" t="s">
        <v>606</v>
      </c>
      <c r="C592" t="s">
        <v>1130</v>
      </c>
      <c r="D592" t="s">
        <v>1136</v>
      </c>
      <c r="E592" t="s">
        <v>1148</v>
      </c>
      <c r="F592" t="s">
        <v>1149</v>
      </c>
      <c r="G592" t="s">
        <v>1152</v>
      </c>
      <c r="H592">
        <v>3</v>
      </c>
      <c r="I592">
        <v>29224</v>
      </c>
      <c r="J592" s="6">
        <v>5</v>
      </c>
      <c r="K592">
        <v>27762.799999999999</v>
      </c>
      <c r="L592">
        <v>83288.399999999994</v>
      </c>
      <c r="M592">
        <v>1000</v>
      </c>
      <c r="N592" t="s">
        <v>1161</v>
      </c>
      <c r="O592" t="s">
        <v>1162</v>
      </c>
      <c r="Q592" t="str">
        <f t="shared" si="27"/>
        <v>okay</v>
      </c>
      <c r="R592">
        <f t="shared" si="28"/>
        <v>2</v>
      </c>
      <c r="S592" s="6">
        <f t="shared" si="29"/>
        <v>0</v>
      </c>
    </row>
    <row r="593" spans="1:19" x14ac:dyDescent="0.3">
      <c r="A593" s="10">
        <v>45807</v>
      </c>
      <c r="B593" t="s">
        <v>607</v>
      </c>
      <c r="C593" t="s">
        <v>1127</v>
      </c>
      <c r="D593" t="s">
        <v>1134</v>
      </c>
      <c r="E593" t="s">
        <v>1140</v>
      </c>
      <c r="F593" t="s">
        <v>1150</v>
      </c>
      <c r="G593" t="s">
        <v>1154</v>
      </c>
      <c r="H593">
        <v>3</v>
      </c>
      <c r="I593">
        <v>19507</v>
      </c>
      <c r="J593" s="6">
        <v>0</v>
      </c>
      <c r="K593">
        <v>19507</v>
      </c>
      <c r="L593">
        <v>58521</v>
      </c>
      <c r="M593">
        <v>2000</v>
      </c>
      <c r="N593" t="s">
        <v>1159</v>
      </c>
      <c r="O593" t="s">
        <v>1162</v>
      </c>
      <c r="Q593" t="str">
        <f t="shared" si="27"/>
        <v>okay</v>
      </c>
      <c r="R593">
        <f t="shared" si="28"/>
        <v>2</v>
      </c>
      <c r="S593" s="6">
        <f t="shared" si="29"/>
        <v>0</v>
      </c>
    </row>
    <row r="594" spans="1:19" x14ac:dyDescent="0.3">
      <c r="A594" s="10">
        <v>45721</v>
      </c>
      <c r="B594" t="s">
        <v>608</v>
      </c>
      <c r="C594" t="s">
        <v>1129</v>
      </c>
      <c r="D594" t="s">
        <v>1133</v>
      </c>
      <c r="E594" t="s">
        <v>1142</v>
      </c>
      <c r="F594" t="s">
        <v>1150</v>
      </c>
      <c r="G594" t="s">
        <v>1156</v>
      </c>
      <c r="H594">
        <v>1</v>
      </c>
      <c r="I594">
        <v>56398</v>
      </c>
      <c r="J594" s="6">
        <v>5</v>
      </c>
      <c r="K594">
        <v>53578.1</v>
      </c>
      <c r="L594">
        <v>53578.1</v>
      </c>
      <c r="M594">
        <v>2000</v>
      </c>
      <c r="N594" t="s">
        <v>1159</v>
      </c>
      <c r="O594" t="s">
        <v>1162</v>
      </c>
      <c r="Q594" t="str">
        <f t="shared" si="27"/>
        <v>okay</v>
      </c>
      <c r="R594">
        <f t="shared" si="28"/>
        <v>2</v>
      </c>
      <c r="S594" s="6">
        <f t="shared" si="29"/>
        <v>0</v>
      </c>
    </row>
    <row r="595" spans="1:19" x14ac:dyDescent="0.3">
      <c r="A595" s="10">
        <v>45742</v>
      </c>
      <c r="B595" t="s">
        <v>609</v>
      </c>
      <c r="C595" t="s">
        <v>1126</v>
      </c>
      <c r="D595" t="s">
        <v>1133</v>
      </c>
      <c r="E595" t="s">
        <v>1139</v>
      </c>
      <c r="F595" t="s">
        <v>1150</v>
      </c>
      <c r="G595" t="s">
        <v>1154</v>
      </c>
      <c r="H595">
        <v>3</v>
      </c>
      <c r="I595">
        <v>3271</v>
      </c>
      <c r="J595" s="6">
        <v>10</v>
      </c>
      <c r="K595">
        <v>2943.9</v>
      </c>
      <c r="L595">
        <v>8831.7000000000007</v>
      </c>
      <c r="M595">
        <v>1500</v>
      </c>
      <c r="N595" t="s">
        <v>1160</v>
      </c>
      <c r="O595" t="s">
        <v>1163</v>
      </c>
      <c r="Q595" t="str">
        <f t="shared" si="27"/>
        <v>no comment</v>
      </c>
      <c r="R595">
        <f t="shared" si="28"/>
        <v>1</v>
      </c>
      <c r="S595" s="6">
        <f t="shared" si="29"/>
        <v>0</v>
      </c>
    </row>
    <row r="596" spans="1:19" x14ac:dyDescent="0.3">
      <c r="A596" s="10">
        <v>45794</v>
      </c>
      <c r="B596" t="s">
        <v>610</v>
      </c>
      <c r="C596" t="s">
        <v>1123</v>
      </c>
      <c r="D596" t="s">
        <v>1135</v>
      </c>
      <c r="E596" t="s">
        <v>1140</v>
      </c>
      <c r="F596" t="s">
        <v>1150</v>
      </c>
      <c r="G596" t="s">
        <v>1154</v>
      </c>
      <c r="H596">
        <v>3</v>
      </c>
      <c r="I596">
        <v>54239</v>
      </c>
      <c r="J596" s="6">
        <v>5</v>
      </c>
      <c r="K596">
        <v>51527.05</v>
      </c>
      <c r="L596">
        <v>154581.15</v>
      </c>
      <c r="M596">
        <v>1500</v>
      </c>
      <c r="N596" t="s">
        <v>1160</v>
      </c>
      <c r="O596" t="s">
        <v>1164</v>
      </c>
      <c r="P596" s="10">
        <v>45804</v>
      </c>
      <c r="Q596" t="str">
        <f t="shared" si="27"/>
        <v>excellent</v>
      </c>
      <c r="R596">
        <f t="shared" si="28"/>
        <v>3</v>
      </c>
      <c r="S596" s="6">
        <f t="shared" si="29"/>
        <v>10</v>
      </c>
    </row>
    <row r="597" spans="1:19" x14ac:dyDescent="0.3">
      <c r="A597" s="10">
        <v>45664</v>
      </c>
      <c r="B597" t="s">
        <v>611</v>
      </c>
      <c r="C597" t="s">
        <v>1132</v>
      </c>
      <c r="D597" t="s">
        <v>1134</v>
      </c>
      <c r="E597" t="s">
        <v>1145</v>
      </c>
      <c r="F597" t="s">
        <v>1149</v>
      </c>
      <c r="G597" t="s">
        <v>1153</v>
      </c>
      <c r="H597">
        <v>2</v>
      </c>
      <c r="I597">
        <v>46686</v>
      </c>
      <c r="J597" s="6">
        <v>0</v>
      </c>
      <c r="K597">
        <v>46686</v>
      </c>
      <c r="L597">
        <v>93372</v>
      </c>
      <c r="M597">
        <v>1000</v>
      </c>
      <c r="N597" t="s">
        <v>1159</v>
      </c>
      <c r="O597" t="s">
        <v>1162</v>
      </c>
      <c r="Q597" t="str">
        <f t="shared" si="27"/>
        <v>okay</v>
      </c>
      <c r="R597">
        <f t="shared" si="28"/>
        <v>2</v>
      </c>
      <c r="S597" s="6">
        <f t="shared" si="29"/>
        <v>0</v>
      </c>
    </row>
    <row r="598" spans="1:19" x14ac:dyDescent="0.3">
      <c r="A598" s="10">
        <v>45818</v>
      </c>
      <c r="B598" t="s">
        <v>612</v>
      </c>
      <c r="C598" t="s">
        <v>1128</v>
      </c>
      <c r="D598" t="s">
        <v>1135</v>
      </c>
      <c r="E598" t="s">
        <v>1145</v>
      </c>
      <c r="F598" t="s">
        <v>1149</v>
      </c>
      <c r="G598" t="s">
        <v>1153</v>
      </c>
      <c r="H598">
        <v>1</v>
      </c>
      <c r="I598">
        <v>47162</v>
      </c>
      <c r="J598" s="6">
        <v>10</v>
      </c>
      <c r="K598">
        <v>42445.8</v>
      </c>
      <c r="L598">
        <v>42445.8</v>
      </c>
      <c r="M598">
        <v>1500</v>
      </c>
      <c r="N598" t="s">
        <v>1159</v>
      </c>
      <c r="O598" t="s">
        <v>1162</v>
      </c>
      <c r="Q598" t="str">
        <f t="shared" si="27"/>
        <v>okay</v>
      </c>
      <c r="R598">
        <f t="shared" si="28"/>
        <v>2</v>
      </c>
      <c r="S598" s="6">
        <f t="shared" si="29"/>
        <v>0</v>
      </c>
    </row>
    <row r="599" spans="1:19" x14ac:dyDescent="0.3">
      <c r="A599" s="10">
        <v>45806</v>
      </c>
      <c r="B599" t="s">
        <v>613</v>
      </c>
      <c r="C599" t="s">
        <v>1130</v>
      </c>
      <c r="D599" t="s">
        <v>1136</v>
      </c>
      <c r="E599" t="s">
        <v>1142</v>
      </c>
      <c r="F599" t="s">
        <v>1150</v>
      </c>
      <c r="G599" t="s">
        <v>1156</v>
      </c>
      <c r="H599">
        <v>3</v>
      </c>
      <c r="I599">
        <v>26418</v>
      </c>
      <c r="J599" s="6">
        <v>15</v>
      </c>
      <c r="K599">
        <v>22455.3</v>
      </c>
      <c r="L599">
        <v>67365.899999999994</v>
      </c>
      <c r="M599">
        <v>1500</v>
      </c>
      <c r="N599" t="s">
        <v>1161</v>
      </c>
      <c r="O599" t="s">
        <v>1163</v>
      </c>
      <c r="Q599" t="str">
        <f t="shared" si="27"/>
        <v>no comment</v>
      </c>
      <c r="R599">
        <f t="shared" si="28"/>
        <v>1</v>
      </c>
      <c r="S599" s="6">
        <f t="shared" si="29"/>
        <v>0</v>
      </c>
    </row>
    <row r="600" spans="1:19" x14ac:dyDescent="0.3">
      <c r="A600" s="10">
        <v>45723</v>
      </c>
      <c r="B600" t="s">
        <v>614</v>
      </c>
      <c r="C600" t="s">
        <v>1120</v>
      </c>
      <c r="D600" t="s">
        <v>1135</v>
      </c>
      <c r="E600" t="s">
        <v>1144</v>
      </c>
      <c r="F600" t="s">
        <v>1151</v>
      </c>
      <c r="G600" t="s">
        <v>1157</v>
      </c>
      <c r="H600">
        <v>1</v>
      </c>
      <c r="I600">
        <v>64260</v>
      </c>
      <c r="J600" s="6">
        <v>10</v>
      </c>
      <c r="K600">
        <v>57834</v>
      </c>
      <c r="L600">
        <v>57834</v>
      </c>
      <c r="M600">
        <v>2000</v>
      </c>
      <c r="N600" t="s">
        <v>1159</v>
      </c>
      <c r="O600" t="s">
        <v>1164</v>
      </c>
      <c r="P600" s="10">
        <v>45734</v>
      </c>
      <c r="Q600" t="str">
        <f t="shared" si="27"/>
        <v>excellent</v>
      </c>
      <c r="R600">
        <f t="shared" si="28"/>
        <v>3</v>
      </c>
      <c r="S600" s="6">
        <f t="shared" si="29"/>
        <v>11</v>
      </c>
    </row>
    <row r="601" spans="1:19" x14ac:dyDescent="0.3">
      <c r="A601" s="10">
        <v>45766</v>
      </c>
      <c r="B601" t="s">
        <v>615</v>
      </c>
      <c r="C601" t="s">
        <v>1121</v>
      </c>
      <c r="D601" t="s">
        <v>1136</v>
      </c>
      <c r="E601" t="s">
        <v>1138</v>
      </c>
      <c r="F601" t="s">
        <v>1149</v>
      </c>
      <c r="G601" t="s">
        <v>1153</v>
      </c>
      <c r="H601">
        <v>2</v>
      </c>
      <c r="I601">
        <v>1983</v>
      </c>
      <c r="J601" s="6">
        <v>15</v>
      </c>
      <c r="K601">
        <v>1685.55</v>
      </c>
      <c r="L601">
        <v>3371.1</v>
      </c>
      <c r="M601">
        <v>1500</v>
      </c>
      <c r="N601" t="s">
        <v>1160</v>
      </c>
      <c r="O601" t="s">
        <v>1164</v>
      </c>
      <c r="P601" s="10">
        <v>45776</v>
      </c>
      <c r="Q601" t="str">
        <f t="shared" si="27"/>
        <v>excellent</v>
      </c>
      <c r="R601">
        <f t="shared" si="28"/>
        <v>3</v>
      </c>
      <c r="S601" s="6">
        <f t="shared" si="29"/>
        <v>10</v>
      </c>
    </row>
    <row r="602" spans="1:19" x14ac:dyDescent="0.3">
      <c r="A602" s="10">
        <v>45812</v>
      </c>
      <c r="B602" t="s">
        <v>616</v>
      </c>
      <c r="C602" t="s">
        <v>1120</v>
      </c>
      <c r="D602" t="s">
        <v>1135</v>
      </c>
      <c r="E602" t="s">
        <v>1140</v>
      </c>
      <c r="F602" t="s">
        <v>1150</v>
      </c>
      <c r="G602" t="s">
        <v>1154</v>
      </c>
      <c r="H602">
        <v>4</v>
      </c>
      <c r="I602">
        <v>32096</v>
      </c>
      <c r="J602" s="6">
        <v>5</v>
      </c>
      <c r="K602">
        <v>30491.200000000001</v>
      </c>
      <c r="L602">
        <v>121964.8</v>
      </c>
      <c r="M602">
        <v>1500</v>
      </c>
      <c r="N602" t="s">
        <v>1160</v>
      </c>
      <c r="O602" t="s">
        <v>1162</v>
      </c>
      <c r="Q602" t="str">
        <f t="shared" si="27"/>
        <v>okay</v>
      </c>
      <c r="R602">
        <f t="shared" si="28"/>
        <v>2</v>
      </c>
      <c r="S602" s="6">
        <f t="shared" si="29"/>
        <v>0</v>
      </c>
    </row>
    <row r="603" spans="1:19" x14ac:dyDescent="0.3">
      <c r="A603" s="10">
        <v>45752</v>
      </c>
      <c r="B603" t="s">
        <v>265</v>
      </c>
      <c r="C603" t="s">
        <v>1132</v>
      </c>
      <c r="D603" t="s">
        <v>1134</v>
      </c>
      <c r="E603" t="s">
        <v>1148</v>
      </c>
      <c r="F603" t="s">
        <v>1149</v>
      </c>
      <c r="G603" t="s">
        <v>1152</v>
      </c>
      <c r="H603">
        <v>1</v>
      </c>
      <c r="I603">
        <v>10190</v>
      </c>
      <c r="J603" s="6">
        <v>5</v>
      </c>
      <c r="K603">
        <v>9680.5</v>
      </c>
      <c r="L603">
        <v>9680.5</v>
      </c>
      <c r="M603">
        <v>2000</v>
      </c>
      <c r="N603" t="s">
        <v>1161</v>
      </c>
      <c r="O603" t="s">
        <v>1164</v>
      </c>
      <c r="P603" s="10">
        <v>45762</v>
      </c>
      <c r="Q603" t="str">
        <f t="shared" si="27"/>
        <v>excellent</v>
      </c>
      <c r="R603">
        <f t="shared" si="28"/>
        <v>3</v>
      </c>
      <c r="S603" s="6">
        <f t="shared" si="29"/>
        <v>10</v>
      </c>
    </row>
    <row r="604" spans="1:19" x14ac:dyDescent="0.3">
      <c r="A604" s="10">
        <v>45763</v>
      </c>
      <c r="B604" t="s">
        <v>617</v>
      </c>
      <c r="C604" t="s">
        <v>1123</v>
      </c>
      <c r="D604" t="s">
        <v>1135</v>
      </c>
      <c r="E604" t="s">
        <v>1139</v>
      </c>
      <c r="F604" t="s">
        <v>1150</v>
      </c>
      <c r="G604" t="s">
        <v>1154</v>
      </c>
      <c r="H604">
        <v>2</v>
      </c>
      <c r="I604">
        <v>59529</v>
      </c>
      <c r="J604" s="6">
        <v>15</v>
      </c>
      <c r="K604">
        <v>50599.65</v>
      </c>
      <c r="L604">
        <v>101199.3</v>
      </c>
      <c r="M604">
        <v>2000</v>
      </c>
      <c r="N604" t="s">
        <v>1160</v>
      </c>
      <c r="O604" t="s">
        <v>1164</v>
      </c>
      <c r="P604" s="10">
        <v>45767</v>
      </c>
      <c r="Q604" t="str">
        <f t="shared" si="27"/>
        <v>excellent</v>
      </c>
      <c r="R604">
        <f t="shared" si="28"/>
        <v>3</v>
      </c>
      <c r="S604" s="6">
        <f t="shared" si="29"/>
        <v>4</v>
      </c>
    </row>
    <row r="605" spans="1:19" x14ac:dyDescent="0.3">
      <c r="A605" s="10">
        <v>45837</v>
      </c>
      <c r="B605" t="s">
        <v>618</v>
      </c>
      <c r="C605" t="s">
        <v>1126</v>
      </c>
      <c r="D605" t="s">
        <v>1133</v>
      </c>
      <c r="E605" t="s">
        <v>1137</v>
      </c>
      <c r="F605" t="s">
        <v>1149</v>
      </c>
      <c r="G605" t="s">
        <v>1152</v>
      </c>
      <c r="H605">
        <v>2</v>
      </c>
      <c r="I605">
        <v>57432</v>
      </c>
      <c r="J605" s="6">
        <v>20</v>
      </c>
      <c r="K605">
        <v>45945.599999999999</v>
      </c>
      <c r="L605">
        <v>91891.199999999997</v>
      </c>
      <c r="M605">
        <v>2000</v>
      </c>
      <c r="N605" t="s">
        <v>1159</v>
      </c>
      <c r="O605" t="s">
        <v>1162</v>
      </c>
      <c r="Q605" t="str">
        <f t="shared" si="27"/>
        <v>okay</v>
      </c>
      <c r="R605">
        <f t="shared" si="28"/>
        <v>2</v>
      </c>
      <c r="S605" s="6">
        <f t="shared" si="29"/>
        <v>0</v>
      </c>
    </row>
    <row r="606" spans="1:19" x14ac:dyDescent="0.3">
      <c r="A606" s="10">
        <v>45686</v>
      </c>
      <c r="B606" t="s">
        <v>619</v>
      </c>
      <c r="C606" t="s">
        <v>1130</v>
      </c>
      <c r="D606" t="s">
        <v>1136</v>
      </c>
      <c r="E606" t="s">
        <v>1139</v>
      </c>
      <c r="F606" t="s">
        <v>1150</v>
      </c>
      <c r="G606" t="s">
        <v>1154</v>
      </c>
      <c r="H606">
        <v>4</v>
      </c>
      <c r="I606">
        <v>40661</v>
      </c>
      <c r="J606" s="6">
        <v>20</v>
      </c>
      <c r="K606">
        <v>32528.799999999999</v>
      </c>
      <c r="L606">
        <v>130115.2</v>
      </c>
      <c r="M606">
        <v>1500</v>
      </c>
      <c r="N606" t="s">
        <v>1161</v>
      </c>
      <c r="O606" t="s">
        <v>1164</v>
      </c>
      <c r="P606" s="10">
        <v>45694</v>
      </c>
      <c r="Q606" t="str">
        <f t="shared" si="27"/>
        <v>excellent</v>
      </c>
      <c r="R606">
        <f t="shared" si="28"/>
        <v>3</v>
      </c>
      <c r="S606" s="6">
        <f t="shared" si="29"/>
        <v>8</v>
      </c>
    </row>
    <row r="607" spans="1:19" x14ac:dyDescent="0.3">
      <c r="A607" s="10">
        <v>45742</v>
      </c>
      <c r="B607" t="s">
        <v>604</v>
      </c>
      <c r="C607" t="s">
        <v>1125</v>
      </c>
      <c r="D607" t="s">
        <v>1133</v>
      </c>
      <c r="E607" t="s">
        <v>1138</v>
      </c>
      <c r="F607" t="s">
        <v>1149</v>
      </c>
      <c r="G607" t="s">
        <v>1153</v>
      </c>
      <c r="H607">
        <v>3</v>
      </c>
      <c r="I607">
        <v>57769</v>
      </c>
      <c r="J607" s="6">
        <v>20</v>
      </c>
      <c r="K607">
        <v>46215.199999999997</v>
      </c>
      <c r="L607">
        <v>138645.6</v>
      </c>
      <c r="M607">
        <v>2000</v>
      </c>
      <c r="N607" t="s">
        <v>1160</v>
      </c>
      <c r="O607" t="s">
        <v>1164</v>
      </c>
      <c r="P607" s="10">
        <v>45744</v>
      </c>
      <c r="Q607" t="str">
        <f t="shared" si="27"/>
        <v>excellent</v>
      </c>
      <c r="R607">
        <f t="shared" si="28"/>
        <v>3</v>
      </c>
      <c r="S607" s="6">
        <f t="shared" si="29"/>
        <v>2</v>
      </c>
    </row>
    <row r="608" spans="1:19" x14ac:dyDescent="0.3">
      <c r="A608" s="10">
        <v>45826</v>
      </c>
      <c r="B608" t="s">
        <v>620</v>
      </c>
      <c r="C608" t="s">
        <v>1122</v>
      </c>
      <c r="D608" t="s">
        <v>1136</v>
      </c>
      <c r="E608" t="s">
        <v>1148</v>
      </c>
      <c r="F608" t="s">
        <v>1149</v>
      </c>
      <c r="G608" t="s">
        <v>1152</v>
      </c>
      <c r="H608">
        <v>4</v>
      </c>
      <c r="I608">
        <v>39101</v>
      </c>
      <c r="J608" s="6">
        <v>5</v>
      </c>
      <c r="K608">
        <v>37145.949999999997</v>
      </c>
      <c r="L608">
        <v>148583.79999999999</v>
      </c>
      <c r="M608">
        <v>1500</v>
      </c>
      <c r="N608" t="s">
        <v>1161</v>
      </c>
      <c r="O608" t="s">
        <v>1162</v>
      </c>
      <c r="Q608" t="str">
        <f t="shared" si="27"/>
        <v>okay</v>
      </c>
      <c r="R608">
        <f t="shared" si="28"/>
        <v>2</v>
      </c>
      <c r="S608" s="6">
        <f t="shared" si="29"/>
        <v>0</v>
      </c>
    </row>
    <row r="609" spans="1:19" x14ac:dyDescent="0.3">
      <c r="A609" s="10">
        <v>45760</v>
      </c>
      <c r="B609" t="s">
        <v>621</v>
      </c>
      <c r="C609" t="s">
        <v>1118</v>
      </c>
      <c r="D609" t="s">
        <v>1134</v>
      </c>
      <c r="E609" t="s">
        <v>1147</v>
      </c>
      <c r="F609" t="s">
        <v>1150</v>
      </c>
      <c r="G609" t="s">
        <v>1156</v>
      </c>
      <c r="H609">
        <v>2</v>
      </c>
      <c r="I609">
        <v>21229</v>
      </c>
      <c r="J609" s="6">
        <v>10</v>
      </c>
      <c r="K609">
        <v>19106.099999999999</v>
      </c>
      <c r="L609">
        <v>38212.199999999997</v>
      </c>
      <c r="M609">
        <v>2000</v>
      </c>
      <c r="N609" t="s">
        <v>1160</v>
      </c>
      <c r="O609" t="s">
        <v>1164</v>
      </c>
      <c r="P609" s="10">
        <v>45772</v>
      </c>
      <c r="Q609" t="str">
        <f t="shared" si="27"/>
        <v>excellent</v>
      </c>
      <c r="R609">
        <f t="shared" si="28"/>
        <v>3</v>
      </c>
      <c r="S609" s="6">
        <f t="shared" si="29"/>
        <v>12</v>
      </c>
    </row>
    <row r="610" spans="1:19" x14ac:dyDescent="0.3">
      <c r="A610" s="10">
        <v>45690</v>
      </c>
      <c r="B610" t="s">
        <v>622</v>
      </c>
      <c r="C610" t="s">
        <v>1121</v>
      </c>
      <c r="D610" t="s">
        <v>1136</v>
      </c>
      <c r="E610" t="s">
        <v>1139</v>
      </c>
      <c r="F610" t="s">
        <v>1150</v>
      </c>
      <c r="G610" t="s">
        <v>1154</v>
      </c>
      <c r="H610">
        <v>1</v>
      </c>
      <c r="I610">
        <v>57842</v>
      </c>
      <c r="J610" s="6">
        <v>20</v>
      </c>
      <c r="K610">
        <v>46273.599999999999</v>
      </c>
      <c r="L610">
        <v>46273.599999999999</v>
      </c>
      <c r="M610">
        <v>2000</v>
      </c>
      <c r="N610" t="s">
        <v>1160</v>
      </c>
      <c r="O610" t="s">
        <v>1164</v>
      </c>
      <c r="P610" s="10">
        <v>45698</v>
      </c>
      <c r="Q610" t="str">
        <f t="shared" si="27"/>
        <v>excellent</v>
      </c>
      <c r="R610">
        <f t="shared" si="28"/>
        <v>3</v>
      </c>
      <c r="S610" s="6">
        <f t="shared" si="29"/>
        <v>8</v>
      </c>
    </row>
    <row r="611" spans="1:19" x14ac:dyDescent="0.3">
      <c r="A611" s="10">
        <v>45747</v>
      </c>
      <c r="B611" t="s">
        <v>623</v>
      </c>
      <c r="C611" t="s">
        <v>1126</v>
      </c>
      <c r="D611" t="s">
        <v>1133</v>
      </c>
      <c r="E611" t="s">
        <v>1148</v>
      </c>
      <c r="F611" t="s">
        <v>1149</v>
      </c>
      <c r="G611" t="s">
        <v>1152</v>
      </c>
      <c r="H611">
        <v>3</v>
      </c>
      <c r="I611">
        <v>76714</v>
      </c>
      <c r="J611" s="6">
        <v>15</v>
      </c>
      <c r="K611">
        <v>65206.9</v>
      </c>
      <c r="L611">
        <v>195620.7</v>
      </c>
      <c r="M611">
        <v>2000</v>
      </c>
      <c r="N611" t="s">
        <v>1160</v>
      </c>
      <c r="O611" t="s">
        <v>1164</v>
      </c>
      <c r="P611" s="10">
        <v>45756</v>
      </c>
      <c r="Q611" t="str">
        <f t="shared" si="27"/>
        <v>excellent</v>
      </c>
      <c r="R611">
        <f t="shared" si="28"/>
        <v>3</v>
      </c>
      <c r="S611" s="6">
        <f t="shared" si="29"/>
        <v>9</v>
      </c>
    </row>
    <row r="612" spans="1:19" x14ac:dyDescent="0.3">
      <c r="A612" s="10">
        <v>45807</v>
      </c>
      <c r="B612" t="s">
        <v>624</v>
      </c>
      <c r="C612" t="s">
        <v>1117</v>
      </c>
      <c r="D612" t="s">
        <v>1133</v>
      </c>
      <c r="E612" t="s">
        <v>1145</v>
      </c>
      <c r="F612" t="s">
        <v>1149</v>
      </c>
      <c r="G612" t="s">
        <v>1153</v>
      </c>
      <c r="H612">
        <v>4</v>
      </c>
      <c r="I612">
        <v>56398</v>
      </c>
      <c r="J612" s="6">
        <v>10</v>
      </c>
      <c r="K612">
        <v>50758.2</v>
      </c>
      <c r="L612">
        <v>203032.8</v>
      </c>
      <c r="M612">
        <v>2000</v>
      </c>
      <c r="N612" t="s">
        <v>1159</v>
      </c>
      <c r="O612" t="s">
        <v>1162</v>
      </c>
      <c r="Q612" t="str">
        <f t="shared" si="27"/>
        <v>okay</v>
      </c>
      <c r="R612">
        <f t="shared" si="28"/>
        <v>2</v>
      </c>
      <c r="S612" s="6">
        <f t="shared" si="29"/>
        <v>0</v>
      </c>
    </row>
    <row r="613" spans="1:19" x14ac:dyDescent="0.3">
      <c r="A613" s="10">
        <v>45760</v>
      </c>
      <c r="B613" t="s">
        <v>625</v>
      </c>
      <c r="C613" t="s">
        <v>1119</v>
      </c>
      <c r="D613" t="s">
        <v>1134</v>
      </c>
      <c r="E613" t="s">
        <v>1140</v>
      </c>
      <c r="F613" t="s">
        <v>1150</v>
      </c>
      <c r="G613" t="s">
        <v>1154</v>
      </c>
      <c r="H613">
        <v>1</v>
      </c>
      <c r="I613">
        <v>19844</v>
      </c>
      <c r="J613" s="6">
        <v>10</v>
      </c>
      <c r="K613">
        <v>17859.599999999999</v>
      </c>
      <c r="L613">
        <v>17859.599999999999</v>
      </c>
      <c r="M613">
        <v>2000</v>
      </c>
      <c r="N613" t="s">
        <v>1160</v>
      </c>
      <c r="O613" t="s">
        <v>1162</v>
      </c>
      <c r="Q613" t="str">
        <f t="shared" si="27"/>
        <v>okay</v>
      </c>
      <c r="R613">
        <f t="shared" si="28"/>
        <v>2</v>
      </c>
      <c r="S613" s="6">
        <f t="shared" si="29"/>
        <v>0</v>
      </c>
    </row>
    <row r="614" spans="1:19" x14ac:dyDescent="0.3">
      <c r="A614" s="10">
        <v>45799</v>
      </c>
      <c r="B614" t="s">
        <v>626</v>
      </c>
      <c r="C614" t="s">
        <v>1122</v>
      </c>
      <c r="D614" t="s">
        <v>1136</v>
      </c>
      <c r="E614" t="s">
        <v>1143</v>
      </c>
      <c r="F614" t="s">
        <v>1151</v>
      </c>
      <c r="G614" t="s">
        <v>1157</v>
      </c>
      <c r="H614">
        <v>3</v>
      </c>
      <c r="I614">
        <v>31722</v>
      </c>
      <c r="J614" s="6">
        <v>20</v>
      </c>
      <c r="K614">
        <v>25377.599999999999</v>
      </c>
      <c r="L614">
        <v>76132.799999999988</v>
      </c>
      <c r="M614">
        <v>1500</v>
      </c>
      <c r="N614" t="s">
        <v>1161</v>
      </c>
      <c r="O614" t="s">
        <v>1163</v>
      </c>
      <c r="Q614" t="str">
        <f t="shared" si="27"/>
        <v>no comment</v>
      </c>
      <c r="R614">
        <f t="shared" si="28"/>
        <v>1</v>
      </c>
      <c r="S614" s="6">
        <f t="shared" si="29"/>
        <v>0</v>
      </c>
    </row>
    <row r="615" spans="1:19" x14ac:dyDescent="0.3">
      <c r="A615" s="10">
        <v>45696</v>
      </c>
      <c r="B615" t="s">
        <v>627</v>
      </c>
      <c r="C615" t="s">
        <v>1118</v>
      </c>
      <c r="D615" t="s">
        <v>1134</v>
      </c>
      <c r="E615" t="s">
        <v>1137</v>
      </c>
      <c r="F615" t="s">
        <v>1149</v>
      </c>
      <c r="G615" t="s">
        <v>1152</v>
      </c>
      <c r="H615">
        <v>1</v>
      </c>
      <c r="I615">
        <v>41835</v>
      </c>
      <c r="J615" s="6">
        <v>0</v>
      </c>
      <c r="K615">
        <v>41835</v>
      </c>
      <c r="L615">
        <v>41835</v>
      </c>
      <c r="M615">
        <v>1500</v>
      </c>
      <c r="N615" t="s">
        <v>1159</v>
      </c>
      <c r="O615" t="s">
        <v>1162</v>
      </c>
      <c r="Q615" t="str">
        <f t="shared" si="27"/>
        <v>okay</v>
      </c>
      <c r="R615">
        <f t="shared" si="28"/>
        <v>2</v>
      </c>
      <c r="S615" s="6">
        <f t="shared" si="29"/>
        <v>0</v>
      </c>
    </row>
    <row r="616" spans="1:19" x14ac:dyDescent="0.3">
      <c r="A616" s="10">
        <v>45820</v>
      </c>
      <c r="B616" t="s">
        <v>628</v>
      </c>
      <c r="C616" t="s">
        <v>1130</v>
      </c>
      <c r="D616" t="s">
        <v>1136</v>
      </c>
      <c r="E616" t="s">
        <v>1141</v>
      </c>
      <c r="F616" t="s">
        <v>1151</v>
      </c>
      <c r="G616" t="s">
        <v>1155</v>
      </c>
      <c r="H616">
        <v>2</v>
      </c>
      <c r="I616">
        <v>63045</v>
      </c>
      <c r="J616" s="6">
        <v>15</v>
      </c>
      <c r="K616">
        <v>53588.25</v>
      </c>
      <c r="L616">
        <v>107176.5</v>
      </c>
      <c r="M616">
        <v>1500</v>
      </c>
      <c r="N616" t="s">
        <v>1159</v>
      </c>
      <c r="O616" t="s">
        <v>1163</v>
      </c>
      <c r="Q616" t="str">
        <f t="shared" si="27"/>
        <v>no comment</v>
      </c>
      <c r="R616">
        <f t="shared" si="28"/>
        <v>1</v>
      </c>
      <c r="S616" s="6">
        <f t="shared" si="29"/>
        <v>0</v>
      </c>
    </row>
    <row r="617" spans="1:19" x14ac:dyDescent="0.3">
      <c r="A617" s="10">
        <v>45711</v>
      </c>
      <c r="B617" t="s">
        <v>629</v>
      </c>
      <c r="C617" t="s">
        <v>1117</v>
      </c>
      <c r="D617" t="s">
        <v>1133</v>
      </c>
      <c r="E617" t="s">
        <v>1142</v>
      </c>
      <c r="F617" t="s">
        <v>1150</v>
      </c>
      <c r="G617" t="s">
        <v>1156</v>
      </c>
      <c r="H617">
        <v>1</v>
      </c>
      <c r="I617">
        <v>4218</v>
      </c>
      <c r="J617" s="6">
        <v>20</v>
      </c>
      <c r="K617">
        <v>3374.4</v>
      </c>
      <c r="L617">
        <v>3374.4</v>
      </c>
      <c r="M617">
        <v>1000</v>
      </c>
      <c r="N617" t="s">
        <v>1161</v>
      </c>
      <c r="O617" t="s">
        <v>1162</v>
      </c>
      <c r="Q617" t="str">
        <f t="shared" si="27"/>
        <v>okay</v>
      </c>
      <c r="R617">
        <f t="shared" si="28"/>
        <v>2</v>
      </c>
      <c r="S617" s="6">
        <f t="shared" si="29"/>
        <v>0</v>
      </c>
    </row>
    <row r="618" spans="1:19" x14ac:dyDescent="0.3">
      <c r="A618" s="10">
        <v>45734</v>
      </c>
      <c r="B618" t="s">
        <v>630</v>
      </c>
      <c r="C618" t="s">
        <v>1132</v>
      </c>
      <c r="D618" t="s">
        <v>1134</v>
      </c>
      <c r="E618" t="s">
        <v>1140</v>
      </c>
      <c r="F618" t="s">
        <v>1150</v>
      </c>
      <c r="G618" t="s">
        <v>1154</v>
      </c>
      <c r="H618">
        <v>1</v>
      </c>
      <c r="I618">
        <v>32222</v>
      </c>
      <c r="J618" s="6">
        <v>0</v>
      </c>
      <c r="K618">
        <v>32222</v>
      </c>
      <c r="L618">
        <v>32222</v>
      </c>
      <c r="M618">
        <v>1000</v>
      </c>
      <c r="N618" t="s">
        <v>1160</v>
      </c>
      <c r="O618" t="s">
        <v>1162</v>
      </c>
      <c r="Q618" t="str">
        <f t="shared" si="27"/>
        <v>okay</v>
      </c>
      <c r="R618">
        <f t="shared" si="28"/>
        <v>2</v>
      </c>
      <c r="S618" s="6">
        <f t="shared" si="29"/>
        <v>0</v>
      </c>
    </row>
    <row r="619" spans="1:19" x14ac:dyDescent="0.3">
      <c r="A619" s="10">
        <v>45823</v>
      </c>
      <c r="B619" t="s">
        <v>631</v>
      </c>
      <c r="C619" t="s">
        <v>1125</v>
      </c>
      <c r="D619" t="s">
        <v>1133</v>
      </c>
      <c r="E619" t="s">
        <v>1142</v>
      </c>
      <c r="F619" t="s">
        <v>1150</v>
      </c>
      <c r="G619" t="s">
        <v>1156</v>
      </c>
      <c r="H619">
        <v>3</v>
      </c>
      <c r="I619">
        <v>23981</v>
      </c>
      <c r="J619" s="6">
        <v>20</v>
      </c>
      <c r="K619">
        <v>19184.8</v>
      </c>
      <c r="L619">
        <v>57554.399999999987</v>
      </c>
      <c r="M619">
        <v>2000</v>
      </c>
      <c r="N619" t="s">
        <v>1160</v>
      </c>
      <c r="O619" t="s">
        <v>1164</v>
      </c>
      <c r="P619" s="10">
        <v>45832</v>
      </c>
      <c r="Q619" t="str">
        <f t="shared" si="27"/>
        <v>excellent</v>
      </c>
      <c r="R619">
        <f t="shared" si="28"/>
        <v>3</v>
      </c>
      <c r="S619" s="6">
        <f t="shared" si="29"/>
        <v>9</v>
      </c>
    </row>
    <row r="620" spans="1:19" x14ac:dyDescent="0.3">
      <c r="A620" s="10">
        <v>45722</v>
      </c>
      <c r="B620" t="s">
        <v>632</v>
      </c>
      <c r="C620" t="s">
        <v>1117</v>
      </c>
      <c r="D620" t="s">
        <v>1133</v>
      </c>
      <c r="E620" t="s">
        <v>1145</v>
      </c>
      <c r="F620" t="s">
        <v>1149</v>
      </c>
      <c r="G620" t="s">
        <v>1153</v>
      </c>
      <c r="H620">
        <v>3</v>
      </c>
      <c r="I620">
        <v>10724</v>
      </c>
      <c r="J620" s="6">
        <v>20</v>
      </c>
      <c r="K620">
        <v>8579.2000000000007</v>
      </c>
      <c r="L620">
        <v>25737.599999999999</v>
      </c>
      <c r="M620">
        <v>1500</v>
      </c>
      <c r="N620" t="s">
        <v>1161</v>
      </c>
      <c r="O620" t="s">
        <v>1163</v>
      </c>
      <c r="Q620" t="str">
        <f t="shared" si="27"/>
        <v>no comment</v>
      </c>
      <c r="R620">
        <f t="shared" si="28"/>
        <v>1</v>
      </c>
      <c r="S620" s="6">
        <f t="shared" si="29"/>
        <v>0</v>
      </c>
    </row>
    <row r="621" spans="1:19" x14ac:dyDescent="0.3">
      <c r="A621" s="10">
        <v>45668</v>
      </c>
      <c r="B621" t="s">
        <v>633</v>
      </c>
      <c r="C621" t="s">
        <v>1132</v>
      </c>
      <c r="D621" t="s">
        <v>1134</v>
      </c>
      <c r="E621" t="s">
        <v>1143</v>
      </c>
      <c r="F621" t="s">
        <v>1151</v>
      </c>
      <c r="G621" t="s">
        <v>1157</v>
      </c>
      <c r="H621">
        <v>5</v>
      </c>
      <c r="I621">
        <v>49455</v>
      </c>
      <c r="J621" s="6">
        <v>15</v>
      </c>
      <c r="K621">
        <v>42036.75</v>
      </c>
      <c r="L621">
        <v>210183.75</v>
      </c>
      <c r="M621">
        <v>1000</v>
      </c>
      <c r="N621" t="s">
        <v>1161</v>
      </c>
      <c r="O621" t="s">
        <v>1163</v>
      </c>
      <c r="Q621" t="str">
        <f t="shared" si="27"/>
        <v>no comment</v>
      </c>
      <c r="R621">
        <f t="shared" si="28"/>
        <v>1</v>
      </c>
      <c r="S621" s="6">
        <f t="shared" si="29"/>
        <v>0</v>
      </c>
    </row>
    <row r="622" spans="1:19" x14ac:dyDescent="0.3">
      <c r="A622" s="10">
        <v>45780</v>
      </c>
      <c r="B622" t="s">
        <v>634</v>
      </c>
      <c r="C622" t="s">
        <v>1132</v>
      </c>
      <c r="D622" t="s">
        <v>1134</v>
      </c>
      <c r="E622" t="s">
        <v>1148</v>
      </c>
      <c r="F622" t="s">
        <v>1149</v>
      </c>
      <c r="G622" t="s">
        <v>1152</v>
      </c>
      <c r="H622">
        <v>5</v>
      </c>
      <c r="I622">
        <v>24472</v>
      </c>
      <c r="J622" s="6">
        <v>10</v>
      </c>
      <c r="K622">
        <v>22024.799999999999</v>
      </c>
      <c r="L622">
        <v>110124</v>
      </c>
      <c r="M622">
        <v>1000</v>
      </c>
      <c r="N622" t="s">
        <v>1159</v>
      </c>
      <c r="O622" t="s">
        <v>1163</v>
      </c>
      <c r="Q622" t="str">
        <f t="shared" si="27"/>
        <v>no comment</v>
      </c>
      <c r="R622">
        <f t="shared" si="28"/>
        <v>1</v>
      </c>
      <c r="S622" s="6">
        <f t="shared" si="29"/>
        <v>0</v>
      </c>
    </row>
    <row r="623" spans="1:19" x14ac:dyDescent="0.3">
      <c r="A623" s="10">
        <v>45776</v>
      </c>
      <c r="B623" t="s">
        <v>635</v>
      </c>
      <c r="C623" t="s">
        <v>1118</v>
      </c>
      <c r="D623" t="s">
        <v>1134</v>
      </c>
      <c r="E623" t="s">
        <v>1147</v>
      </c>
      <c r="F623" t="s">
        <v>1150</v>
      </c>
      <c r="G623" t="s">
        <v>1156</v>
      </c>
      <c r="H623">
        <v>2</v>
      </c>
      <c r="I623">
        <v>61429</v>
      </c>
      <c r="J623" s="6">
        <v>5</v>
      </c>
      <c r="K623">
        <v>58357.55</v>
      </c>
      <c r="L623">
        <v>116715.1</v>
      </c>
      <c r="M623">
        <v>1500</v>
      </c>
      <c r="N623" t="s">
        <v>1160</v>
      </c>
      <c r="O623" t="s">
        <v>1163</v>
      </c>
      <c r="Q623" t="str">
        <f t="shared" si="27"/>
        <v>no comment</v>
      </c>
      <c r="R623">
        <f t="shared" si="28"/>
        <v>1</v>
      </c>
      <c r="S623" s="6">
        <f t="shared" si="29"/>
        <v>0</v>
      </c>
    </row>
    <row r="624" spans="1:19" x14ac:dyDescent="0.3">
      <c r="A624" s="10">
        <v>45800</v>
      </c>
      <c r="B624" t="s">
        <v>636</v>
      </c>
      <c r="C624" t="s">
        <v>1131</v>
      </c>
      <c r="D624" t="s">
        <v>1136</v>
      </c>
      <c r="E624" t="s">
        <v>1146</v>
      </c>
      <c r="F624" t="s">
        <v>1151</v>
      </c>
      <c r="G624" t="s">
        <v>1155</v>
      </c>
      <c r="H624">
        <v>1</v>
      </c>
      <c r="I624">
        <v>76348</v>
      </c>
      <c r="J624" s="6">
        <v>5</v>
      </c>
      <c r="K624">
        <v>72530.600000000006</v>
      </c>
      <c r="L624">
        <v>72530.600000000006</v>
      </c>
      <c r="M624">
        <v>1000</v>
      </c>
      <c r="N624" t="s">
        <v>1159</v>
      </c>
      <c r="O624" t="s">
        <v>1164</v>
      </c>
      <c r="P624" s="10">
        <v>45805</v>
      </c>
      <c r="Q624" t="str">
        <f t="shared" si="27"/>
        <v>excellent</v>
      </c>
      <c r="R624">
        <f t="shared" si="28"/>
        <v>3</v>
      </c>
      <c r="S624" s="6">
        <f t="shared" si="29"/>
        <v>5</v>
      </c>
    </row>
    <row r="625" spans="1:19" x14ac:dyDescent="0.3">
      <c r="A625" s="10">
        <v>45698</v>
      </c>
      <c r="B625" t="s">
        <v>637</v>
      </c>
      <c r="C625" t="s">
        <v>1131</v>
      </c>
      <c r="D625" t="s">
        <v>1136</v>
      </c>
      <c r="E625" t="s">
        <v>1148</v>
      </c>
      <c r="F625" t="s">
        <v>1149</v>
      </c>
      <c r="G625" t="s">
        <v>1152</v>
      </c>
      <c r="H625">
        <v>5</v>
      </c>
      <c r="I625">
        <v>51465</v>
      </c>
      <c r="J625" s="6">
        <v>5</v>
      </c>
      <c r="K625">
        <v>48891.75</v>
      </c>
      <c r="L625">
        <v>244458.75</v>
      </c>
      <c r="M625">
        <v>1000</v>
      </c>
      <c r="N625" t="s">
        <v>1161</v>
      </c>
      <c r="O625" t="s">
        <v>1163</v>
      </c>
      <c r="Q625" t="str">
        <f t="shared" si="27"/>
        <v>no comment</v>
      </c>
      <c r="R625">
        <f t="shared" si="28"/>
        <v>1</v>
      </c>
      <c r="S625" s="6">
        <f t="shared" si="29"/>
        <v>0</v>
      </c>
    </row>
    <row r="626" spans="1:19" x14ac:dyDescent="0.3">
      <c r="A626" s="10">
        <v>45687</v>
      </c>
      <c r="B626" t="s">
        <v>638</v>
      </c>
      <c r="C626" t="s">
        <v>1123</v>
      </c>
      <c r="D626" t="s">
        <v>1135</v>
      </c>
      <c r="E626" t="s">
        <v>1139</v>
      </c>
      <c r="F626" t="s">
        <v>1150</v>
      </c>
      <c r="G626" t="s">
        <v>1154</v>
      </c>
      <c r="H626">
        <v>1</v>
      </c>
      <c r="I626">
        <v>79839</v>
      </c>
      <c r="J626" s="6">
        <v>0</v>
      </c>
      <c r="K626">
        <v>79839</v>
      </c>
      <c r="L626">
        <v>79839</v>
      </c>
      <c r="M626">
        <v>2000</v>
      </c>
      <c r="N626" t="s">
        <v>1159</v>
      </c>
      <c r="O626" t="s">
        <v>1163</v>
      </c>
      <c r="Q626" t="str">
        <f t="shared" si="27"/>
        <v>no comment</v>
      </c>
      <c r="R626">
        <f t="shared" si="28"/>
        <v>1</v>
      </c>
      <c r="S626" s="6">
        <f t="shared" si="29"/>
        <v>0</v>
      </c>
    </row>
    <row r="627" spans="1:19" x14ac:dyDescent="0.3">
      <c r="A627" s="10">
        <v>45699</v>
      </c>
      <c r="B627" t="s">
        <v>639</v>
      </c>
      <c r="C627" t="s">
        <v>1122</v>
      </c>
      <c r="D627" t="s">
        <v>1136</v>
      </c>
      <c r="E627" t="s">
        <v>1142</v>
      </c>
      <c r="F627" t="s">
        <v>1150</v>
      </c>
      <c r="G627" t="s">
        <v>1156</v>
      </c>
      <c r="H627">
        <v>2</v>
      </c>
      <c r="I627">
        <v>45619</v>
      </c>
      <c r="J627" s="6">
        <v>5</v>
      </c>
      <c r="K627">
        <v>43338.05</v>
      </c>
      <c r="L627">
        <v>86676.1</v>
      </c>
      <c r="M627">
        <v>2000</v>
      </c>
      <c r="N627" t="s">
        <v>1161</v>
      </c>
      <c r="O627" t="s">
        <v>1162</v>
      </c>
      <c r="Q627" t="str">
        <f t="shared" si="27"/>
        <v>okay</v>
      </c>
      <c r="R627">
        <f t="shared" si="28"/>
        <v>2</v>
      </c>
      <c r="S627" s="6">
        <f t="shared" si="29"/>
        <v>0</v>
      </c>
    </row>
    <row r="628" spans="1:19" x14ac:dyDescent="0.3">
      <c r="A628" s="10">
        <v>45835</v>
      </c>
      <c r="B628" t="s">
        <v>640</v>
      </c>
      <c r="C628" t="s">
        <v>1122</v>
      </c>
      <c r="D628" t="s">
        <v>1136</v>
      </c>
      <c r="E628" t="s">
        <v>1139</v>
      </c>
      <c r="F628" t="s">
        <v>1150</v>
      </c>
      <c r="G628" t="s">
        <v>1154</v>
      </c>
      <c r="H628">
        <v>4</v>
      </c>
      <c r="I628">
        <v>78113</v>
      </c>
      <c r="J628" s="6">
        <v>15</v>
      </c>
      <c r="K628">
        <v>66396.05</v>
      </c>
      <c r="L628">
        <v>265584.2</v>
      </c>
      <c r="M628">
        <v>1000</v>
      </c>
      <c r="N628" t="s">
        <v>1160</v>
      </c>
      <c r="O628" t="s">
        <v>1164</v>
      </c>
      <c r="P628" s="10">
        <v>45847</v>
      </c>
      <c r="Q628" t="str">
        <f t="shared" si="27"/>
        <v>excellent</v>
      </c>
      <c r="R628">
        <f t="shared" si="28"/>
        <v>3</v>
      </c>
      <c r="S628" s="6">
        <f t="shared" si="29"/>
        <v>12</v>
      </c>
    </row>
    <row r="629" spans="1:19" x14ac:dyDescent="0.3">
      <c r="A629" s="10">
        <v>45731</v>
      </c>
      <c r="B629" t="s">
        <v>641</v>
      </c>
      <c r="C629" t="s">
        <v>1125</v>
      </c>
      <c r="D629" t="s">
        <v>1133</v>
      </c>
      <c r="E629" t="s">
        <v>1138</v>
      </c>
      <c r="F629" t="s">
        <v>1149</v>
      </c>
      <c r="G629" t="s">
        <v>1153</v>
      </c>
      <c r="H629">
        <v>1</v>
      </c>
      <c r="I629">
        <v>52152</v>
      </c>
      <c r="J629" s="6">
        <v>15</v>
      </c>
      <c r="K629">
        <v>44329.2</v>
      </c>
      <c r="L629">
        <v>44329.2</v>
      </c>
      <c r="M629">
        <v>2000</v>
      </c>
      <c r="N629" t="s">
        <v>1159</v>
      </c>
      <c r="O629" t="s">
        <v>1162</v>
      </c>
      <c r="Q629" t="str">
        <f t="shared" si="27"/>
        <v>okay</v>
      </c>
      <c r="R629">
        <f t="shared" si="28"/>
        <v>2</v>
      </c>
      <c r="S629" s="6">
        <f t="shared" si="29"/>
        <v>0</v>
      </c>
    </row>
    <row r="630" spans="1:19" x14ac:dyDescent="0.3">
      <c r="A630" s="10">
        <v>45662</v>
      </c>
      <c r="B630" t="s">
        <v>642</v>
      </c>
      <c r="C630" t="s">
        <v>1125</v>
      </c>
      <c r="D630" t="s">
        <v>1133</v>
      </c>
      <c r="E630" t="s">
        <v>1147</v>
      </c>
      <c r="F630" t="s">
        <v>1150</v>
      </c>
      <c r="G630" t="s">
        <v>1156</v>
      </c>
      <c r="H630">
        <v>4</v>
      </c>
      <c r="I630">
        <v>47009</v>
      </c>
      <c r="J630" s="6">
        <v>20</v>
      </c>
      <c r="K630">
        <v>37607.199999999997</v>
      </c>
      <c r="L630">
        <v>150428.79999999999</v>
      </c>
      <c r="M630">
        <v>1000</v>
      </c>
      <c r="N630" t="s">
        <v>1160</v>
      </c>
      <c r="O630" t="s">
        <v>1162</v>
      </c>
      <c r="Q630" t="str">
        <f t="shared" si="27"/>
        <v>okay</v>
      </c>
      <c r="R630">
        <f t="shared" si="28"/>
        <v>2</v>
      </c>
      <c r="S630" s="6">
        <f t="shared" si="29"/>
        <v>0</v>
      </c>
    </row>
    <row r="631" spans="1:19" x14ac:dyDescent="0.3">
      <c r="A631" s="10">
        <v>45686</v>
      </c>
      <c r="B631" t="s">
        <v>643</v>
      </c>
      <c r="C631" t="s">
        <v>1121</v>
      </c>
      <c r="D631" t="s">
        <v>1136</v>
      </c>
      <c r="E631" t="s">
        <v>1144</v>
      </c>
      <c r="F631" t="s">
        <v>1151</v>
      </c>
      <c r="G631" t="s">
        <v>1157</v>
      </c>
      <c r="H631">
        <v>1</v>
      </c>
      <c r="I631">
        <v>18424</v>
      </c>
      <c r="J631" s="6">
        <v>5</v>
      </c>
      <c r="K631">
        <v>17502.8</v>
      </c>
      <c r="L631">
        <v>17502.8</v>
      </c>
      <c r="M631">
        <v>1500</v>
      </c>
      <c r="N631" t="s">
        <v>1160</v>
      </c>
      <c r="O631" t="s">
        <v>1162</v>
      </c>
      <c r="Q631" t="str">
        <f t="shared" si="27"/>
        <v>okay</v>
      </c>
      <c r="R631">
        <f t="shared" si="28"/>
        <v>2</v>
      </c>
      <c r="S631" s="6">
        <f t="shared" si="29"/>
        <v>0</v>
      </c>
    </row>
    <row r="632" spans="1:19" x14ac:dyDescent="0.3">
      <c r="A632" s="10">
        <v>45696</v>
      </c>
      <c r="B632" t="s">
        <v>644</v>
      </c>
      <c r="C632" t="s">
        <v>1121</v>
      </c>
      <c r="D632" t="s">
        <v>1136</v>
      </c>
      <c r="E632" t="s">
        <v>1138</v>
      </c>
      <c r="F632" t="s">
        <v>1149</v>
      </c>
      <c r="G632" t="s">
        <v>1153</v>
      </c>
      <c r="H632">
        <v>5</v>
      </c>
      <c r="I632">
        <v>77707</v>
      </c>
      <c r="J632" s="6">
        <v>20</v>
      </c>
      <c r="K632">
        <v>62165.599999999999</v>
      </c>
      <c r="L632">
        <v>310828</v>
      </c>
      <c r="M632">
        <v>1000</v>
      </c>
      <c r="N632" t="s">
        <v>1161</v>
      </c>
      <c r="O632" t="s">
        <v>1162</v>
      </c>
      <c r="Q632" t="str">
        <f t="shared" si="27"/>
        <v>okay</v>
      </c>
      <c r="R632">
        <f t="shared" si="28"/>
        <v>2</v>
      </c>
      <c r="S632" s="6">
        <f t="shared" si="29"/>
        <v>0</v>
      </c>
    </row>
    <row r="633" spans="1:19" x14ac:dyDescent="0.3">
      <c r="A633" s="10">
        <v>45759</v>
      </c>
      <c r="B633" t="s">
        <v>645</v>
      </c>
      <c r="C633" t="s">
        <v>1118</v>
      </c>
      <c r="D633" t="s">
        <v>1134</v>
      </c>
      <c r="E633" t="s">
        <v>1138</v>
      </c>
      <c r="F633" t="s">
        <v>1149</v>
      </c>
      <c r="G633" t="s">
        <v>1153</v>
      </c>
      <c r="H633">
        <v>1</v>
      </c>
      <c r="I633">
        <v>67180</v>
      </c>
      <c r="J633" s="6">
        <v>0</v>
      </c>
      <c r="K633">
        <v>67180</v>
      </c>
      <c r="L633">
        <v>67180</v>
      </c>
      <c r="M633">
        <v>2000</v>
      </c>
      <c r="N633" t="s">
        <v>1160</v>
      </c>
      <c r="O633" t="s">
        <v>1163</v>
      </c>
      <c r="Q633" t="str">
        <f t="shared" si="27"/>
        <v>no comment</v>
      </c>
      <c r="R633">
        <f t="shared" si="28"/>
        <v>1</v>
      </c>
      <c r="S633" s="6">
        <f t="shared" si="29"/>
        <v>0</v>
      </c>
    </row>
    <row r="634" spans="1:19" x14ac:dyDescent="0.3">
      <c r="A634" s="10">
        <v>45782</v>
      </c>
      <c r="B634" t="s">
        <v>646</v>
      </c>
      <c r="C634" t="s">
        <v>1117</v>
      </c>
      <c r="D634" t="s">
        <v>1133</v>
      </c>
      <c r="E634" t="s">
        <v>1148</v>
      </c>
      <c r="F634" t="s">
        <v>1149</v>
      </c>
      <c r="G634" t="s">
        <v>1152</v>
      </c>
      <c r="H634">
        <v>2</v>
      </c>
      <c r="I634">
        <v>30268</v>
      </c>
      <c r="J634" s="6">
        <v>0</v>
      </c>
      <c r="K634">
        <v>30268</v>
      </c>
      <c r="L634">
        <v>60536</v>
      </c>
      <c r="M634">
        <v>1000</v>
      </c>
      <c r="N634" t="s">
        <v>1160</v>
      </c>
      <c r="O634" t="s">
        <v>1163</v>
      </c>
      <c r="Q634" t="str">
        <f t="shared" si="27"/>
        <v>no comment</v>
      </c>
      <c r="R634">
        <f t="shared" si="28"/>
        <v>1</v>
      </c>
      <c r="S634" s="6">
        <f t="shared" si="29"/>
        <v>0</v>
      </c>
    </row>
    <row r="635" spans="1:19" x14ac:dyDescent="0.3">
      <c r="A635" s="10">
        <v>45824</v>
      </c>
      <c r="B635" t="s">
        <v>647</v>
      </c>
      <c r="C635" t="s">
        <v>1125</v>
      </c>
      <c r="D635" t="s">
        <v>1133</v>
      </c>
      <c r="E635" t="s">
        <v>1143</v>
      </c>
      <c r="F635" t="s">
        <v>1151</v>
      </c>
      <c r="G635" t="s">
        <v>1157</v>
      </c>
      <c r="H635">
        <v>4</v>
      </c>
      <c r="I635">
        <v>71047</v>
      </c>
      <c r="J635" s="6">
        <v>15</v>
      </c>
      <c r="K635">
        <v>60389.95</v>
      </c>
      <c r="L635">
        <v>241559.8</v>
      </c>
      <c r="M635">
        <v>1000</v>
      </c>
      <c r="N635" t="s">
        <v>1161</v>
      </c>
      <c r="O635" t="s">
        <v>1162</v>
      </c>
      <c r="Q635" t="str">
        <f t="shared" si="27"/>
        <v>okay</v>
      </c>
      <c r="R635">
        <f t="shared" si="28"/>
        <v>2</v>
      </c>
      <c r="S635" s="6">
        <f t="shared" si="29"/>
        <v>0</v>
      </c>
    </row>
    <row r="636" spans="1:19" x14ac:dyDescent="0.3">
      <c r="A636" s="10">
        <v>45801</v>
      </c>
      <c r="B636" t="s">
        <v>648</v>
      </c>
      <c r="C636" t="s">
        <v>1123</v>
      </c>
      <c r="D636" t="s">
        <v>1135</v>
      </c>
      <c r="E636" t="s">
        <v>1143</v>
      </c>
      <c r="F636" t="s">
        <v>1151</v>
      </c>
      <c r="G636" t="s">
        <v>1157</v>
      </c>
      <c r="H636">
        <v>4</v>
      </c>
      <c r="I636">
        <v>24778</v>
      </c>
      <c r="J636" s="6">
        <v>10</v>
      </c>
      <c r="K636">
        <v>22300.2</v>
      </c>
      <c r="L636">
        <v>89200.8</v>
      </c>
      <c r="M636">
        <v>1000</v>
      </c>
      <c r="N636" t="s">
        <v>1161</v>
      </c>
      <c r="O636" t="s">
        <v>1164</v>
      </c>
      <c r="P636" s="10">
        <v>45803</v>
      </c>
      <c r="Q636" t="str">
        <f t="shared" si="27"/>
        <v>excellent</v>
      </c>
      <c r="R636">
        <f t="shared" si="28"/>
        <v>3</v>
      </c>
      <c r="S636" s="6">
        <f t="shared" si="29"/>
        <v>2</v>
      </c>
    </row>
    <row r="637" spans="1:19" x14ac:dyDescent="0.3">
      <c r="A637" s="10">
        <v>45780</v>
      </c>
      <c r="B637" t="s">
        <v>649</v>
      </c>
      <c r="C637" t="s">
        <v>1129</v>
      </c>
      <c r="D637" t="s">
        <v>1133</v>
      </c>
      <c r="E637" t="s">
        <v>1141</v>
      </c>
      <c r="F637" t="s">
        <v>1151</v>
      </c>
      <c r="G637" t="s">
        <v>1155</v>
      </c>
      <c r="H637">
        <v>1</v>
      </c>
      <c r="I637">
        <v>30449</v>
      </c>
      <c r="J637" s="6">
        <v>20</v>
      </c>
      <c r="K637">
        <v>24359.200000000001</v>
      </c>
      <c r="L637">
        <v>24359.200000000001</v>
      </c>
      <c r="M637">
        <v>1000</v>
      </c>
      <c r="N637" t="s">
        <v>1161</v>
      </c>
      <c r="O637" t="s">
        <v>1164</v>
      </c>
      <c r="P637" s="10">
        <v>45791</v>
      </c>
      <c r="Q637" t="str">
        <f t="shared" si="27"/>
        <v>excellent</v>
      </c>
      <c r="R637">
        <f t="shared" si="28"/>
        <v>3</v>
      </c>
      <c r="S637" s="6">
        <f t="shared" si="29"/>
        <v>11</v>
      </c>
    </row>
    <row r="638" spans="1:19" x14ac:dyDescent="0.3">
      <c r="A638" s="10">
        <v>45703</v>
      </c>
      <c r="B638" t="s">
        <v>650</v>
      </c>
      <c r="C638" t="s">
        <v>1122</v>
      </c>
      <c r="D638" t="s">
        <v>1136</v>
      </c>
      <c r="E638" t="s">
        <v>1137</v>
      </c>
      <c r="F638" t="s">
        <v>1149</v>
      </c>
      <c r="G638" t="s">
        <v>1152</v>
      </c>
      <c r="H638">
        <v>1</v>
      </c>
      <c r="I638">
        <v>69338</v>
      </c>
      <c r="J638" s="6">
        <v>20</v>
      </c>
      <c r="K638">
        <v>55470.400000000001</v>
      </c>
      <c r="L638">
        <v>55470.400000000001</v>
      </c>
      <c r="M638">
        <v>1000</v>
      </c>
      <c r="N638" t="s">
        <v>1160</v>
      </c>
      <c r="O638" t="s">
        <v>1163</v>
      </c>
      <c r="Q638" t="str">
        <f t="shared" si="27"/>
        <v>no comment</v>
      </c>
      <c r="R638">
        <f t="shared" si="28"/>
        <v>1</v>
      </c>
      <c r="S638" s="6">
        <f t="shared" si="29"/>
        <v>0</v>
      </c>
    </row>
    <row r="639" spans="1:19" x14ac:dyDescent="0.3">
      <c r="A639" s="10">
        <v>45776</v>
      </c>
      <c r="B639" t="s">
        <v>651</v>
      </c>
      <c r="C639" t="s">
        <v>1121</v>
      </c>
      <c r="D639" t="s">
        <v>1136</v>
      </c>
      <c r="E639" t="s">
        <v>1147</v>
      </c>
      <c r="F639" t="s">
        <v>1150</v>
      </c>
      <c r="G639" t="s">
        <v>1156</v>
      </c>
      <c r="H639">
        <v>3</v>
      </c>
      <c r="I639">
        <v>38958</v>
      </c>
      <c r="J639" s="6">
        <v>15</v>
      </c>
      <c r="K639">
        <v>33114.300000000003</v>
      </c>
      <c r="L639">
        <v>99342.900000000009</v>
      </c>
      <c r="M639">
        <v>1000</v>
      </c>
      <c r="N639" t="s">
        <v>1161</v>
      </c>
      <c r="O639" t="s">
        <v>1164</v>
      </c>
      <c r="P639" s="10">
        <v>45781</v>
      </c>
      <c r="Q639" t="str">
        <f t="shared" si="27"/>
        <v>excellent</v>
      </c>
      <c r="R639">
        <f t="shared" si="28"/>
        <v>3</v>
      </c>
      <c r="S639" s="6">
        <f t="shared" si="29"/>
        <v>5</v>
      </c>
    </row>
    <row r="640" spans="1:19" x14ac:dyDescent="0.3">
      <c r="A640" s="10">
        <v>45674</v>
      </c>
      <c r="B640" t="s">
        <v>652</v>
      </c>
      <c r="C640" t="s">
        <v>1118</v>
      </c>
      <c r="D640" t="s">
        <v>1134</v>
      </c>
      <c r="E640" t="s">
        <v>1137</v>
      </c>
      <c r="F640" t="s">
        <v>1149</v>
      </c>
      <c r="G640" t="s">
        <v>1152</v>
      </c>
      <c r="H640">
        <v>1</v>
      </c>
      <c r="I640">
        <v>40776</v>
      </c>
      <c r="J640" s="6">
        <v>10</v>
      </c>
      <c r="K640">
        <v>36698.400000000001</v>
      </c>
      <c r="L640">
        <v>36698.400000000001</v>
      </c>
      <c r="M640">
        <v>1000</v>
      </c>
      <c r="N640" t="s">
        <v>1160</v>
      </c>
      <c r="O640" t="s">
        <v>1162</v>
      </c>
      <c r="Q640" t="str">
        <f t="shared" si="27"/>
        <v>okay</v>
      </c>
      <c r="R640">
        <f t="shared" si="28"/>
        <v>2</v>
      </c>
      <c r="S640" s="6">
        <f t="shared" si="29"/>
        <v>0</v>
      </c>
    </row>
    <row r="641" spans="1:19" x14ac:dyDescent="0.3">
      <c r="A641" s="10">
        <v>45671</v>
      </c>
      <c r="B641" t="s">
        <v>653</v>
      </c>
      <c r="C641" t="s">
        <v>1129</v>
      </c>
      <c r="D641" t="s">
        <v>1133</v>
      </c>
      <c r="E641" t="s">
        <v>1145</v>
      </c>
      <c r="F641" t="s">
        <v>1149</v>
      </c>
      <c r="G641" t="s">
        <v>1153</v>
      </c>
      <c r="H641">
        <v>4</v>
      </c>
      <c r="I641">
        <v>24715</v>
      </c>
      <c r="J641" s="6">
        <v>20</v>
      </c>
      <c r="K641">
        <v>19772</v>
      </c>
      <c r="L641">
        <v>79088</v>
      </c>
      <c r="M641">
        <v>2000</v>
      </c>
      <c r="N641" t="s">
        <v>1160</v>
      </c>
      <c r="O641" t="s">
        <v>1162</v>
      </c>
      <c r="Q641" t="str">
        <f t="shared" si="27"/>
        <v>okay</v>
      </c>
      <c r="R641">
        <f t="shared" si="28"/>
        <v>2</v>
      </c>
      <c r="S641" s="6">
        <f t="shared" si="29"/>
        <v>0</v>
      </c>
    </row>
    <row r="642" spans="1:19" x14ac:dyDescent="0.3">
      <c r="A642" s="10">
        <v>45828</v>
      </c>
      <c r="B642" t="s">
        <v>654</v>
      </c>
      <c r="C642" t="s">
        <v>1121</v>
      </c>
      <c r="D642" t="s">
        <v>1136</v>
      </c>
      <c r="E642" t="s">
        <v>1139</v>
      </c>
      <c r="F642" t="s">
        <v>1150</v>
      </c>
      <c r="G642" t="s">
        <v>1154</v>
      </c>
      <c r="H642">
        <v>4</v>
      </c>
      <c r="I642">
        <v>50780</v>
      </c>
      <c r="J642" s="6">
        <v>10</v>
      </c>
      <c r="K642">
        <v>45702</v>
      </c>
      <c r="L642">
        <v>182808</v>
      </c>
      <c r="M642">
        <v>2000</v>
      </c>
      <c r="N642" t="s">
        <v>1161</v>
      </c>
      <c r="O642" t="s">
        <v>1162</v>
      </c>
      <c r="Q642" t="str">
        <f t="shared" ref="Q642:Q705" si="30">IF(O642="delivered","excellent",IF(O642="in transit","okay",IF(O642="failed","no comment")))</f>
        <v>okay</v>
      </c>
      <c r="R642">
        <f t="shared" si="28"/>
        <v>2</v>
      </c>
      <c r="S642" s="6">
        <f t="shared" si="29"/>
        <v>0</v>
      </c>
    </row>
    <row r="643" spans="1:19" x14ac:dyDescent="0.3">
      <c r="A643" s="10">
        <v>45711</v>
      </c>
      <c r="B643" t="s">
        <v>655</v>
      </c>
      <c r="C643" t="s">
        <v>1118</v>
      </c>
      <c r="D643" t="s">
        <v>1134</v>
      </c>
      <c r="E643" t="s">
        <v>1146</v>
      </c>
      <c r="F643" t="s">
        <v>1151</v>
      </c>
      <c r="G643" t="s">
        <v>1155</v>
      </c>
      <c r="H643">
        <v>2</v>
      </c>
      <c r="I643">
        <v>46795</v>
      </c>
      <c r="J643" s="6">
        <v>5</v>
      </c>
      <c r="K643">
        <v>44455.25</v>
      </c>
      <c r="L643">
        <v>88910.5</v>
      </c>
      <c r="M643">
        <v>2000</v>
      </c>
      <c r="N643" t="s">
        <v>1161</v>
      </c>
      <c r="O643" t="s">
        <v>1162</v>
      </c>
      <c r="Q643" t="str">
        <f t="shared" si="30"/>
        <v>okay</v>
      </c>
      <c r="R643">
        <f t="shared" ref="R643:R706" si="31">IF(Q643="excellent",3,IF(Q643="no comment",1,IF(Q643="okay",2)))</f>
        <v>2</v>
      </c>
      <c r="S643" s="6">
        <f t="shared" ref="S643:S706" si="32">(IFERROR(DATEDIF(A643,P643,"d"),0))</f>
        <v>0</v>
      </c>
    </row>
    <row r="644" spans="1:19" x14ac:dyDescent="0.3">
      <c r="A644" s="10">
        <v>45830</v>
      </c>
      <c r="B644" t="s">
        <v>656</v>
      </c>
      <c r="C644" t="s">
        <v>1122</v>
      </c>
      <c r="D644" t="s">
        <v>1136</v>
      </c>
      <c r="E644" t="s">
        <v>1141</v>
      </c>
      <c r="F644" t="s">
        <v>1151</v>
      </c>
      <c r="G644" t="s">
        <v>1155</v>
      </c>
      <c r="H644">
        <v>5</v>
      </c>
      <c r="I644">
        <v>31953</v>
      </c>
      <c r="J644" s="6">
        <v>15</v>
      </c>
      <c r="K644">
        <v>27160.05</v>
      </c>
      <c r="L644">
        <v>135800.25</v>
      </c>
      <c r="M644">
        <v>1500</v>
      </c>
      <c r="N644" t="s">
        <v>1159</v>
      </c>
      <c r="O644" t="s">
        <v>1162</v>
      </c>
      <c r="Q644" t="str">
        <f t="shared" si="30"/>
        <v>okay</v>
      </c>
      <c r="R644">
        <f t="shared" si="31"/>
        <v>2</v>
      </c>
      <c r="S644" s="6">
        <f t="shared" si="32"/>
        <v>0</v>
      </c>
    </row>
    <row r="645" spans="1:19" x14ac:dyDescent="0.3">
      <c r="A645" s="10">
        <v>45722</v>
      </c>
      <c r="B645" t="s">
        <v>657</v>
      </c>
      <c r="C645" t="s">
        <v>1129</v>
      </c>
      <c r="D645" t="s">
        <v>1133</v>
      </c>
      <c r="E645" t="s">
        <v>1144</v>
      </c>
      <c r="F645" t="s">
        <v>1151</v>
      </c>
      <c r="G645" t="s">
        <v>1157</v>
      </c>
      <c r="H645">
        <v>2</v>
      </c>
      <c r="I645">
        <v>68172</v>
      </c>
      <c r="J645" s="6">
        <v>20</v>
      </c>
      <c r="K645">
        <v>54537.599999999999</v>
      </c>
      <c r="L645">
        <v>109075.2</v>
      </c>
      <c r="M645">
        <v>2000</v>
      </c>
      <c r="N645" t="s">
        <v>1161</v>
      </c>
      <c r="O645" t="s">
        <v>1162</v>
      </c>
      <c r="Q645" t="str">
        <f t="shared" si="30"/>
        <v>okay</v>
      </c>
      <c r="R645">
        <f t="shared" si="31"/>
        <v>2</v>
      </c>
      <c r="S645" s="6">
        <f t="shared" si="32"/>
        <v>0</v>
      </c>
    </row>
    <row r="646" spans="1:19" x14ac:dyDescent="0.3">
      <c r="A646" s="10">
        <v>45674</v>
      </c>
      <c r="B646" t="s">
        <v>658</v>
      </c>
      <c r="C646" t="s">
        <v>1122</v>
      </c>
      <c r="D646" t="s">
        <v>1136</v>
      </c>
      <c r="E646" t="s">
        <v>1144</v>
      </c>
      <c r="F646" t="s">
        <v>1151</v>
      </c>
      <c r="G646" t="s">
        <v>1157</v>
      </c>
      <c r="H646">
        <v>3</v>
      </c>
      <c r="I646">
        <v>71675</v>
      </c>
      <c r="J646" s="6">
        <v>5</v>
      </c>
      <c r="K646">
        <v>68091.25</v>
      </c>
      <c r="L646">
        <v>204273.75</v>
      </c>
      <c r="M646">
        <v>1500</v>
      </c>
      <c r="N646" t="s">
        <v>1159</v>
      </c>
      <c r="O646" t="s">
        <v>1163</v>
      </c>
      <c r="Q646" t="str">
        <f t="shared" si="30"/>
        <v>no comment</v>
      </c>
      <c r="R646">
        <f t="shared" si="31"/>
        <v>1</v>
      </c>
      <c r="S646" s="6">
        <f t="shared" si="32"/>
        <v>0</v>
      </c>
    </row>
    <row r="647" spans="1:19" x14ac:dyDescent="0.3">
      <c r="A647" s="10">
        <v>45657</v>
      </c>
      <c r="B647" t="s">
        <v>659</v>
      </c>
      <c r="C647" t="s">
        <v>1120</v>
      </c>
      <c r="D647" t="s">
        <v>1135</v>
      </c>
      <c r="E647" t="s">
        <v>1141</v>
      </c>
      <c r="F647" t="s">
        <v>1151</v>
      </c>
      <c r="G647" t="s">
        <v>1155</v>
      </c>
      <c r="H647">
        <v>3</v>
      </c>
      <c r="I647">
        <v>62625</v>
      </c>
      <c r="J647" s="6">
        <v>10</v>
      </c>
      <c r="K647">
        <v>56362.5</v>
      </c>
      <c r="L647">
        <v>169087.5</v>
      </c>
      <c r="M647">
        <v>1500</v>
      </c>
      <c r="N647" t="s">
        <v>1161</v>
      </c>
      <c r="O647" t="s">
        <v>1162</v>
      </c>
      <c r="Q647" t="str">
        <f t="shared" si="30"/>
        <v>okay</v>
      </c>
      <c r="R647">
        <f t="shared" si="31"/>
        <v>2</v>
      </c>
      <c r="S647" s="6">
        <f t="shared" si="32"/>
        <v>0</v>
      </c>
    </row>
    <row r="648" spans="1:19" x14ac:dyDescent="0.3">
      <c r="A648" s="10">
        <v>45734</v>
      </c>
      <c r="B648" t="s">
        <v>660</v>
      </c>
      <c r="C648" t="s">
        <v>1131</v>
      </c>
      <c r="D648" t="s">
        <v>1136</v>
      </c>
      <c r="E648" t="s">
        <v>1148</v>
      </c>
      <c r="F648" t="s">
        <v>1149</v>
      </c>
      <c r="G648" t="s">
        <v>1152</v>
      </c>
      <c r="H648">
        <v>1</v>
      </c>
      <c r="I648">
        <v>59827</v>
      </c>
      <c r="J648" s="6">
        <v>5</v>
      </c>
      <c r="K648">
        <v>56835.65</v>
      </c>
      <c r="L648">
        <v>56835.65</v>
      </c>
      <c r="M648">
        <v>1000</v>
      </c>
      <c r="N648" t="s">
        <v>1161</v>
      </c>
      <c r="O648" t="s">
        <v>1163</v>
      </c>
      <c r="Q648" t="str">
        <f t="shared" si="30"/>
        <v>no comment</v>
      </c>
      <c r="R648">
        <f t="shared" si="31"/>
        <v>1</v>
      </c>
      <c r="S648" s="6">
        <f t="shared" si="32"/>
        <v>0</v>
      </c>
    </row>
    <row r="649" spans="1:19" x14ac:dyDescent="0.3">
      <c r="A649" s="10">
        <v>45658</v>
      </c>
      <c r="B649" t="s">
        <v>661</v>
      </c>
      <c r="C649" t="s">
        <v>1123</v>
      </c>
      <c r="D649" t="s">
        <v>1135</v>
      </c>
      <c r="E649" t="s">
        <v>1139</v>
      </c>
      <c r="F649" t="s">
        <v>1150</v>
      </c>
      <c r="G649" t="s">
        <v>1154</v>
      </c>
      <c r="H649">
        <v>4</v>
      </c>
      <c r="I649">
        <v>15183</v>
      </c>
      <c r="J649" s="6">
        <v>5</v>
      </c>
      <c r="K649">
        <v>14423.85</v>
      </c>
      <c r="L649">
        <v>57695.4</v>
      </c>
      <c r="M649">
        <v>1500</v>
      </c>
      <c r="N649" t="s">
        <v>1161</v>
      </c>
      <c r="O649" t="s">
        <v>1163</v>
      </c>
      <c r="Q649" t="str">
        <f t="shared" si="30"/>
        <v>no comment</v>
      </c>
      <c r="R649">
        <f t="shared" si="31"/>
        <v>1</v>
      </c>
      <c r="S649" s="6">
        <f t="shared" si="32"/>
        <v>0</v>
      </c>
    </row>
    <row r="650" spans="1:19" x14ac:dyDescent="0.3">
      <c r="A650" s="10">
        <v>45793</v>
      </c>
      <c r="B650" t="s">
        <v>662</v>
      </c>
      <c r="C650" t="s">
        <v>1117</v>
      </c>
      <c r="D650" t="s">
        <v>1133</v>
      </c>
      <c r="E650" t="s">
        <v>1143</v>
      </c>
      <c r="F650" t="s">
        <v>1151</v>
      </c>
      <c r="G650" t="s">
        <v>1157</v>
      </c>
      <c r="H650">
        <v>5</v>
      </c>
      <c r="I650">
        <v>31549</v>
      </c>
      <c r="J650" s="6">
        <v>15</v>
      </c>
      <c r="K650">
        <v>26816.65</v>
      </c>
      <c r="L650">
        <v>134083.25</v>
      </c>
      <c r="M650">
        <v>1500</v>
      </c>
      <c r="N650" t="s">
        <v>1160</v>
      </c>
      <c r="O650" t="s">
        <v>1162</v>
      </c>
      <c r="Q650" t="str">
        <f t="shared" si="30"/>
        <v>okay</v>
      </c>
      <c r="R650">
        <f t="shared" si="31"/>
        <v>2</v>
      </c>
      <c r="S650" s="6">
        <f t="shared" si="32"/>
        <v>0</v>
      </c>
    </row>
    <row r="651" spans="1:19" x14ac:dyDescent="0.3">
      <c r="A651" s="10">
        <v>45823</v>
      </c>
      <c r="B651" t="s">
        <v>663</v>
      </c>
      <c r="C651" t="s">
        <v>1118</v>
      </c>
      <c r="D651" t="s">
        <v>1134</v>
      </c>
      <c r="E651" t="s">
        <v>1147</v>
      </c>
      <c r="F651" t="s">
        <v>1150</v>
      </c>
      <c r="G651" t="s">
        <v>1156</v>
      </c>
      <c r="H651">
        <v>3</v>
      </c>
      <c r="I651">
        <v>35376</v>
      </c>
      <c r="J651" s="6">
        <v>10</v>
      </c>
      <c r="K651">
        <v>31838.400000000001</v>
      </c>
      <c r="L651">
        <v>95515.200000000012</v>
      </c>
      <c r="M651">
        <v>2000</v>
      </c>
      <c r="N651" t="s">
        <v>1159</v>
      </c>
      <c r="O651" t="s">
        <v>1163</v>
      </c>
      <c r="Q651" t="str">
        <f t="shared" si="30"/>
        <v>no comment</v>
      </c>
      <c r="R651">
        <f t="shared" si="31"/>
        <v>1</v>
      </c>
      <c r="S651" s="6">
        <f t="shared" si="32"/>
        <v>0</v>
      </c>
    </row>
    <row r="652" spans="1:19" x14ac:dyDescent="0.3">
      <c r="A652" s="10">
        <v>45769</v>
      </c>
      <c r="B652" t="s">
        <v>664</v>
      </c>
      <c r="C652" t="s">
        <v>1132</v>
      </c>
      <c r="D652" t="s">
        <v>1134</v>
      </c>
      <c r="E652" t="s">
        <v>1143</v>
      </c>
      <c r="F652" t="s">
        <v>1151</v>
      </c>
      <c r="G652" t="s">
        <v>1157</v>
      </c>
      <c r="H652">
        <v>1</v>
      </c>
      <c r="I652">
        <v>25161</v>
      </c>
      <c r="J652" s="6">
        <v>10</v>
      </c>
      <c r="K652">
        <v>22644.9</v>
      </c>
      <c r="L652">
        <v>22644.9</v>
      </c>
      <c r="M652">
        <v>2000</v>
      </c>
      <c r="N652" t="s">
        <v>1161</v>
      </c>
      <c r="O652" t="s">
        <v>1164</v>
      </c>
      <c r="P652" s="10">
        <v>45774</v>
      </c>
      <c r="Q652" t="str">
        <f t="shared" si="30"/>
        <v>excellent</v>
      </c>
      <c r="R652">
        <f t="shared" si="31"/>
        <v>3</v>
      </c>
      <c r="S652" s="6">
        <f t="shared" si="32"/>
        <v>5</v>
      </c>
    </row>
    <row r="653" spans="1:19" x14ac:dyDescent="0.3">
      <c r="A653" s="10">
        <v>45824</v>
      </c>
      <c r="B653" t="s">
        <v>665</v>
      </c>
      <c r="C653" t="s">
        <v>1131</v>
      </c>
      <c r="D653" t="s">
        <v>1136</v>
      </c>
      <c r="E653" t="s">
        <v>1141</v>
      </c>
      <c r="F653" t="s">
        <v>1151</v>
      </c>
      <c r="G653" t="s">
        <v>1155</v>
      </c>
      <c r="H653">
        <v>3</v>
      </c>
      <c r="I653">
        <v>56580</v>
      </c>
      <c r="J653" s="6">
        <v>20</v>
      </c>
      <c r="K653">
        <v>45264</v>
      </c>
      <c r="L653">
        <v>135792</v>
      </c>
      <c r="M653">
        <v>1500</v>
      </c>
      <c r="N653" t="s">
        <v>1160</v>
      </c>
      <c r="O653" t="s">
        <v>1164</v>
      </c>
      <c r="P653" s="10">
        <v>45831</v>
      </c>
      <c r="Q653" t="str">
        <f t="shared" si="30"/>
        <v>excellent</v>
      </c>
      <c r="R653">
        <f t="shared" si="31"/>
        <v>3</v>
      </c>
      <c r="S653" s="6">
        <f t="shared" si="32"/>
        <v>7</v>
      </c>
    </row>
    <row r="654" spans="1:19" x14ac:dyDescent="0.3">
      <c r="A654" s="10">
        <v>45682</v>
      </c>
      <c r="B654" t="s">
        <v>90</v>
      </c>
      <c r="C654" t="s">
        <v>1122</v>
      </c>
      <c r="D654" t="s">
        <v>1136</v>
      </c>
      <c r="E654" t="s">
        <v>1139</v>
      </c>
      <c r="F654" t="s">
        <v>1150</v>
      </c>
      <c r="G654" t="s">
        <v>1154</v>
      </c>
      <c r="H654">
        <v>4</v>
      </c>
      <c r="I654">
        <v>75714</v>
      </c>
      <c r="J654" s="6">
        <v>0</v>
      </c>
      <c r="K654">
        <v>75714</v>
      </c>
      <c r="L654">
        <v>302856</v>
      </c>
      <c r="M654">
        <v>1000</v>
      </c>
      <c r="N654" t="s">
        <v>1161</v>
      </c>
      <c r="O654" t="s">
        <v>1162</v>
      </c>
      <c r="Q654" t="str">
        <f t="shared" si="30"/>
        <v>okay</v>
      </c>
      <c r="R654">
        <f t="shared" si="31"/>
        <v>2</v>
      </c>
      <c r="S654" s="6">
        <f t="shared" si="32"/>
        <v>0</v>
      </c>
    </row>
    <row r="655" spans="1:19" x14ac:dyDescent="0.3">
      <c r="A655" s="10">
        <v>45788</v>
      </c>
      <c r="B655" t="s">
        <v>666</v>
      </c>
      <c r="C655" t="s">
        <v>1130</v>
      </c>
      <c r="D655" t="s">
        <v>1136</v>
      </c>
      <c r="E655" t="s">
        <v>1142</v>
      </c>
      <c r="F655" t="s">
        <v>1150</v>
      </c>
      <c r="G655" t="s">
        <v>1156</v>
      </c>
      <c r="H655">
        <v>1</v>
      </c>
      <c r="I655">
        <v>18851</v>
      </c>
      <c r="J655" s="6">
        <v>10</v>
      </c>
      <c r="K655">
        <v>16965.900000000001</v>
      </c>
      <c r="L655">
        <v>16965.900000000001</v>
      </c>
      <c r="M655">
        <v>1000</v>
      </c>
      <c r="N655" t="s">
        <v>1160</v>
      </c>
      <c r="O655" t="s">
        <v>1163</v>
      </c>
      <c r="Q655" t="str">
        <f t="shared" si="30"/>
        <v>no comment</v>
      </c>
      <c r="R655">
        <f t="shared" si="31"/>
        <v>1</v>
      </c>
      <c r="S655" s="6">
        <f t="shared" si="32"/>
        <v>0</v>
      </c>
    </row>
    <row r="656" spans="1:19" x14ac:dyDescent="0.3">
      <c r="A656" s="10">
        <v>45815</v>
      </c>
      <c r="B656" t="s">
        <v>667</v>
      </c>
      <c r="C656" t="s">
        <v>1124</v>
      </c>
      <c r="D656" t="s">
        <v>1135</v>
      </c>
      <c r="E656" t="s">
        <v>1146</v>
      </c>
      <c r="F656" t="s">
        <v>1151</v>
      </c>
      <c r="G656" t="s">
        <v>1155</v>
      </c>
      <c r="H656">
        <v>5</v>
      </c>
      <c r="I656">
        <v>61502</v>
      </c>
      <c r="J656" s="6">
        <v>10</v>
      </c>
      <c r="K656">
        <v>55351.8</v>
      </c>
      <c r="L656">
        <v>276759</v>
      </c>
      <c r="M656">
        <v>1500</v>
      </c>
      <c r="N656" t="s">
        <v>1161</v>
      </c>
      <c r="O656" t="s">
        <v>1164</v>
      </c>
      <c r="P656" s="10">
        <v>45819</v>
      </c>
      <c r="Q656" t="str">
        <f t="shared" si="30"/>
        <v>excellent</v>
      </c>
      <c r="R656">
        <f t="shared" si="31"/>
        <v>3</v>
      </c>
      <c r="S656" s="6">
        <f t="shared" si="32"/>
        <v>4</v>
      </c>
    </row>
    <row r="657" spans="1:19" x14ac:dyDescent="0.3">
      <c r="A657" s="10">
        <v>45674</v>
      </c>
      <c r="B657" t="s">
        <v>668</v>
      </c>
      <c r="C657" t="s">
        <v>1128</v>
      </c>
      <c r="D657" t="s">
        <v>1135</v>
      </c>
      <c r="E657" t="s">
        <v>1147</v>
      </c>
      <c r="F657" t="s">
        <v>1150</v>
      </c>
      <c r="G657" t="s">
        <v>1156</v>
      </c>
      <c r="H657">
        <v>5</v>
      </c>
      <c r="I657">
        <v>27208</v>
      </c>
      <c r="J657" s="6">
        <v>10</v>
      </c>
      <c r="K657">
        <v>24487.200000000001</v>
      </c>
      <c r="L657">
        <v>122436</v>
      </c>
      <c r="M657">
        <v>1500</v>
      </c>
      <c r="N657" t="s">
        <v>1161</v>
      </c>
      <c r="O657" t="s">
        <v>1164</v>
      </c>
      <c r="P657" s="10">
        <v>45683</v>
      </c>
      <c r="Q657" t="str">
        <f t="shared" si="30"/>
        <v>excellent</v>
      </c>
      <c r="R657">
        <f t="shared" si="31"/>
        <v>3</v>
      </c>
      <c r="S657" s="6">
        <f t="shared" si="32"/>
        <v>9</v>
      </c>
    </row>
    <row r="658" spans="1:19" x14ac:dyDescent="0.3">
      <c r="A658" s="10">
        <v>45731</v>
      </c>
      <c r="B658" t="s">
        <v>669</v>
      </c>
      <c r="C658" t="s">
        <v>1122</v>
      </c>
      <c r="D658" t="s">
        <v>1136</v>
      </c>
      <c r="E658" t="s">
        <v>1146</v>
      </c>
      <c r="F658" t="s">
        <v>1151</v>
      </c>
      <c r="G658" t="s">
        <v>1155</v>
      </c>
      <c r="H658">
        <v>4</v>
      </c>
      <c r="I658">
        <v>73068</v>
      </c>
      <c r="J658" s="6">
        <v>5</v>
      </c>
      <c r="K658">
        <v>69414.600000000006</v>
      </c>
      <c r="L658">
        <v>277658.40000000002</v>
      </c>
      <c r="M658">
        <v>1500</v>
      </c>
      <c r="N658" t="s">
        <v>1159</v>
      </c>
      <c r="O658" t="s">
        <v>1164</v>
      </c>
      <c r="P658" s="10">
        <v>45741</v>
      </c>
      <c r="Q658" t="str">
        <f t="shared" si="30"/>
        <v>excellent</v>
      </c>
      <c r="R658">
        <f t="shared" si="31"/>
        <v>3</v>
      </c>
      <c r="S658" s="6">
        <f t="shared" si="32"/>
        <v>10</v>
      </c>
    </row>
    <row r="659" spans="1:19" x14ac:dyDescent="0.3">
      <c r="A659" s="10">
        <v>45726</v>
      </c>
      <c r="B659" t="s">
        <v>670</v>
      </c>
      <c r="C659" t="s">
        <v>1126</v>
      </c>
      <c r="D659" t="s">
        <v>1133</v>
      </c>
      <c r="E659" t="s">
        <v>1138</v>
      </c>
      <c r="F659" t="s">
        <v>1149</v>
      </c>
      <c r="G659" t="s">
        <v>1153</v>
      </c>
      <c r="H659">
        <v>4</v>
      </c>
      <c r="I659">
        <v>15906</v>
      </c>
      <c r="J659" s="6">
        <v>10</v>
      </c>
      <c r="K659">
        <v>14315.4</v>
      </c>
      <c r="L659">
        <v>57261.599999999999</v>
      </c>
      <c r="M659">
        <v>1500</v>
      </c>
      <c r="N659" t="s">
        <v>1159</v>
      </c>
      <c r="O659" t="s">
        <v>1162</v>
      </c>
      <c r="Q659" t="str">
        <f t="shared" si="30"/>
        <v>okay</v>
      </c>
      <c r="R659">
        <f t="shared" si="31"/>
        <v>2</v>
      </c>
      <c r="S659" s="6">
        <f t="shared" si="32"/>
        <v>0</v>
      </c>
    </row>
    <row r="660" spans="1:19" x14ac:dyDescent="0.3">
      <c r="A660" s="10">
        <v>45665</v>
      </c>
      <c r="B660" t="s">
        <v>671</v>
      </c>
      <c r="C660" t="s">
        <v>1119</v>
      </c>
      <c r="D660" t="s">
        <v>1134</v>
      </c>
      <c r="E660" t="s">
        <v>1145</v>
      </c>
      <c r="F660" t="s">
        <v>1149</v>
      </c>
      <c r="G660" t="s">
        <v>1153</v>
      </c>
      <c r="H660">
        <v>3</v>
      </c>
      <c r="I660">
        <v>28869</v>
      </c>
      <c r="J660" s="6">
        <v>0</v>
      </c>
      <c r="K660">
        <v>28869</v>
      </c>
      <c r="L660">
        <v>86607</v>
      </c>
      <c r="M660">
        <v>2000</v>
      </c>
      <c r="N660" t="s">
        <v>1160</v>
      </c>
      <c r="O660" t="s">
        <v>1162</v>
      </c>
      <c r="Q660" t="str">
        <f t="shared" si="30"/>
        <v>okay</v>
      </c>
      <c r="R660">
        <f t="shared" si="31"/>
        <v>2</v>
      </c>
      <c r="S660" s="6">
        <f t="shared" si="32"/>
        <v>0</v>
      </c>
    </row>
    <row r="661" spans="1:19" x14ac:dyDescent="0.3">
      <c r="A661" s="10">
        <v>45733</v>
      </c>
      <c r="B661" t="s">
        <v>672</v>
      </c>
      <c r="C661" t="s">
        <v>1121</v>
      </c>
      <c r="D661" t="s">
        <v>1136</v>
      </c>
      <c r="E661" t="s">
        <v>1140</v>
      </c>
      <c r="F661" t="s">
        <v>1150</v>
      </c>
      <c r="G661" t="s">
        <v>1154</v>
      </c>
      <c r="H661">
        <v>3</v>
      </c>
      <c r="I661">
        <v>50589</v>
      </c>
      <c r="J661" s="6">
        <v>5</v>
      </c>
      <c r="K661">
        <v>48059.55</v>
      </c>
      <c r="L661">
        <v>144178.65</v>
      </c>
      <c r="M661">
        <v>1000</v>
      </c>
      <c r="N661" t="s">
        <v>1160</v>
      </c>
      <c r="O661" t="s">
        <v>1164</v>
      </c>
      <c r="P661" s="10">
        <v>45740</v>
      </c>
      <c r="Q661" t="str">
        <f t="shared" si="30"/>
        <v>excellent</v>
      </c>
      <c r="R661">
        <f t="shared" si="31"/>
        <v>3</v>
      </c>
      <c r="S661" s="6">
        <f t="shared" si="32"/>
        <v>7</v>
      </c>
    </row>
    <row r="662" spans="1:19" x14ac:dyDescent="0.3">
      <c r="A662" s="10">
        <v>45765</v>
      </c>
      <c r="B662" t="s">
        <v>673</v>
      </c>
      <c r="C662" t="s">
        <v>1122</v>
      </c>
      <c r="D662" t="s">
        <v>1136</v>
      </c>
      <c r="E662" t="s">
        <v>1146</v>
      </c>
      <c r="F662" t="s">
        <v>1151</v>
      </c>
      <c r="G662" t="s">
        <v>1155</v>
      </c>
      <c r="H662">
        <v>4</v>
      </c>
      <c r="I662">
        <v>33304</v>
      </c>
      <c r="J662" s="6">
        <v>15</v>
      </c>
      <c r="K662">
        <v>28308.400000000001</v>
      </c>
      <c r="L662">
        <v>113233.60000000001</v>
      </c>
      <c r="M662">
        <v>2000</v>
      </c>
      <c r="N662" t="s">
        <v>1161</v>
      </c>
      <c r="O662" t="s">
        <v>1162</v>
      </c>
      <c r="Q662" t="str">
        <f t="shared" si="30"/>
        <v>okay</v>
      </c>
      <c r="R662">
        <f t="shared" si="31"/>
        <v>2</v>
      </c>
      <c r="S662" s="6">
        <f t="shared" si="32"/>
        <v>0</v>
      </c>
    </row>
    <row r="663" spans="1:19" x14ac:dyDescent="0.3">
      <c r="A663" s="10">
        <v>45709</v>
      </c>
      <c r="B663" t="s">
        <v>674</v>
      </c>
      <c r="C663" t="s">
        <v>1127</v>
      </c>
      <c r="D663" t="s">
        <v>1134</v>
      </c>
      <c r="E663" t="s">
        <v>1142</v>
      </c>
      <c r="F663" t="s">
        <v>1150</v>
      </c>
      <c r="G663" t="s">
        <v>1156</v>
      </c>
      <c r="H663">
        <v>1</v>
      </c>
      <c r="I663">
        <v>33380</v>
      </c>
      <c r="J663" s="6">
        <v>15</v>
      </c>
      <c r="K663">
        <v>28373</v>
      </c>
      <c r="L663">
        <v>28373</v>
      </c>
      <c r="M663">
        <v>1500</v>
      </c>
      <c r="N663" t="s">
        <v>1160</v>
      </c>
      <c r="O663" t="s">
        <v>1162</v>
      </c>
      <c r="Q663" t="str">
        <f t="shared" si="30"/>
        <v>okay</v>
      </c>
      <c r="R663">
        <f t="shared" si="31"/>
        <v>2</v>
      </c>
      <c r="S663" s="6">
        <f t="shared" si="32"/>
        <v>0</v>
      </c>
    </row>
    <row r="664" spans="1:19" x14ac:dyDescent="0.3">
      <c r="A664" s="10">
        <v>45744</v>
      </c>
      <c r="B664" t="s">
        <v>675</v>
      </c>
      <c r="C664" t="s">
        <v>1128</v>
      </c>
      <c r="D664" t="s">
        <v>1135</v>
      </c>
      <c r="E664" t="s">
        <v>1143</v>
      </c>
      <c r="F664" t="s">
        <v>1151</v>
      </c>
      <c r="G664" t="s">
        <v>1157</v>
      </c>
      <c r="H664">
        <v>1</v>
      </c>
      <c r="I664">
        <v>62116</v>
      </c>
      <c r="J664" s="6">
        <v>15</v>
      </c>
      <c r="K664">
        <v>52798.6</v>
      </c>
      <c r="L664">
        <v>52798.6</v>
      </c>
      <c r="M664">
        <v>2000</v>
      </c>
      <c r="N664" t="s">
        <v>1161</v>
      </c>
      <c r="O664" t="s">
        <v>1164</v>
      </c>
      <c r="P664" s="10">
        <v>45747</v>
      </c>
      <c r="Q664" t="str">
        <f t="shared" si="30"/>
        <v>excellent</v>
      </c>
      <c r="R664">
        <f t="shared" si="31"/>
        <v>3</v>
      </c>
      <c r="S664" s="6">
        <f t="shared" si="32"/>
        <v>3</v>
      </c>
    </row>
    <row r="665" spans="1:19" x14ac:dyDescent="0.3">
      <c r="A665" s="10">
        <v>45732</v>
      </c>
      <c r="B665" t="s">
        <v>676</v>
      </c>
      <c r="C665" t="s">
        <v>1125</v>
      </c>
      <c r="D665" t="s">
        <v>1133</v>
      </c>
      <c r="E665" t="s">
        <v>1144</v>
      </c>
      <c r="F665" t="s">
        <v>1151</v>
      </c>
      <c r="G665" t="s">
        <v>1157</v>
      </c>
      <c r="H665">
        <v>2</v>
      </c>
      <c r="I665">
        <v>34333</v>
      </c>
      <c r="J665" s="6">
        <v>10</v>
      </c>
      <c r="K665">
        <v>30899.7</v>
      </c>
      <c r="L665">
        <v>61799.4</v>
      </c>
      <c r="M665">
        <v>1500</v>
      </c>
      <c r="N665" t="s">
        <v>1159</v>
      </c>
      <c r="O665" t="s">
        <v>1164</v>
      </c>
      <c r="P665" s="10">
        <v>45739</v>
      </c>
      <c r="Q665" t="str">
        <f t="shared" si="30"/>
        <v>excellent</v>
      </c>
      <c r="R665">
        <f t="shared" si="31"/>
        <v>3</v>
      </c>
      <c r="S665" s="6">
        <f t="shared" si="32"/>
        <v>7</v>
      </c>
    </row>
    <row r="666" spans="1:19" x14ac:dyDescent="0.3">
      <c r="A666" s="10">
        <v>45746</v>
      </c>
      <c r="B666" t="s">
        <v>677</v>
      </c>
      <c r="C666" t="s">
        <v>1126</v>
      </c>
      <c r="D666" t="s">
        <v>1133</v>
      </c>
      <c r="E666" t="s">
        <v>1148</v>
      </c>
      <c r="F666" t="s">
        <v>1149</v>
      </c>
      <c r="G666" t="s">
        <v>1152</v>
      </c>
      <c r="H666">
        <v>2</v>
      </c>
      <c r="I666">
        <v>37008</v>
      </c>
      <c r="J666" s="6">
        <v>20</v>
      </c>
      <c r="K666">
        <v>29606.400000000001</v>
      </c>
      <c r="L666">
        <v>59212.800000000003</v>
      </c>
      <c r="M666">
        <v>2000</v>
      </c>
      <c r="N666" t="s">
        <v>1160</v>
      </c>
      <c r="O666" t="s">
        <v>1162</v>
      </c>
      <c r="Q666" t="str">
        <f t="shared" si="30"/>
        <v>okay</v>
      </c>
      <c r="R666">
        <f t="shared" si="31"/>
        <v>2</v>
      </c>
      <c r="S666" s="6">
        <f t="shared" si="32"/>
        <v>0</v>
      </c>
    </row>
    <row r="667" spans="1:19" x14ac:dyDescent="0.3">
      <c r="A667" s="10">
        <v>45715</v>
      </c>
      <c r="B667" t="s">
        <v>678</v>
      </c>
      <c r="C667" t="s">
        <v>1124</v>
      </c>
      <c r="D667" t="s">
        <v>1135</v>
      </c>
      <c r="E667" t="s">
        <v>1144</v>
      </c>
      <c r="F667" t="s">
        <v>1151</v>
      </c>
      <c r="G667" t="s">
        <v>1157</v>
      </c>
      <c r="H667">
        <v>1</v>
      </c>
      <c r="I667">
        <v>42966</v>
      </c>
      <c r="J667" s="6">
        <v>10</v>
      </c>
      <c r="K667">
        <v>38669.4</v>
      </c>
      <c r="L667">
        <v>38669.4</v>
      </c>
      <c r="M667">
        <v>1500</v>
      </c>
      <c r="N667" t="s">
        <v>1160</v>
      </c>
      <c r="O667" t="s">
        <v>1163</v>
      </c>
      <c r="Q667" t="str">
        <f t="shared" si="30"/>
        <v>no comment</v>
      </c>
      <c r="R667">
        <f t="shared" si="31"/>
        <v>1</v>
      </c>
      <c r="S667" s="6">
        <f t="shared" si="32"/>
        <v>0</v>
      </c>
    </row>
    <row r="668" spans="1:19" x14ac:dyDescent="0.3">
      <c r="A668" s="10">
        <v>45759</v>
      </c>
      <c r="B668" t="s">
        <v>679</v>
      </c>
      <c r="C668" t="s">
        <v>1124</v>
      </c>
      <c r="D668" t="s">
        <v>1135</v>
      </c>
      <c r="E668" t="s">
        <v>1142</v>
      </c>
      <c r="F668" t="s">
        <v>1150</v>
      </c>
      <c r="G668" t="s">
        <v>1156</v>
      </c>
      <c r="H668">
        <v>3</v>
      </c>
      <c r="I668">
        <v>31775</v>
      </c>
      <c r="J668" s="6">
        <v>5</v>
      </c>
      <c r="K668">
        <v>30186.25</v>
      </c>
      <c r="L668">
        <v>90558.75</v>
      </c>
      <c r="M668">
        <v>1500</v>
      </c>
      <c r="N668" t="s">
        <v>1159</v>
      </c>
      <c r="O668" t="s">
        <v>1163</v>
      </c>
      <c r="Q668" t="str">
        <f t="shared" si="30"/>
        <v>no comment</v>
      </c>
      <c r="R668">
        <f t="shared" si="31"/>
        <v>1</v>
      </c>
      <c r="S668" s="6">
        <f t="shared" si="32"/>
        <v>0</v>
      </c>
    </row>
    <row r="669" spans="1:19" x14ac:dyDescent="0.3">
      <c r="A669" s="10">
        <v>45755</v>
      </c>
      <c r="B669" t="s">
        <v>680</v>
      </c>
      <c r="C669" t="s">
        <v>1125</v>
      </c>
      <c r="D669" t="s">
        <v>1133</v>
      </c>
      <c r="E669" t="s">
        <v>1139</v>
      </c>
      <c r="F669" t="s">
        <v>1150</v>
      </c>
      <c r="G669" t="s">
        <v>1154</v>
      </c>
      <c r="H669">
        <v>1</v>
      </c>
      <c r="I669">
        <v>11057</v>
      </c>
      <c r="J669" s="6">
        <v>0</v>
      </c>
      <c r="K669">
        <v>11057</v>
      </c>
      <c r="L669">
        <v>11057</v>
      </c>
      <c r="M669">
        <v>2000</v>
      </c>
      <c r="N669" t="s">
        <v>1160</v>
      </c>
      <c r="O669" t="s">
        <v>1164</v>
      </c>
      <c r="P669" s="10">
        <v>45765</v>
      </c>
      <c r="Q669" t="str">
        <f t="shared" si="30"/>
        <v>excellent</v>
      </c>
      <c r="R669">
        <f t="shared" si="31"/>
        <v>3</v>
      </c>
      <c r="S669" s="6">
        <f t="shared" si="32"/>
        <v>10</v>
      </c>
    </row>
    <row r="670" spans="1:19" x14ac:dyDescent="0.3">
      <c r="A670" s="10">
        <v>45674</v>
      </c>
      <c r="B670" t="s">
        <v>681</v>
      </c>
      <c r="C670" t="s">
        <v>1119</v>
      </c>
      <c r="D670" t="s">
        <v>1134</v>
      </c>
      <c r="E670" t="s">
        <v>1146</v>
      </c>
      <c r="F670" t="s">
        <v>1151</v>
      </c>
      <c r="G670" t="s">
        <v>1155</v>
      </c>
      <c r="H670">
        <v>5</v>
      </c>
      <c r="I670">
        <v>48742</v>
      </c>
      <c r="J670" s="6">
        <v>0</v>
      </c>
      <c r="K670">
        <v>48742</v>
      </c>
      <c r="L670">
        <v>243710</v>
      </c>
      <c r="M670">
        <v>1500</v>
      </c>
      <c r="N670" t="s">
        <v>1161</v>
      </c>
      <c r="O670" t="s">
        <v>1164</v>
      </c>
      <c r="P670" s="10">
        <v>45681</v>
      </c>
      <c r="Q670" t="str">
        <f t="shared" si="30"/>
        <v>excellent</v>
      </c>
      <c r="R670">
        <f t="shared" si="31"/>
        <v>3</v>
      </c>
      <c r="S670" s="6">
        <f t="shared" si="32"/>
        <v>7</v>
      </c>
    </row>
    <row r="671" spans="1:19" x14ac:dyDescent="0.3">
      <c r="A671" s="10">
        <v>45837</v>
      </c>
      <c r="B671" t="s">
        <v>682</v>
      </c>
      <c r="C671" t="s">
        <v>1118</v>
      </c>
      <c r="D671" t="s">
        <v>1134</v>
      </c>
      <c r="E671" t="s">
        <v>1148</v>
      </c>
      <c r="F671" t="s">
        <v>1149</v>
      </c>
      <c r="G671" t="s">
        <v>1152</v>
      </c>
      <c r="H671">
        <v>4</v>
      </c>
      <c r="I671">
        <v>16732</v>
      </c>
      <c r="J671" s="6">
        <v>5</v>
      </c>
      <c r="K671">
        <v>15895.4</v>
      </c>
      <c r="L671">
        <v>63581.599999999999</v>
      </c>
      <c r="M671">
        <v>1000</v>
      </c>
      <c r="N671" t="s">
        <v>1160</v>
      </c>
      <c r="O671" t="s">
        <v>1164</v>
      </c>
      <c r="P671" s="10">
        <v>45842</v>
      </c>
      <c r="Q671" t="str">
        <f t="shared" si="30"/>
        <v>excellent</v>
      </c>
      <c r="R671">
        <f t="shared" si="31"/>
        <v>3</v>
      </c>
      <c r="S671" s="6">
        <f t="shared" si="32"/>
        <v>5</v>
      </c>
    </row>
    <row r="672" spans="1:19" x14ac:dyDescent="0.3">
      <c r="A672" s="10">
        <v>45784</v>
      </c>
      <c r="B672" t="s">
        <v>683</v>
      </c>
      <c r="C672" t="s">
        <v>1126</v>
      </c>
      <c r="D672" t="s">
        <v>1133</v>
      </c>
      <c r="E672" t="s">
        <v>1141</v>
      </c>
      <c r="F672" t="s">
        <v>1151</v>
      </c>
      <c r="G672" t="s">
        <v>1155</v>
      </c>
      <c r="H672">
        <v>1</v>
      </c>
      <c r="I672">
        <v>77338</v>
      </c>
      <c r="J672" s="6">
        <v>5</v>
      </c>
      <c r="K672">
        <v>73471.100000000006</v>
      </c>
      <c r="L672">
        <v>73471.100000000006</v>
      </c>
      <c r="M672">
        <v>1500</v>
      </c>
      <c r="N672" t="s">
        <v>1160</v>
      </c>
      <c r="O672" t="s">
        <v>1162</v>
      </c>
      <c r="Q672" t="str">
        <f t="shared" si="30"/>
        <v>okay</v>
      </c>
      <c r="R672">
        <f t="shared" si="31"/>
        <v>2</v>
      </c>
      <c r="S672" s="6">
        <f t="shared" si="32"/>
        <v>0</v>
      </c>
    </row>
    <row r="673" spans="1:19" x14ac:dyDescent="0.3">
      <c r="A673" s="10">
        <v>45778</v>
      </c>
      <c r="B673" t="s">
        <v>684</v>
      </c>
      <c r="C673" t="s">
        <v>1125</v>
      </c>
      <c r="D673" t="s">
        <v>1133</v>
      </c>
      <c r="E673" t="s">
        <v>1145</v>
      </c>
      <c r="F673" t="s">
        <v>1149</v>
      </c>
      <c r="G673" t="s">
        <v>1153</v>
      </c>
      <c r="H673">
        <v>2</v>
      </c>
      <c r="I673">
        <v>48821</v>
      </c>
      <c r="J673" s="6">
        <v>20</v>
      </c>
      <c r="K673">
        <v>39056.800000000003</v>
      </c>
      <c r="L673">
        <v>78113.600000000006</v>
      </c>
      <c r="M673">
        <v>2000</v>
      </c>
      <c r="N673" t="s">
        <v>1159</v>
      </c>
      <c r="O673" t="s">
        <v>1163</v>
      </c>
      <c r="Q673" t="str">
        <f t="shared" si="30"/>
        <v>no comment</v>
      </c>
      <c r="R673">
        <f t="shared" si="31"/>
        <v>1</v>
      </c>
      <c r="S673" s="6">
        <f t="shared" si="32"/>
        <v>0</v>
      </c>
    </row>
    <row r="674" spans="1:19" x14ac:dyDescent="0.3">
      <c r="A674" s="10">
        <v>45712</v>
      </c>
      <c r="B674" t="s">
        <v>685</v>
      </c>
      <c r="C674" t="s">
        <v>1117</v>
      </c>
      <c r="D674" t="s">
        <v>1133</v>
      </c>
      <c r="E674" t="s">
        <v>1137</v>
      </c>
      <c r="F674" t="s">
        <v>1149</v>
      </c>
      <c r="G674" t="s">
        <v>1152</v>
      </c>
      <c r="H674">
        <v>3</v>
      </c>
      <c r="I674">
        <v>18071</v>
      </c>
      <c r="J674" s="6">
        <v>0</v>
      </c>
      <c r="K674">
        <v>18071</v>
      </c>
      <c r="L674">
        <v>54213</v>
      </c>
      <c r="M674">
        <v>1500</v>
      </c>
      <c r="N674" t="s">
        <v>1161</v>
      </c>
      <c r="O674" t="s">
        <v>1162</v>
      </c>
      <c r="Q674" t="str">
        <f t="shared" si="30"/>
        <v>okay</v>
      </c>
      <c r="R674">
        <f t="shared" si="31"/>
        <v>2</v>
      </c>
      <c r="S674" s="6">
        <f t="shared" si="32"/>
        <v>0</v>
      </c>
    </row>
    <row r="675" spans="1:19" x14ac:dyDescent="0.3">
      <c r="A675" s="10">
        <v>45701</v>
      </c>
      <c r="B675" t="s">
        <v>686</v>
      </c>
      <c r="C675" t="s">
        <v>1118</v>
      </c>
      <c r="D675" t="s">
        <v>1134</v>
      </c>
      <c r="E675" t="s">
        <v>1148</v>
      </c>
      <c r="F675" t="s">
        <v>1149</v>
      </c>
      <c r="G675" t="s">
        <v>1152</v>
      </c>
      <c r="H675">
        <v>4</v>
      </c>
      <c r="I675">
        <v>44498</v>
      </c>
      <c r="J675" s="6">
        <v>20</v>
      </c>
      <c r="K675">
        <v>35598.400000000001</v>
      </c>
      <c r="L675">
        <v>142393.60000000001</v>
      </c>
      <c r="M675">
        <v>1500</v>
      </c>
      <c r="N675" t="s">
        <v>1161</v>
      </c>
      <c r="O675" t="s">
        <v>1163</v>
      </c>
      <c r="Q675" t="str">
        <f t="shared" si="30"/>
        <v>no comment</v>
      </c>
      <c r="R675">
        <f t="shared" si="31"/>
        <v>1</v>
      </c>
      <c r="S675" s="6">
        <f t="shared" si="32"/>
        <v>0</v>
      </c>
    </row>
    <row r="676" spans="1:19" x14ac:dyDescent="0.3">
      <c r="A676" s="10">
        <v>45809</v>
      </c>
      <c r="B676" t="s">
        <v>260</v>
      </c>
      <c r="C676" t="s">
        <v>1121</v>
      </c>
      <c r="D676" t="s">
        <v>1136</v>
      </c>
      <c r="E676" t="s">
        <v>1148</v>
      </c>
      <c r="F676" t="s">
        <v>1149</v>
      </c>
      <c r="G676" t="s">
        <v>1152</v>
      </c>
      <c r="H676">
        <v>5</v>
      </c>
      <c r="I676">
        <v>37050</v>
      </c>
      <c r="J676" s="6">
        <v>20</v>
      </c>
      <c r="K676">
        <v>29640</v>
      </c>
      <c r="L676">
        <v>148200</v>
      </c>
      <c r="M676">
        <v>1500</v>
      </c>
      <c r="N676" t="s">
        <v>1161</v>
      </c>
      <c r="O676" t="s">
        <v>1162</v>
      </c>
      <c r="Q676" t="str">
        <f t="shared" si="30"/>
        <v>okay</v>
      </c>
      <c r="R676">
        <f t="shared" si="31"/>
        <v>2</v>
      </c>
      <c r="S676" s="6">
        <f t="shared" si="32"/>
        <v>0</v>
      </c>
    </row>
    <row r="677" spans="1:19" x14ac:dyDescent="0.3">
      <c r="A677" s="10">
        <v>45793</v>
      </c>
      <c r="B677" t="s">
        <v>687</v>
      </c>
      <c r="C677" t="s">
        <v>1120</v>
      </c>
      <c r="D677" t="s">
        <v>1135</v>
      </c>
      <c r="E677" t="s">
        <v>1139</v>
      </c>
      <c r="F677" t="s">
        <v>1150</v>
      </c>
      <c r="G677" t="s">
        <v>1154</v>
      </c>
      <c r="H677">
        <v>1</v>
      </c>
      <c r="I677">
        <v>20973</v>
      </c>
      <c r="J677" s="6">
        <v>10</v>
      </c>
      <c r="K677">
        <v>18875.7</v>
      </c>
      <c r="L677">
        <v>18875.7</v>
      </c>
      <c r="M677">
        <v>2000</v>
      </c>
      <c r="N677" t="s">
        <v>1159</v>
      </c>
      <c r="O677" t="s">
        <v>1163</v>
      </c>
      <c r="Q677" t="str">
        <f t="shared" si="30"/>
        <v>no comment</v>
      </c>
      <c r="R677">
        <f t="shared" si="31"/>
        <v>1</v>
      </c>
      <c r="S677" s="6">
        <f t="shared" si="32"/>
        <v>0</v>
      </c>
    </row>
    <row r="678" spans="1:19" x14ac:dyDescent="0.3">
      <c r="A678" s="10">
        <v>45656</v>
      </c>
      <c r="B678" t="s">
        <v>688</v>
      </c>
      <c r="C678" t="s">
        <v>1125</v>
      </c>
      <c r="D678" t="s">
        <v>1133</v>
      </c>
      <c r="E678" t="s">
        <v>1147</v>
      </c>
      <c r="F678" t="s">
        <v>1150</v>
      </c>
      <c r="G678" t="s">
        <v>1156</v>
      </c>
      <c r="H678">
        <v>1</v>
      </c>
      <c r="I678">
        <v>55237</v>
      </c>
      <c r="J678" s="6">
        <v>15</v>
      </c>
      <c r="K678">
        <v>46951.45</v>
      </c>
      <c r="L678">
        <v>46951.45</v>
      </c>
      <c r="M678">
        <v>1000</v>
      </c>
      <c r="N678" t="s">
        <v>1161</v>
      </c>
      <c r="O678" t="s">
        <v>1163</v>
      </c>
      <c r="Q678" t="str">
        <f t="shared" si="30"/>
        <v>no comment</v>
      </c>
      <c r="R678">
        <f t="shared" si="31"/>
        <v>1</v>
      </c>
      <c r="S678" s="6">
        <f t="shared" si="32"/>
        <v>0</v>
      </c>
    </row>
    <row r="679" spans="1:19" x14ac:dyDescent="0.3">
      <c r="A679" s="10">
        <v>45706</v>
      </c>
      <c r="B679" t="s">
        <v>689</v>
      </c>
      <c r="C679" t="s">
        <v>1121</v>
      </c>
      <c r="D679" t="s">
        <v>1136</v>
      </c>
      <c r="E679" t="s">
        <v>1138</v>
      </c>
      <c r="F679" t="s">
        <v>1149</v>
      </c>
      <c r="G679" t="s">
        <v>1153</v>
      </c>
      <c r="H679">
        <v>4</v>
      </c>
      <c r="I679">
        <v>78097</v>
      </c>
      <c r="J679" s="6">
        <v>20</v>
      </c>
      <c r="K679">
        <v>62477.599999999999</v>
      </c>
      <c r="L679">
        <v>249910.39999999999</v>
      </c>
      <c r="M679">
        <v>1500</v>
      </c>
      <c r="N679" t="s">
        <v>1159</v>
      </c>
      <c r="O679" t="s">
        <v>1164</v>
      </c>
      <c r="P679" s="10">
        <v>45713</v>
      </c>
      <c r="Q679" t="str">
        <f t="shared" si="30"/>
        <v>excellent</v>
      </c>
      <c r="R679">
        <f t="shared" si="31"/>
        <v>3</v>
      </c>
      <c r="S679" s="6">
        <f t="shared" si="32"/>
        <v>7</v>
      </c>
    </row>
    <row r="680" spans="1:19" x14ac:dyDescent="0.3">
      <c r="A680" s="10">
        <v>45691</v>
      </c>
      <c r="B680" t="s">
        <v>690</v>
      </c>
      <c r="C680" t="s">
        <v>1122</v>
      </c>
      <c r="D680" t="s">
        <v>1136</v>
      </c>
      <c r="E680" t="s">
        <v>1147</v>
      </c>
      <c r="F680" t="s">
        <v>1150</v>
      </c>
      <c r="G680" t="s">
        <v>1156</v>
      </c>
      <c r="H680">
        <v>2</v>
      </c>
      <c r="I680">
        <v>24037</v>
      </c>
      <c r="J680" s="6">
        <v>20</v>
      </c>
      <c r="K680">
        <v>19229.599999999999</v>
      </c>
      <c r="L680">
        <v>38459.199999999997</v>
      </c>
      <c r="M680">
        <v>1500</v>
      </c>
      <c r="N680" t="s">
        <v>1160</v>
      </c>
      <c r="O680" t="s">
        <v>1164</v>
      </c>
      <c r="P680" s="10">
        <v>45696</v>
      </c>
      <c r="Q680" t="str">
        <f t="shared" si="30"/>
        <v>excellent</v>
      </c>
      <c r="R680">
        <f t="shared" si="31"/>
        <v>3</v>
      </c>
      <c r="S680" s="6">
        <f t="shared" si="32"/>
        <v>5</v>
      </c>
    </row>
    <row r="681" spans="1:19" x14ac:dyDescent="0.3">
      <c r="A681" s="10">
        <v>45718</v>
      </c>
      <c r="B681" t="s">
        <v>691</v>
      </c>
      <c r="C681" t="s">
        <v>1124</v>
      </c>
      <c r="D681" t="s">
        <v>1135</v>
      </c>
      <c r="E681" t="s">
        <v>1140</v>
      </c>
      <c r="F681" t="s">
        <v>1150</v>
      </c>
      <c r="G681" t="s">
        <v>1154</v>
      </c>
      <c r="H681">
        <v>1</v>
      </c>
      <c r="I681">
        <v>69854</v>
      </c>
      <c r="J681" s="6">
        <v>0</v>
      </c>
      <c r="K681">
        <v>69854</v>
      </c>
      <c r="L681">
        <v>69854</v>
      </c>
      <c r="M681">
        <v>2000</v>
      </c>
      <c r="N681" t="s">
        <v>1161</v>
      </c>
      <c r="O681" t="s">
        <v>1162</v>
      </c>
      <c r="Q681" t="str">
        <f t="shared" si="30"/>
        <v>okay</v>
      </c>
      <c r="R681">
        <f t="shared" si="31"/>
        <v>2</v>
      </c>
      <c r="S681" s="6">
        <f t="shared" si="32"/>
        <v>0</v>
      </c>
    </row>
    <row r="682" spans="1:19" x14ac:dyDescent="0.3">
      <c r="A682" s="10">
        <v>45810</v>
      </c>
      <c r="B682" t="s">
        <v>692</v>
      </c>
      <c r="C682" t="s">
        <v>1118</v>
      </c>
      <c r="D682" t="s">
        <v>1134</v>
      </c>
      <c r="E682" t="s">
        <v>1138</v>
      </c>
      <c r="F682" t="s">
        <v>1149</v>
      </c>
      <c r="G682" t="s">
        <v>1153</v>
      </c>
      <c r="H682">
        <v>5</v>
      </c>
      <c r="I682">
        <v>53730</v>
      </c>
      <c r="J682" s="6">
        <v>5</v>
      </c>
      <c r="K682">
        <v>51043.5</v>
      </c>
      <c r="L682">
        <v>255217.5</v>
      </c>
      <c r="M682">
        <v>2000</v>
      </c>
      <c r="N682" t="s">
        <v>1159</v>
      </c>
      <c r="O682" t="s">
        <v>1163</v>
      </c>
      <c r="Q682" t="str">
        <f t="shared" si="30"/>
        <v>no comment</v>
      </c>
      <c r="R682">
        <f t="shared" si="31"/>
        <v>1</v>
      </c>
      <c r="S682" s="6">
        <f t="shared" si="32"/>
        <v>0</v>
      </c>
    </row>
    <row r="683" spans="1:19" x14ac:dyDescent="0.3">
      <c r="A683" s="10">
        <v>45771</v>
      </c>
      <c r="B683" t="s">
        <v>693</v>
      </c>
      <c r="C683" t="s">
        <v>1120</v>
      </c>
      <c r="D683" t="s">
        <v>1135</v>
      </c>
      <c r="E683" t="s">
        <v>1142</v>
      </c>
      <c r="F683" t="s">
        <v>1150</v>
      </c>
      <c r="G683" t="s">
        <v>1156</v>
      </c>
      <c r="H683">
        <v>1</v>
      </c>
      <c r="I683">
        <v>52012</v>
      </c>
      <c r="J683" s="6">
        <v>5</v>
      </c>
      <c r="K683">
        <v>49411.4</v>
      </c>
      <c r="L683">
        <v>49411.4</v>
      </c>
      <c r="M683">
        <v>2000</v>
      </c>
      <c r="N683" t="s">
        <v>1161</v>
      </c>
      <c r="O683" t="s">
        <v>1163</v>
      </c>
      <c r="Q683" t="str">
        <f t="shared" si="30"/>
        <v>no comment</v>
      </c>
      <c r="R683">
        <f t="shared" si="31"/>
        <v>1</v>
      </c>
      <c r="S683" s="6">
        <f t="shared" si="32"/>
        <v>0</v>
      </c>
    </row>
    <row r="684" spans="1:19" x14ac:dyDescent="0.3">
      <c r="A684" s="10">
        <v>45811</v>
      </c>
      <c r="B684" t="s">
        <v>694</v>
      </c>
      <c r="C684" t="s">
        <v>1124</v>
      </c>
      <c r="D684" t="s">
        <v>1135</v>
      </c>
      <c r="E684" t="s">
        <v>1138</v>
      </c>
      <c r="F684" t="s">
        <v>1149</v>
      </c>
      <c r="G684" t="s">
        <v>1153</v>
      </c>
      <c r="H684">
        <v>3</v>
      </c>
      <c r="I684">
        <v>8722</v>
      </c>
      <c r="J684" s="6">
        <v>20</v>
      </c>
      <c r="K684">
        <v>6977.6</v>
      </c>
      <c r="L684">
        <v>20932.8</v>
      </c>
      <c r="M684">
        <v>1500</v>
      </c>
      <c r="N684" t="s">
        <v>1159</v>
      </c>
      <c r="O684" t="s">
        <v>1164</v>
      </c>
      <c r="P684" s="10">
        <v>45816</v>
      </c>
      <c r="Q684" t="str">
        <f t="shared" si="30"/>
        <v>excellent</v>
      </c>
      <c r="R684">
        <f t="shared" si="31"/>
        <v>3</v>
      </c>
      <c r="S684" s="6">
        <f t="shared" si="32"/>
        <v>5</v>
      </c>
    </row>
    <row r="685" spans="1:19" x14ac:dyDescent="0.3">
      <c r="A685" s="10">
        <v>45742</v>
      </c>
      <c r="B685" t="s">
        <v>695</v>
      </c>
      <c r="C685" t="s">
        <v>1125</v>
      </c>
      <c r="D685" t="s">
        <v>1133</v>
      </c>
      <c r="E685" t="s">
        <v>1143</v>
      </c>
      <c r="F685" t="s">
        <v>1151</v>
      </c>
      <c r="G685" t="s">
        <v>1157</v>
      </c>
      <c r="H685">
        <v>1</v>
      </c>
      <c r="I685">
        <v>75563</v>
      </c>
      <c r="J685" s="6">
        <v>20</v>
      </c>
      <c r="K685">
        <v>60450.400000000001</v>
      </c>
      <c r="L685">
        <v>60450.400000000001</v>
      </c>
      <c r="M685">
        <v>1000</v>
      </c>
      <c r="N685" t="s">
        <v>1161</v>
      </c>
      <c r="O685" t="s">
        <v>1164</v>
      </c>
      <c r="P685" s="10">
        <v>45748</v>
      </c>
      <c r="Q685" t="str">
        <f t="shared" si="30"/>
        <v>excellent</v>
      </c>
      <c r="R685">
        <f t="shared" si="31"/>
        <v>3</v>
      </c>
      <c r="S685" s="6">
        <f t="shared" si="32"/>
        <v>6</v>
      </c>
    </row>
    <row r="686" spans="1:19" x14ac:dyDescent="0.3">
      <c r="A686" s="10">
        <v>45728</v>
      </c>
      <c r="B686" t="s">
        <v>696</v>
      </c>
      <c r="C686" t="s">
        <v>1124</v>
      </c>
      <c r="D686" t="s">
        <v>1135</v>
      </c>
      <c r="E686" t="s">
        <v>1140</v>
      </c>
      <c r="F686" t="s">
        <v>1150</v>
      </c>
      <c r="G686" t="s">
        <v>1154</v>
      </c>
      <c r="H686">
        <v>5</v>
      </c>
      <c r="I686">
        <v>11959</v>
      </c>
      <c r="J686" s="6">
        <v>15</v>
      </c>
      <c r="K686">
        <v>10165.15</v>
      </c>
      <c r="L686">
        <v>50825.75</v>
      </c>
      <c r="M686">
        <v>1500</v>
      </c>
      <c r="N686" t="s">
        <v>1161</v>
      </c>
      <c r="O686" t="s">
        <v>1164</v>
      </c>
      <c r="P686" s="10">
        <v>45739</v>
      </c>
      <c r="Q686" t="str">
        <f t="shared" si="30"/>
        <v>excellent</v>
      </c>
      <c r="R686">
        <f t="shared" si="31"/>
        <v>3</v>
      </c>
      <c r="S686" s="6">
        <f t="shared" si="32"/>
        <v>11</v>
      </c>
    </row>
    <row r="687" spans="1:19" x14ac:dyDescent="0.3">
      <c r="A687" s="10">
        <v>45792</v>
      </c>
      <c r="B687" t="s">
        <v>697</v>
      </c>
      <c r="C687" t="s">
        <v>1124</v>
      </c>
      <c r="D687" t="s">
        <v>1135</v>
      </c>
      <c r="E687" t="s">
        <v>1137</v>
      </c>
      <c r="F687" t="s">
        <v>1149</v>
      </c>
      <c r="G687" t="s">
        <v>1152</v>
      </c>
      <c r="H687">
        <v>5</v>
      </c>
      <c r="I687">
        <v>8384</v>
      </c>
      <c r="J687" s="6">
        <v>15</v>
      </c>
      <c r="K687">
        <v>7126.4</v>
      </c>
      <c r="L687">
        <v>35632</v>
      </c>
      <c r="M687">
        <v>1000</v>
      </c>
      <c r="N687" t="s">
        <v>1159</v>
      </c>
      <c r="O687" t="s">
        <v>1162</v>
      </c>
      <c r="Q687" t="str">
        <f t="shared" si="30"/>
        <v>okay</v>
      </c>
      <c r="R687">
        <f t="shared" si="31"/>
        <v>2</v>
      </c>
      <c r="S687" s="6">
        <f t="shared" si="32"/>
        <v>0</v>
      </c>
    </row>
    <row r="688" spans="1:19" x14ac:dyDescent="0.3">
      <c r="A688" s="10">
        <v>45832</v>
      </c>
      <c r="B688" t="s">
        <v>698</v>
      </c>
      <c r="C688" t="s">
        <v>1120</v>
      </c>
      <c r="D688" t="s">
        <v>1135</v>
      </c>
      <c r="E688" t="s">
        <v>1141</v>
      </c>
      <c r="F688" t="s">
        <v>1151</v>
      </c>
      <c r="G688" t="s">
        <v>1155</v>
      </c>
      <c r="H688">
        <v>1</v>
      </c>
      <c r="I688">
        <v>55606</v>
      </c>
      <c r="J688" s="6">
        <v>10</v>
      </c>
      <c r="K688">
        <v>50045.4</v>
      </c>
      <c r="L688">
        <v>50045.4</v>
      </c>
      <c r="M688">
        <v>2000</v>
      </c>
      <c r="N688" t="s">
        <v>1161</v>
      </c>
      <c r="O688" t="s">
        <v>1164</v>
      </c>
      <c r="P688" s="10">
        <v>45838</v>
      </c>
      <c r="Q688" t="str">
        <f t="shared" si="30"/>
        <v>excellent</v>
      </c>
      <c r="R688">
        <f t="shared" si="31"/>
        <v>3</v>
      </c>
      <c r="S688" s="6">
        <f t="shared" si="32"/>
        <v>6</v>
      </c>
    </row>
    <row r="689" spans="1:19" x14ac:dyDescent="0.3">
      <c r="A689" s="10">
        <v>45777</v>
      </c>
      <c r="B689" t="s">
        <v>699</v>
      </c>
      <c r="C689" t="s">
        <v>1124</v>
      </c>
      <c r="D689" t="s">
        <v>1135</v>
      </c>
      <c r="E689" t="s">
        <v>1144</v>
      </c>
      <c r="F689" t="s">
        <v>1151</v>
      </c>
      <c r="G689" t="s">
        <v>1157</v>
      </c>
      <c r="H689">
        <v>1</v>
      </c>
      <c r="I689">
        <v>75870</v>
      </c>
      <c r="J689" s="6">
        <v>15</v>
      </c>
      <c r="K689">
        <v>64489.5</v>
      </c>
      <c r="L689">
        <v>64489.5</v>
      </c>
      <c r="M689">
        <v>1500</v>
      </c>
      <c r="N689" t="s">
        <v>1159</v>
      </c>
      <c r="O689" t="s">
        <v>1163</v>
      </c>
      <c r="Q689" t="str">
        <f t="shared" si="30"/>
        <v>no comment</v>
      </c>
      <c r="R689">
        <f t="shared" si="31"/>
        <v>1</v>
      </c>
      <c r="S689" s="6">
        <f t="shared" si="32"/>
        <v>0</v>
      </c>
    </row>
    <row r="690" spans="1:19" x14ac:dyDescent="0.3">
      <c r="A690" s="10">
        <v>45773</v>
      </c>
      <c r="B690" t="s">
        <v>700</v>
      </c>
      <c r="C690" t="s">
        <v>1124</v>
      </c>
      <c r="D690" t="s">
        <v>1135</v>
      </c>
      <c r="E690" t="s">
        <v>1147</v>
      </c>
      <c r="F690" t="s">
        <v>1150</v>
      </c>
      <c r="G690" t="s">
        <v>1156</v>
      </c>
      <c r="H690">
        <v>5</v>
      </c>
      <c r="I690">
        <v>12947</v>
      </c>
      <c r="J690" s="6">
        <v>15</v>
      </c>
      <c r="K690">
        <v>11004.95</v>
      </c>
      <c r="L690">
        <v>55024.75</v>
      </c>
      <c r="M690">
        <v>1500</v>
      </c>
      <c r="N690" t="s">
        <v>1159</v>
      </c>
      <c r="O690" t="s">
        <v>1162</v>
      </c>
      <c r="Q690" t="str">
        <f t="shared" si="30"/>
        <v>okay</v>
      </c>
      <c r="R690">
        <f t="shared" si="31"/>
        <v>2</v>
      </c>
      <c r="S690" s="6">
        <f t="shared" si="32"/>
        <v>0</v>
      </c>
    </row>
    <row r="691" spans="1:19" x14ac:dyDescent="0.3">
      <c r="A691" s="10">
        <v>45768</v>
      </c>
      <c r="B691" t="s">
        <v>701</v>
      </c>
      <c r="C691" t="s">
        <v>1130</v>
      </c>
      <c r="D691" t="s">
        <v>1136</v>
      </c>
      <c r="E691" t="s">
        <v>1140</v>
      </c>
      <c r="F691" t="s">
        <v>1150</v>
      </c>
      <c r="G691" t="s">
        <v>1154</v>
      </c>
      <c r="H691">
        <v>4</v>
      </c>
      <c r="I691">
        <v>66667</v>
      </c>
      <c r="J691" s="6">
        <v>20</v>
      </c>
      <c r="K691">
        <v>53333.599999999999</v>
      </c>
      <c r="L691">
        <v>213334.39999999999</v>
      </c>
      <c r="M691">
        <v>1500</v>
      </c>
      <c r="N691" t="s">
        <v>1161</v>
      </c>
      <c r="O691" t="s">
        <v>1162</v>
      </c>
      <c r="Q691" t="str">
        <f t="shared" si="30"/>
        <v>okay</v>
      </c>
      <c r="R691">
        <f t="shared" si="31"/>
        <v>2</v>
      </c>
      <c r="S691" s="6">
        <f t="shared" si="32"/>
        <v>0</v>
      </c>
    </row>
    <row r="692" spans="1:19" x14ac:dyDescent="0.3">
      <c r="A692" s="10">
        <v>45693</v>
      </c>
      <c r="B692" t="s">
        <v>702</v>
      </c>
      <c r="C692" t="s">
        <v>1132</v>
      </c>
      <c r="D692" t="s">
        <v>1134</v>
      </c>
      <c r="E692" t="s">
        <v>1139</v>
      </c>
      <c r="F692" t="s">
        <v>1150</v>
      </c>
      <c r="G692" t="s">
        <v>1154</v>
      </c>
      <c r="H692">
        <v>2</v>
      </c>
      <c r="I692">
        <v>33037</v>
      </c>
      <c r="J692" s="6">
        <v>0</v>
      </c>
      <c r="K692">
        <v>33037</v>
      </c>
      <c r="L692">
        <v>66074</v>
      </c>
      <c r="M692">
        <v>1500</v>
      </c>
      <c r="N692" t="s">
        <v>1161</v>
      </c>
      <c r="O692" t="s">
        <v>1164</v>
      </c>
      <c r="P692" s="10">
        <v>45696</v>
      </c>
      <c r="Q692" t="str">
        <f t="shared" si="30"/>
        <v>excellent</v>
      </c>
      <c r="R692">
        <f t="shared" si="31"/>
        <v>3</v>
      </c>
      <c r="S692" s="6">
        <f t="shared" si="32"/>
        <v>3</v>
      </c>
    </row>
    <row r="693" spans="1:19" x14ac:dyDescent="0.3">
      <c r="A693" s="10">
        <v>45832</v>
      </c>
      <c r="B693" t="s">
        <v>703</v>
      </c>
      <c r="C693" t="s">
        <v>1129</v>
      </c>
      <c r="D693" t="s">
        <v>1133</v>
      </c>
      <c r="E693" t="s">
        <v>1143</v>
      </c>
      <c r="F693" t="s">
        <v>1151</v>
      </c>
      <c r="G693" t="s">
        <v>1157</v>
      </c>
      <c r="H693">
        <v>5</v>
      </c>
      <c r="I693">
        <v>57713</v>
      </c>
      <c r="J693" s="6">
        <v>10</v>
      </c>
      <c r="K693">
        <v>51941.7</v>
      </c>
      <c r="L693">
        <v>259708.5</v>
      </c>
      <c r="M693">
        <v>1000</v>
      </c>
      <c r="N693" t="s">
        <v>1160</v>
      </c>
      <c r="O693" t="s">
        <v>1162</v>
      </c>
      <c r="Q693" t="str">
        <f t="shared" si="30"/>
        <v>okay</v>
      </c>
      <c r="R693">
        <f t="shared" si="31"/>
        <v>2</v>
      </c>
      <c r="S693" s="6">
        <f t="shared" si="32"/>
        <v>0</v>
      </c>
    </row>
    <row r="694" spans="1:19" x14ac:dyDescent="0.3">
      <c r="A694" s="10">
        <v>45778</v>
      </c>
      <c r="B694" t="s">
        <v>704</v>
      </c>
      <c r="C694" t="s">
        <v>1125</v>
      </c>
      <c r="D694" t="s">
        <v>1133</v>
      </c>
      <c r="E694" t="s">
        <v>1139</v>
      </c>
      <c r="F694" t="s">
        <v>1150</v>
      </c>
      <c r="G694" t="s">
        <v>1154</v>
      </c>
      <c r="H694">
        <v>3</v>
      </c>
      <c r="I694">
        <v>24175</v>
      </c>
      <c r="J694" s="6">
        <v>5</v>
      </c>
      <c r="K694">
        <v>22966.25</v>
      </c>
      <c r="L694">
        <v>68898.75</v>
      </c>
      <c r="M694">
        <v>1500</v>
      </c>
      <c r="N694" t="s">
        <v>1159</v>
      </c>
      <c r="O694" t="s">
        <v>1162</v>
      </c>
      <c r="Q694" t="str">
        <f t="shared" si="30"/>
        <v>okay</v>
      </c>
      <c r="R694">
        <f t="shared" si="31"/>
        <v>2</v>
      </c>
      <c r="S694" s="6">
        <f t="shared" si="32"/>
        <v>0</v>
      </c>
    </row>
    <row r="695" spans="1:19" x14ac:dyDescent="0.3">
      <c r="A695" s="10">
        <v>45733</v>
      </c>
      <c r="B695" t="s">
        <v>705</v>
      </c>
      <c r="C695" t="s">
        <v>1128</v>
      </c>
      <c r="D695" t="s">
        <v>1135</v>
      </c>
      <c r="E695" t="s">
        <v>1148</v>
      </c>
      <c r="F695" t="s">
        <v>1149</v>
      </c>
      <c r="G695" t="s">
        <v>1152</v>
      </c>
      <c r="H695">
        <v>2</v>
      </c>
      <c r="I695">
        <v>58053</v>
      </c>
      <c r="J695" s="6">
        <v>20</v>
      </c>
      <c r="K695">
        <v>46442.400000000001</v>
      </c>
      <c r="L695">
        <v>92884.800000000003</v>
      </c>
      <c r="M695">
        <v>1000</v>
      </c>
      <c r="N695" t="s">
        <v>1161</v>
      </c>
      <c r="O695" t="s">
        <v>1164</v>
      </c>
      <c r="P695" s="10">
        <v>45742</v>
      </c>
      <c r="Q695" t="str">
        <f t="shared" si="30"/>
        <v>excellent</v>
      </c>
      <c r="R695">
        <f t="shared" si="31"/>
        <v>3</v>
      </c>
      <c r="S695" s="6">
        <f t="shared" si="32"/>
        <v>9</v>
      </c>
    </row>
    <row r="696" spans="1:19" x14ac:dyDescent="0.3">
      <c r="A696" s="10">
        <v>45777</v>
      </c>
      <c r="B696" t="s">
        <v>706</v>
      </c>
      <c r="C696" t="s">
        <v>1132</v>
      </c>
      <c r="D696" t="s">
        <v>1134</v>
      </c>
      <c r="E696" t="s">
        <v>1144</v>
      </c>
      <c r="F696" t="s">
        <v>1151</v>
      </c>
      <c r="G696" t="s">
        <v>1157</v>
      </c>
      <c r="H696">
        <v>3</v>
      </c>
      <c r="I696">
        <v>34618</v>
      </c>
      <c r="J696" s="6">
        <v>0</v>
      </c>
      <c r="K696">
        <v>34618</v>
      </c>
      <c r="L696">
        <v>103854</v>
      </c>
      <c r="M696">
        <v>2000</v>
      </c>
      <c r="N696" t="s">
        <v>1160</v>
      </c>
      <c r="O696" t="s">
        <v>1164</v>
      </c>
      <c r="P696" s="10">
        <v>45781</v>
      </c>
      <c r="Q696" t="str">
        <f t="shared" si="30"/>
        <v>excellent</v>
      </c>
      <c r="R696">
        <f t="shared" si="31"/>
        <v>3</v>
      </c>
      <c r="S696" s="6">
        <f t="shared" si="32"/>
        <v>4</v>
      </c>
    </row>
    <row r="697" spans="1:19" x14ac:dyDescent="0.3">
      <c r="A697" s="10">
        <v>45811</v>
      </c>
      <c r="B697" t="s">
        <v>707</v>
      </c>
      <c r="C697" t="s">
        <v>1129</v>
      </c>
      <c r="D697" t="s">
        <v>1133</v>
      </c>
      <c r="E697" t="s">
        <v>1148</v>
      </c>
      <c r="F697" t="s">
        <v>1149</v>
      </c>
      <c r="G697" t="s">
        <v>1152</v>
      </c>
      <c r="H697">
        <v>4</v>
      </c>
      <c r="I697">
        <v>77442</v>
      </c>
      <c r="J697" s="6">
        <v>0</v>
      </c>
      <c r="K697">
        <v>77442</v>
      </c>
      <c r="L697">
        <v>309768</v>
      </c>
      <c r="M697">
        <v>1500</v>
      </c>
      <c r="N697" t="s">
        <v>1159</v>
      </c>
      <c r="O697" t="s">
        <v>1164</v>
      </c>
      <c r="P697" s="10">
        <v>45822</v>
      </c>
      <c r="Q697" t="str">
        <f t="shared" si="30"/>
        <v>excellent</v>
      </c>
      <c r="R697">
        <f t="shared" si="31"/>
        <v>3</v>
      </c>
      <c r="S697" s="6">
        <f t="shared" si="32"/>
        <v>11</v>
      </c>
    </row>
    <row r="698" spans="1:19" x14ac:dyDescent="0.3">
      <c r="A698" s="10">
        <v>45732</v>
      </c>
      <c r="B698" t="s">
        <v>708</v>
      </c>
      <c r="C698" t="s">
        <v>1128</v>
      </c>
      <c r="D698" t="s">
        <v>1135</v>
      </c>
      <c r="E698" t="s">
        <v>1142</v>
      </c>
      <c r="F698" t="s">
        <v>1150</v>
      </c>
      <c r="G698" t="s">
        <v>1156</v>
      </c>
      <c r="H698">
        <v>5</v>
      </c>
      <c r="I698">
        <v>57758</v>
      </c>
      <c r="J698" s="6">
        <v>10</v>
      </c>
      <c r="K698">
        <v>51982.2</v>
      </c>
      <c r="L698">
        <v>259911</v>
      </c>
      <c r="M698">
        <v>1000</v>
      </c>
      <c r="N698" t="s">
        <v>1159</v>
      </c>
      <c r="O698" t="s">
        <v>1164</v>
      </c>
      <c r="P698" s="10">
        <v>45737</v>
      </c>
      <c r="Q698" t="str">
        <f t="shared" si="30"/>
        <v>excellent</v>
      </c>
      <c r="R698">
        <f t="shared" si="31"/>
        <v>3</v>
      </c>
      <c r="S698" s="6">
        <f t="shared" si="32"/>
        <v>5</v>
      </c>
    </row>
    <row r="699" spans="1:19" x14ac:dyDescent="0.3">
      <c r="A699" s="10">
        <v>45727</v>
      </c>
      <c r="B699" t="s">
        <v>709</v>
      </c>
      <c r="C699" t="s">
        <v>1117</v>
      </c>
      <c r="D699" t="s">
        <v>1133</v>
      </c>
      <c r="E699" t="s">
        <v>1144</v>
      </c>
      <c r="F699" t="s">
        <v>1151</v>
      </c>
      <c r="G699" t="s">
        <v>1157</v>
      </c>
      <c r="H699">
        <v>5</v>
      </c>
      <c r="I699">
        <v>54022</v>
      </c>
      <c r="J699" s="6">
        <v>0</v>
      </c>
      <c r="K699">
        <v>54022</v>
      </c>
      <c r="L699">
        <v>270110</v>
      </c>
      <c r="M699">
        <v>1000</v>
      </c>
      <c r="N699" t="s">
        <v>1161</v>
      </c>
      <c r="O699" t="s">
        <v>1162</v>
      </c>
      <c r="Q699" t="str">
        <f t="shared" si="30"/>
        <v>okay</v>
      </c>
      <c r="R699">
        <f t="shared" si="31"/>
        <v>2</v>
      </c>
      <c r="S699" s="6">
        <f t="shared" si="32"/>
        <v>0</v>
      </c>
    </row>
    <row r="700" spans="1:19" x14ac:dyDescent="0.3">
      <c r="A700" s="10">
        <v>45779</v>
      </c>
      <c r="B700" t="s">
        <v>710</v>
      </c>
      <c r="C700" t="s">
        <v>1128</v>
      </c>
      <c r="D700" t="s">
        <v>1135</v>
      </c>
      <c r="E700" t="s">
        <v>1139</v>
      </c>
      <c r="F700" t="s">
        <v>1150</v>
      </c>
      <c r="G700" t="s">
        <v>1154</v>
      </c>
      <c r="H700">
        <v>1</v>
      </c>
      <c r="I700">
        <v>75684</v>
      </c>
      <c r="J700" s="6">
        <v>5</v>
      </c>
      <c r="K700">
        <v>71899.8</v>
      </c>
      <c r="L700">
        <v>71899.8</v>
      </c>
      <c r="M700">
        <v>1500</v>
      </c>
      <c r="N700" t="s">
        <v>1159</v>
      </c>
      <c r="O700" t="s">
        <v>1162</v>
      </c>
      <c r="Q700" t="str">
        <f t="shared" si="30"/>
        <v>okay</v>
      </c>
      <c r="R700">
        <f t="shared" si="31"/>
        <v>2</v>
      </c>
      <c r="S700" s="6">
        <f t="shared" si="32"/>
        <v>0</v>
      </c>
    </row>
    <row r="701" spans="1:19" x14ac:dyDescent="0.3">
      <c r="A701" s="10">
        <v>45689</v>
      </c>
      <c r="B701" t="s">
        <v>711</v>
      </c>
      <c r="C701" t="s">
        <v>1128</v>
      </c>
      <c r="D701" t="s">
        <v>1135</v>
      </c>
      <c r="E701" t="s">
        <v>1140</v>
      </c>
      <c r="F701" t="s">
        <v>1150</v>
      </c>
      <c r="G701" t="s">
        <v>1154</v>
      </c>
      <c r="H701">
        <v>1</v>
      </c>
      <c r="I701">
        <v>74807</v>
      </c>
      <c r="J701" s="6">
        <v>10</v>
      </c>
      <c r="K701">
        <v>67326.3</v>
      </c>
      <c r="L701">
        <v>67326.3</v>
      </c>
      <c r="M701">
        <v>1000</v>
      </c>
      <c r="N701" t="s">
        <v>1159</v>
      </c>
      <c r="O701" t="s">
        <v>1162</v>
      </c>
      <c r="Q701" t="str">
        <f t="shared" si="30"/>
        <v>okay</v>
      </c>
      <c r="R701">
        <f t="shared" si="31"/>
        <v>2</v>
      </c>
      <c r="S701" s="6">
        <f t="shared" si="32"/>
        <v>0</v>
      </c>
    </row>
    <row r="702" spans="1:19" x14ac:dyDescent="0.3">
      <c r="A702" s="10">
        <v>45690</v>
      </c>
      <c r="B702" t="s">
        <v>712</v>
      </c>
      <c r="C702" t="s">
        <v>1117</v>
      </c>
      <c r="D702" t="s">
        <v>1133</v>
      </c>
      <c r="E702" t="s">
        <v>1141</v>
      </c>
      <c r="F702" t="s">
        <v>1151</v>
      </c>
      <c r="G702" t="s">
        <v>1155</v>
      </c>
      <c r="H702">
        <v>5</v>
      </c>
      <c r="I702">
        <v>19801</v>
      </c>
      <c r="J702" s="6">
        <v>15</v>
      </c>
      <c r="K702">
        <v>16830.849999999999</v>
      </c>
      <c r="L702">
        <v>84154.25</v>
      </c>
      <c r="M702">
        <v>1000</v>
      </c>
      <c r="N702" t="s">
        <v>1159</v>
      </c>
      <c r="O702" t="s">
        <v>1163</v>
      </c>
      <c r="Q702" t="str">
        <f t="shared" si="30"/>
        <v>no comment</v>
      </c>
      <c r="R702">
        <f t="shared" si="31"/>
        <v>1</v>
      </c>
      <c r="S702" s="6">
        <f t="shared" si="32"/>
        <v>0</v>
      </c>
    </row>
    <row r="703" spans="1:19" x14ac:dyDescent="0.3">
      <c r="A703" s="10">
        <v>45800</v>
      </c>
      <c r="B703" t="s">
        <v>713</v>
      </c>
      <c r="C703" t="s">
        <v>1128</v>
      </c>
      <c r="D703" t="s">
        <v>1135</v>
      </c>
      <c r="E703" t="s">
        <v>1146</v>
      </c>
      <c r="F703" t="s">
        <v>1151</v>
      </c>
      <c r="G703" t="s">
        <v>1155</v>
      </c>
      <c r="H703">
        <v>5</v>
      </c>
      <c r="I703">
        <v>5125</v>
      </c>
      <c r="J703" s="6">
        <v>0</v>
      </c>
      <c r="K703">
        <v>5125</v>
      </c>
      <c r="L703">
        <v>25625</v>
      </c>
      <c r="M703">
        <v>2000</v>
      </c>
      <c r="N703" t="s">
        <v>1159</v>
      </c>
      <c r="O703" t="s">
        <v>1163</v>
      </c>
      <c r="Q703" t="str">
        <f t="shared" si="30"/>
        <v>no comment</v>
      </c>
      <c r="R703">
        <f t="shared" si="31"/>
        <v>1</v>
      </c>
      <c r="S703" s="6">
        <f t="shared" si="32"/>
        <v>0</v>
      </c>
    </row>
    <row r="704" spans="1:19" x14ac:dyDescent="0.3">
      <c r="A704" s="10">
        <v>45727</v>
      </c>
      <c r="B704" t="s">
        <v>714</v>
      </c>
      <c r="C704" t="s">
        <v>1120</v>
      </c>
      <c r="D704" t="s">
        <v>1135</v>
      </c>
      <c r="E704" t="s">
        <v>1141</v>
      </c>
      <c r="F704" t="s">
        <v>1151</v>
      </c>
      <c r="G704" t="s">
        <v>1155</v>
      </c>
      <c r="H704">
        <v>5</v>
      </c>
      <c r="I704">
        <v>57214</v>
      </c>
      <c r="J704" s="6">
        <v>0</v>
      </c>
      <c r="K704">
        <v>57214</v>
      </c>
      <c r="L704">
        <v>286070</v>
      </c>
      <c r="M704">
        <v>1000</v>
      </c>
      <c r="N704" t="s">
        <v>1160</v>
      </c>
      <c r="O704" t="s">
        <v>1162</v>
      </c>
      <c r="Q704" t="str">
        <f t="shared" si="30"/>
        <v>okay</v>
      </c>
      <c r="R704">
        <f t="shared" si="31"/>
        <v>2</v>
      </c>
      <c r="S704" s="6">
        <f t="shared" si="32"/>
        <v>0</v>
      </c>
    </row>
    <row r="705" spans="1:19" x14ac:dyDescent="0.3">
      <c r="A705" s="10">
        <v>45748</v>
      </c>
      <c r="B705" t="s">
        <v>715</v>
      </c>
      <c r="C705" t="s">
        <v>1121</v>
      </c>
      <c r="D705" t="s">
        <v>1136</v>
      </c>
      <c r="E705" t="s">
        <v>1144</v>
      </c>
      <c r="F705" t="s">
        <v>1151</v>
      </c>
      <c r="G705" t="s">
        <v>1157</v>
      </c>
      <c r="H705">
        <v>1</v>
      </c>
      <c r="I705">
        <v>14881</v>
      </c>
      <c r="J705" s="6">
        <v>5</v>
      </c>
      <c r="K705">
        <v>14136.95</v>
      </c>
      <c r="L705">
        <v>14136.95</v>
      </c>
      <c r="M705">
        <v>1500</v>
      </c>
      <c r="N705" t="s">
        <v>1159</v>
      </c>
      <c r="O705" t="s">
        <v>1163</v>
      </c>
      <c r="Q705" t="str">
        <f t="shared" si="30"/>
        <v>no comment</v>
      </c>
      <c r="R705">
        <f t="shared" si="31"/>
        <v>1</v>
      </c>
      <c r="S705" s="6">
        <f t="shared" si="32"/>
        <v>0</v>
      </c>
    </row>
    <row r="706" spans="1:19" x14ac:dyDescent="0.3">
      <c r="A706" s="10">
        <v>45688</v>
      </c>
      <c r="B706" t="s">
        <v>716</v>
      </c>
      <c r="C706" t="s">
        <v>1128</v>
      </c>
      <c r="D706" t="s">
        <v>1135</v>
      </c>
      <c r="E706" t="s">
        <v>1143</v>
      </c>
      <c r="F706" t="s">
        <v>1151</v>
      </c>
      <c r="G706" t="s">
        <v>1157</v>
      </c>
      <c r="H706">
        <v>1</v>
      </c>
      <c r="I706">
        <v>18003</v>
      </c>
      <c r="J706" s="6">
        <v>20</v>
      </c>
      <c r="K706">
        <v>14402.4</v>
      </c>
      <c r="L706">
        <v>14402.4</v>
      </c>
      <c r="M706">
        <v>1000</v>
      </c>
      <c r="N706" t="s">
        <v>1160</v>
      </c>
      <c r="O706" t="s">
        <v>1163</v>
      </c>
      <c r="Q706" t="str">
        <f t="shared" ref="Q706:Q769" si="33">IF(O706="delivered","excellent",IF(O706="in transit","okay",IF(O706="failed","no comment")))</f>
        <v>no comment</v>
      </c>
      <c r="R706">
        <f t="shared" si="31"/>
        <v>1</v>
      </c>
      <c r="S706" s="6">
        <f t="shared" si="32"/>
        <v>0</v>
      </c>
    </row>
    <row r="707" spans="1:19" x14ac:dyDescent="0.3">
      <c r="A707" s="10">
        <v>45832</v>
      </c>
      <c r="B707" t="s">
        <v>717</v>
      </c>
      <c r="C707" t="s">
        <v>1130</v>
      </c>
      <c r="D707" t="s">
        <v>1136</v>
      </c>
      <c r="E707" t="s">
        <v>1143</v>
      </c>
      <c r="F707" t="s">
        <v>1151</v>
      </c>
      <c r="G707" t="s">
        <v>1157</v>
      </c>
      <c r="H707">
        <v>2</v>
      </c>
      <c r="I707">
        <v>46581</v>
      </c>
      <c r="J707" s="6">
        <v>0</v>
      </c>
      <c r="K707">
        <v>46581</v>
      </c>
      <c r="L707">
        <v>93162</v>
      </c>
      <c r="M707">
        <v>2000</v>
      </c>
      <c r="N707" t="s">
        <v>1159</v>
      </c>
      <c r="O707" t="s">
        <v>1163</v>
      </c>
      <c r="Q707" t="str">
        <f t="shared" si="33"/>
        <v>no comment</v>
      </c>
      <c r="R707">
        <f t="shared" ref="R707:R770" si="34">IF(Q707="excellent",3,IF(Q707="no comment",1,IF(Q707="okay",2)))</f>
        <v>1</v>
      </c>
      <c r="S707" s="6">
        <f t="shared" ref="S707:S770" si="35">(IFERROR(DATEDIF(A707,P707,"d"),0))</f>
        <v>0</v>
      </c>
    </row>
    <row r="708" spans="1:19" x14ac:dyDescent="0.3">
      <c r="A708" s="10">
        <v>45782</v>
      </c>
      <c r="B708" t="s">
        <v>718</v>
      </c>
      <c r="C708" t="s">
        <v>1120</v>
      </c>
      <c r="D708" t="s">
        <v>1135</v>
      </c>
      <c r="E708" t="s">
        <v>1141</v>
      </c>
      <c r="F708" t="s">
        <v>1151</v>
      </c>
      <c r="G708" t="s">
        <v>1155</v>
      </c>
      <c r="H708">
        <v>2</v>
      </c>
      <c r="I708">
        <v>31092</v>
      </c>
      <c r="J708" s="6">
        <v>5</v>
      </c>
      <c r="K708">
        <v>29537.4</v>
      </c>
      <c r="L708">
        <v>59074.8</v>
      </c>
      <c r="M708">
        <v>1500</v>
      </c>
      <c r="N708" t="s">
        <v>1161</v>
      </c>
      <c r="O708" t="s">
        <v>1164</v>
      </c>
      <c r="P708" s="10">
        <v>45793</v>
      </c>
      <c r="Q708" t="str">
        <f t="shared" si="33"/>
        <v>excellent</v>
      </c>
      <c r="R708">
        <f t="shared" si="34"/>
        <v>3</v>
      </c>
      <c r="S708" s="6">
        <f t="shared" si="35"/>
        <v>11</v>
      </c>
    </row>
    <row r="709" spans="1:19" x14ac:dyDescent="0.3">
      <c r="A709" s="10">
        <v>45793</v>
      </c>
      <c r="B709" t="s">
        <v>301</v>
      </c>
      <c r="C709" t="s">
        <v>1121</v>
      </c>
      <c r="D709" t="s">
        <v>1136</v>
      </c>
      <c r="E709" t="s">
        <v>1137</v>
      </c>
      <c r="F709" t="s">
        <v>1149</v>
      </c>
      <c r="G709" t="s">
        <v>1152</v>
      </c>
      <c r="H709">
        <v>4</v>
      </c>
      <c r="I709">
        <v>34208</v>
      </c>
      <c r="J709" s="6">
        <v>20</v>
      </c>
      <c r="K709">
        <v>27366.400000000001</v>
      </c>
      <c r="L709">
        <v>109465.60000000001</v>
      </c>
      <c r="M709">
        <v>2000</v>
      </c>
      <c r="N709" t="s">
        <v>1161</v>
      </c>
      <c r="O709" t="s">
        <v>1163</v>
      </c>
      <c r="Q709" t="str">
        <f t="shared" si="33"/>
        <v>no comment</v>
      </c>
      <c r="R709">
        <f t="shared" si="34"/>
        <v>1</v>
      </c>
      <c r="S709" s="6">
        <f t="shared" si="35"/>
        <v>0</v>
      </c>
    </row>
    <row r="710" spans="1:19" x14ac:dyDescent="0.3">
      <c r="A710" s="10">
        <v>45749</v>
      </c>
      <c r="B710" t="s">
        <v>719</v>
      </c>
      <c r="C710" t="s">
        <v>1126</v>
      </c>
      <c r="D710" t="s">
        <v>1133</v>
      </c>
      <c r="E710" t="s">
        <v>1145</v>
      </c>
      <c r="F710" t="s">
        <v>1149</v>
      </c>
      <c r="G710" t="s">
        <v>1153</v>
      </c>
      <c r="H710">
        <v>1</v>
      </c>
      <c r="I710">
        <v>52251</v>
      </c>
      <c r="J710" s="6">
        <v>10</v>
      </c>
      <c r="K710">
        <v>47025.9</v>
      </c>
      <c r="L710">
        <v>47025.9</v>
      </c>
      <c r="M710">
        <v>1500</v>
      </c>
      <c r="N710" t="s">
        <v>1159</v>
      </c>
      <c r="O710" t="s">
        <v>1163</v>
      </c>
      <c r="Q710" t="str">
        <f t="shared" si="33"/>
        <v>no comment</v>
      </c>
      <c r="R710">
        <f t="shared" si="34"/>
        <v>1</v>
      </c>
      <c r="S710" s="6">
        <f t="shared" si="35"/>
        <v>0</v>
      </c>
    </row>
    <row r="711" spans="1:19" x14ac:dyDescent="0.3">
      <c r="A711" s="10">
        <v>45710</v>
      </c>
      <c r="B711" t="s">
        <v>720</v>
      </c>
      <c r="C711" t="s">
        <v>1130</v>
      </c>
      <c r="D711" t="s">
        <v>1136</v>
      </c>
      <c r="E711" t="s">
        <v>1137</v>
      </c>
      <c r="F711" t="s">
        <v>1149</v>
      </c>
      <c r="G711" t="s">
        <v>1152</v>
      </c>
      <c r="H711">
        <v>1</v>
      </c>
      <c r="I711">
        <v>22573</v>
      </c>
      <c r="J711" s="6">
        <v>10</v>
      </c>
      <c r="K711">
        <v>20315.7</v>
      </c>
      <c r="L711">
        <v>20315.7</v>
      </c>
      <c r="M711">
        <v>2000</v>
      </c>
      <c r="N711" t="s">
        <v>1160</v>
      </c>
      <c r="O711" t="s">
        <v>1163</v>
      </c>
      <c r="Q711" t="str">
        <f t="shared" si="33"/>
        <v>no comment</v>
      </c>
      <c r="R711">
        <f t="shared" si="34"/>
        <v>1</v>
      </c>
      <c r="S711" s="6">
        <f t="shared" si="35"/>
        <v>0</v>
      </c>
    </row>
    <row r="712" spans="1:19" x14ac:dyDescent="0.3">
      <c r="A712" s="10">
        <v>45776</v>
      </c>
      <c r="B712" t="s">
        <v>721</v>
      </c>
      <c r="C712" t="s">
        <v>1120</v>
      </c>
      <c r="D712" t="s">
        <v>1135</v>
      </c>
      <c r="E712" t="s">
        <v>1137</v>
      </c>
      <c r="F712" t="s">
        <v>1149</v>
      </c>
      <c r="G712" t="s">
        <v>1152</v>
      </c>
      <c r="H712">
        <v>5</v>
      </c>
      <c r="I712">
        <v>23441</v>
      </c>
      <c r="J712" s="6">
        <v>20</v>
      </c>
      <c r="K712">
        <v>18752.8</v>
      </c>
      <c r="L712">
        <v>93764</v>
      </c>
      <c r="M712">
        <v>1500</v>
      </c>
      <c r="N712" t="s">
        <v>1159</v>
      </c>
      <c r="O712" t="s">
        <v>1163</v>
      </c>
      <c r="Q712" t="str">
        <f t="shared" si="33"/>
        <v>no comment</v>
      </c>
      <c r="R712">
        <f t="shared" si="34"/>
        <v>1</v>
      </c>
      <c r="S712" s="6">
        <f t="shared" si="35"/>
        <v>0</v>
      </c>
    </row>
    <row r="713" spans="1:19" x14ac:dyDescent="0.3">
      <c r="A713" s="10">
        <v>45715</v>
      </c>
      <c r="B713" t="s">
        <v>722</v>
      </c>
      <c r="C713" t="s">
        <v>1132</v>
      </c>
      <c r="D713" t="s">
        <v>1134</v>
      </c>
      <c r="E713" t="s">
        <v>1145</v>
      </c>
      <c r="F713" t="s">
        <v>1149</v>
      </c>
      <c r="G713" t="s">
        <v>1153</v>
      </c>
      <c r="H713">
        <v>1</v>
      </c>
      <c r="I713">
        <v>3818</v>
      </c>
      <c r="J713" s="6">
        <v>10</v>
      </c>
      <c r="K713">
        <v>3436.2</v>
      </c>
      <c r="L713">
        <v>3436.2</v>
      </c>
      <c r="M713">
        <v>1500</v>
      </c>
      <c r="N713" t="s">
        <v>1161</v>
      </c>
      <c r="O713" t="s">
        <v>1162</v>
      </c>
      <c r="Q713" t="str">
        <f t="shared" si="33"/>
        <v>okay</v>
      </c>
      <c r="R713">
        <f t="shared" si="34"/>
        <v>2</v>
      </c>
      <c r="S713" s="6">
        <f t="shared" si="35"/>
        <v>0</v>
      </c>
    </row>
    <row r="714" spans="1:19" x14ac:dyDescent="0.3">
      <c r="A714" s="10">
        <v>45799</v>
      </c>
      <c r="B714" t="s">
        <v>723</v>
      </c>
      <c r="C714" t="s">
        <v>1126</v>
      </c>
      <c r="D714" t="s">
        <v>1133</v>
      </c>
      <c r="E714" t="s">
        <v>1139</v>
      </c>
      <c r="F714" t="s">
        <v>1150</v>
      </c>
      <c r="G714" t="s">
        <v>1154</v>
      </c>
      <c r="H714">
        <v>3</v>
      </c>
      <c r="I714">
        <v>28471</v>
      </c>
      <c r="J714" s="6">
        <v>15</v>
      </c>
      <c r="K714">
        <v>24200.35</v>
      </c>
      <c r="L714">
        <v>72601.049999999988</v>
      </c>
      <c r="M714">
        <v>1000</v>
      </c>
      <c r="N714" t="s">
        <v>1160</v>
      </c>
      <c r="O714" t="s">
        <v>1163</v>
      </c>
      <c r="Q714" t="str">
        <f t="shared" si="33"/>
        <v>no comment</v>
      </c>
      <c r="R714">
        <f t="shared" si="34"/>
        <v>1</v>
      </c>
      <c r="S714" s="6">
        <f t="shared" si="35"/>
        <v>0</v>
      </c>
    </row>
    <row r="715" spans="1:19" x14ac:dyDescent="0.3">
      <c r="A715" s="10">
        <v>45784</v>
      </c>
      <c r="B715" t="s">
        <v>724</v>
      </c>
      <c r="C715" t="s">
        <v>1132</v>
      </c>
      <c r="D715" t="s">
        <v>1134</v>
      </c>
      <c r="E715" t="s">
        <v>1137</v>
      </c>
      <c r="F715" t="s">
        <v>1149</v>
      </c>
      <c r="G715" t="s">
        <v>1152</v>
      </c>
      <c r="H715">
        <v>4</v>
      </c>
      <c r="I715">
        <v>19698</v>
      </c>
      <c r="J715" s="6">
        <v>5</v>
      </c>
      <c r="K715">
        <v>18713.099999999999</v>
      </c>
      <c r="L715">
        <v>74852.399999999994</v>
      </c>
      <c r="M715">
        <v>2000</v>
      </c>
      <c r="N715" t="s">
        <v>1159</v>
      </c>
      <c r="O715" t="s">
        <v>1163</v>
      </c>
      <c r="Q715" t="str">
        <f t="shared" si="33"/>
        <v>no comment</v>
      </c>
      <c r="R715">
        <f t="shared" si="34"/>
        <v>1</v>
      </c>
      <c r="S715" s="6">
        <f t="shared" si="35"/>
        <v>0</v>
      </c>
    </row>
    <row r="716" spans="1:19" x14ac:dyDescent="0.3">
      <c r="A716" s="10">
        <v>45771</v>
      </c>
      <c r="B716" t="s">
        <v>725</v>
      </c>
      <c r="C716" t="s">
        <v>1118</v>
      </c>
      <c r="D716" t="s">
        <v>1134</v>
      </c>
      <c r="E716" t="s">
        <v>1146</v>
      </c>
      <c r="F716" t="s">
        <v>1151</v>
      </c>
      <c r="G716" t="s">
        <v>1155</v>
      </c>
      <c r="H716">
        <v>2</v>
      </c>
      <c r="I716">
        <v>42144</v>
      </c>
      <c r="J716" s="6">
        <v>20</v>
      </c>
      <c r="K716">
        <v>33715.199999999997</v>
      </c>
      <c r="L716">
        <v>67430.399999999994</v>
      </c>
      <c r="M716">
        <v>1000</v>
      </c>
      <c r="N716" t="s">
        <v>1160</v>
      </c>
      <c r="O716" t="s">
        <v>1162</v>
      </c>
      <c r="Q716" t="str">
        <f t="shared" si="33"/>
        <v>okay</v>
      </c>
      <c r="R716">
        <f t="shared" si="34"/>
        <v>2</v>
      </c>
      <c r="S716" s="6">
        <f t="shared" si="35"/>
        <v>0</v>
      </c>
    </row>
    <row r="717" spans="1:19" x14ac:dyDescent="0.3">
      <c r="A717" s="10">
        <v>45771</v>
      </c>
      <c r="B717" t="s">
        <v>726</v>
      </c>
      <c r="C717" t="s">
        <v>1128</v>
      </c>
      <c r="D717" t="s">
        <v>1135</v>
      </c>
      <c r="E717" t="s">
        <v>1137</v>
      </c>
      <c r="F717" t="s">
        <v>1149</v>
      </c>
      <c r="G717" t="s">
        <v>1152</v>
      </c>
      <c r="H717">
        <v>5</v>
      </c>
      <c r="I717">
        <v>16410</v>
      </c>
      <c r="J717" s="6">
        <v>10</v>
      </c>
      <c r="K717">
        <v>14769</v>
      </c>
      <c r="L717">
        <v>73845</v>
      </c>
      <c r="M717">
        <v>1500</v>
      </c>
      <c r="N717" t="s">
        <v>1160</v>
      </c>
      <c r="O717" t="s">
        <v>1163</v>
      </c>
      <c r="Q717" t="str">
        <f t="shared" si="33"/>
        <v>no comment</v>
      </c>
      <c r="R717">
        <f t="shared" si="34"/>
        <v>1</v>
      </c>
      <c r="S717" s="6">
        <f t="shared" si="35"/>
        <v>0</v>
      </c>
    </row>
    <row r="718" spans="1:19" x14ac:dyDescent="0.3">
      <c r="A718" s="10">
        <v>45761</v>
      </c>
      <c r="B718" t="s">
        <v>727</v>
      </c>
      <c r="C718" t="s">
        <v>1128</v>
      </c>
      <c r="D718" t="s">
        <v>1135</v>
      </c>
      <c r="E718" t="s">
        <v>1146</v>
      </c>
      <c r="F718" t="s">
        <v>1151</v>
      </c>
      <c r="G718" t="s">
        <v>1155</v>
      </c>
      <c r="H718">
        <v>4</v>
      </c>
      <c r="I718">
        <v>53457</v>
      </c>
      <c r="J718" s="6">
        <v>15</v>
      </c>
      <c r="K718">
        <v>45438.45</v>
      </c>
      <c r="L718">
        <v>181753.8</v>
      </c>
      <c r="M718">
        <v>2000</v>
      </c>
      <c r="N718" t="s">
        <v>1161</v>
      </c>
      <c r="O718" t="s">
        <v>1164</v>
      </c>
      <c r="P718" s="10">
        <v>45775</v>
      </c>
      <c r="Q718" t="str">
        <f t="shared" si="33"/>
        <v>excellent</v>
      </c>
      <c r="R718">
        <f t="shared" si="34"/>
        <v>3</v>
      </c>
      <c r="S718" s="6">
        <f t="shared" si="35"/>
        <v>14</v>
      </c>
    </row>
    <row r="719" spans="1:19" x14ac:dyDescent="0.3">
      <c r="A719" s="10">
        <v>45664</v>
      </c>
      <c r="B719" t="s">
        <v>728</v>
      </c>
      <c r="C719" t="s">
        <v>1124</v>
      </c>
      <c r="D719" t="s">
        <v>1135</v>
      </c>
      <c r="E719" t="s">
        <v>1148</v>
      </c>
      <c r="F719" t="s">
        <v>1149</v>
      </c>
      <c r="G719" t="s">
        <v>1152</v>
      </c>
      <c r="H719">
        <v>2</v>
      </c>
      <c r="I719">
        <v>22650</v>
      </c>
      <c r="J719" s="6">
        <v>10</v>
      </c>
      <c r="K719">
        <v>20385</v>
      </c>
      <c r="L719">
        <v>40770</v>
      </c>
      <c r="M719">
        <v>1500</v>
      </c>
      <c r="N719" t="s">
        <v>1161</v>
      </c>
      <c r="O719" t="s">
        <v>1163</v>
      </c>
      <c r="Q719" t="str">
        <f t="shared" si="33"/>
        <v>no comment</v>
      </c>
      <c r="R719">
        <f t="shared" si="34"/>
        <v>1</v>
      </c>
      <c r="S719" s="6">
        <f t="shared" si="35"/>
        <v>0</v>
      </c>
    </row>
    <row r="720" spans="1:19" x14ac:dyDescent="0.3">
      <c r="A720" s="10">
        <v>45827</v>
      </c>
      <c r="B720" t="s">
        <v>729</v>
      </c>
      <c r="C720" t="s">
        <v>1122</v>
      </c>
      <c r="D720" t="s">
        <v>1136</v>
      </c>
      <c r="E720" t="s">
        <v>1141</v>
      </c>
      <c r="F720" t="s">
        <v>1151</v>
      </c>
      <c r="G720" t="s">
        <v>1155</v>
      </c>
      <c r="H720">
        <v>3</v>
      </c>
      <c r="I720">
        <v>30167</v>
      </c>
      <c r="J720" s="6">
        <v>0</v>
      </c>
      <c r="K720">
        <v>30167</v>
      </c>
      <c r="L720">
        <v>90501</v>
      </c>
      <c r="M720">
        <v>2000</v>
      </c>
      <c r="N720" t="s">
        <v>1160</v>
      </c>
      <c r="O720" t="s">
        <v>1164</v>
      </c>
      <c r="P720" s="10">
        <v>45835</v>
      </c>
      <c r="Q720" t="str">
        <f t="shared" si="33"/>
        <v>excellent</v>
      </c>
      <c r="R720">
        <f t="shared" si="34"/>
        <v>3</v>
      </c>
      <c r="S720" s="6">
        <f t="shared" si="35"/>
        <v>8</v>
      </c>
    </row>
    <row r="721" spans="1:19" x14ac:dyDescent="0.3">
      <c r="A721" s="10">
        <v>45828</v>
      </c>
      <c r="B721" t="s">
        <v>730</v>
      </c>
      <c r="C721" t="s">
        <v>1130</v>
      </c>
      <c r="D721" t="s">
        <v>1136</v>
      </c>
      <c r="E721" t="s">
        <v>1147</v>
      </c>
      <c r="F721" t="s">
        <v>1150</v>
      </c>
      <c r="G721" t="s">
        <v>1156</v>
      </c>
      <c r="H721">
        <v>5</v>
      </c>
      <c r="I721">
        <v>28624</v>
      </c>
      <c r="J721" s="6">
        <v>10</v>
      </c>
      <c r="K721">
        <v>25761.599999999999</v>
      </c>
      <c r="L721">
        <v>128808</v>
      </c>
      <c r="M721">
        <v>1500</v>
      </c>
      <c r="N721" t="s">
        <v>1161</v>
      </c>
      <c r="O721" t="s">
        <v>1162</v>
      </c>
      <c r="Q721" t="str">
        <f t="shared" si="33"/>
        <v>okay</v>
      </c>
      <c r="R721">
        <f t="shared" si="34"/>
        <v>2</v>
      </c>
      <c r="S721" s="6">
        <f t="shared" si="35"/>
        <v>0</v>
      </c>
    </row>
    <row r="722" spans="1:19" x14ac:dyDescent="0.3">
      <c r="A722" s="10">
        <v>45704</v>
      </c>
      <c r="B722" t="s">
        <v>731</v>
      </c>
      <c r="C722" t="s">
        <v>1121</v>
      </c>
      <c r="D722" t="s">
        <v>1136</v>
      </c>
      <c r="E722" t="s">
        <v>1146</v>
      </c>
      <c r="F722" t="s">
        <v>1151</v>
      </c>
      <c r="G722" t="s">
        <v>1155</v>
      </c>
      <c r="H722">
        <v>5</v>
      </c>
      <c r="I722">
        <v>13328</v>
      </c>
      <c r="J722" s="6">
        <v>15</v>
      </c>
      <c r="K722">
        <v>11328.8</v>
      </c>
      <c r="L722">
        <v>56644</v>
      </c>
      <c r="M722">
        <v>2000</v>
      </c>
      <c r="N722" t="s">
        <v>1161</v>
      </c>
      <c r="O722" t="s">
        <v>1164</v>
      </c>
      <c r="P722" s="10">
        <v>45712</v>
      </c>
      <c r="Q722" t="str">
        <f t="shared" si="33"/>
        <v>excellent</v>
      </c>
      <c r="R722">
        <f t="shared" si="34"/>
        <v>3</v>
      </c>
      <c r="S722" s="6">
        <f t="shared" si="35"/>
        <v>8</v>
      </c>
    </row>
    <row r="723" spans="1:19" x14ac:dyDescent="0.3">
      <c r="A723" s="10">
        <v>45746</v>
      </c>
      <c r="B723" t="s">
        <v>732</v>
      </c>
      <c r="C723" t="s">
        <v>1126</v>
      </c>
      <c r="D723" t="s">
        <v>1133</v>
      </c>
      <c r="E723" t="s">
        <v>1140</v>
      </c>
      <c r="F723" t="s">
        <v>1150</v>
      </c>
      <c r="G723" t="s">
        <v>1154</v>
      </c>
      <c r="H723">
        <v>3</v>
      </c>
      <c r="I723">
        <v>29760</v>
      </c>
      <c r="J723" s="6">
        <v>10</v>
      </c>
      <c r="K723">
        <v>26784</v>
      </c>
      <c r="L723">
        <v>80352</v>
      </c>
      <c r="M723">
        <v>2000</v>
      </c>
      <c r="N723" t="s">
        <v>1159</v>
      </c>
      <c r="O723" t="s">
        <v>1163</v>
      </c>
      <c r="Q723" t="str">
        <f t="shared" si="33"/>
        <v>no comment</v>
      </c>
      <c r="R723">
        <f t="shared" si="34"/>
        <v>1</v>
      </c>
      <c r="S723" s="6">
        <f t="shared" si="35"/>
        <v>0</v>
      </c>
    </row>
    <row r="724" spans="1:19" x14ac:dyDescent="0.3">
      <c r="A724" s="10">
        <v>45772</v>
      </c>
      <c r="B724" t="s">
        <v>733</v>
      </c>
      <c r="C724" t="s">
        <v>1131</v>
      </c>
      <c r="D724" t="s">
        <v>1136</v>
      </c>
      <c r="E724" t="s">
        <v>1147</v>
      </c>
      <c r="F724" t="s">
        <v>1150</v>
      </c>
      <c r="G724" t="s">
        <v>1156</v>
      </c>
      <c r="H724">
        <v>3</v>
      </c>
      <c r="I724">
        <v>24667</v>
      </c>
      <c r="J724" s="6">
        <v>5</v>
      </c>
      <c r="K724">
        <v>23433.65</v>
      </c>
      <c r="L724">
        <v>70300.950000000012</v>
      </c>
      <c r="M724">
        <v>1500</v>
      </c>
      <c r="N724" t="s">
        <v>1159</v>
      </c>
      <c r="O724" t="s">
        <v>1163</v>
      </c>
      <c r="Q724" t="str">
        <f t="shared" si="33"/>
        <v>no comment</v>
      </c>
      <c r="R724">
        <f t="shared" si="34"/>
        <v>1</v>
      </c>
      <c r="S724" s="6">
        <f t="shared" si="35"/>
        <v>0</v>
      </c>
    </row>
    <row r="725" spans="1:19" x14ac:dyDescent="0.3">
      <c r="A725" s="10">
        <v>45725</v>
      </c>
      <c r="B725" t="s">
        <v>734</v>
      </c>
      <c r="C725" t="s">
        <v>1127</v>
      </c>
      <c r="D725" t="s">
        <v>1134</v>
      </c>
      <c r="E725" t="s">
        <v>1147</v>
      </c>
      <c r="F725" t="s">
        <v>1150</v>
      </c>
      <c r="G725" t="s">
        <v>1156</v>
      </c>
      <c r="H725">
        <v>3</v>
      </c>
      <c r="I725">
        <v>66511</v>
      </c>
      <c r="J725" s="6">
        <v>0</v>
      </c>
      <c r="K725">
        <v>66511</v>
      </c>
      <c r="L725">
        <v>199533</v>
      </c>
      <c r="M725">
        <v>1500</v>
      </c>
      <c r="N725" t="s">
        <v>1161</v>
      </c>
      <c r="O725" t="s">
        <v>1163</v>
      </c>
      <c r="Q725" t="str">
        <f t="shared" si="33"/>
        <v>no comment</v>
      </c>
      <c r="R725">
        <f t="shared" si="34"/>
        <v>1</v>
      </c>
      <c r="S725" s="6">
        <f t="shared" si="35"/>
        <v>0</v>
      </c>
    </row>
    <row r="726" spans="1:19" x14ac:dyDescent="0.3">
      <c r="A726" s="10">
        <v>45692</v>
      </c>
      <c r="B726" t="s">
        <v>735</v>
      </c>
      <c r="C726" t="s">
        <v>1124</v>
      </c>
      <c r="D726" t="s">
        <v>1135</v>
      </c>
      <c r="E726" t="s">
        <v>1147</v>
      </c>
      <c r="F726" t="s">
        <v>1150</v>
      </c>
      <c r="G726" t="s">
        <v>1156</v>
      </c>
      <c r="H726">
        <v>2</v>
      </c>
      <c r="I726">
        <v>70848</v>
      </c>
      <c r="J726" s="6">
        <v>10</v>
      </c>
      <c r="K726">
        <v>60220.800000000003</v>
      </c>
      <c r="L726">
        <v>120441.60000000001</v>
      </c>
      <c r="M726">
        <v>1500</v>
      </c>
      <c r="N726" t="s">
        <v>1159</v>
      </c>
      <c r="O726" t="s">
        <v>1163</v>
      </c>
      <c r="Q726" t="str">
        <f t="shared" si="33"/>
        <v>no comment</v>
      </c>
      <c r="R726">
        <f t="shared" si="34"/>
        <v>1</v>
      </c>
      <c r="S726" s="6">
        <f t="shared" si="35"/>
        <v>0</v>
      </c>
    </row>
    <row r="727" spans="1:19" x14ac:dyDescent="0.3">
      <c r="A727" s="10">
        <v>45697</v>
      </c>
      <c r="B727" t="s">
        <v>736</v>
      </c>
      <c r="C727" t="s">
        <v>1131</v>
      </c>
      <c r="D727" t="s">
        <v>1136</v>
      </c>
      <c r="E727" t="s">
        <v>1147</v>
      </c>
      <c r="F727" t="s">
        <v>1150</v>
      </c>
      <c r="G727" t="s">
        <v>1156</v>
      </c>
      <c r="H727">
        <v>2</v>
      </c>
      <c r="I727">
        <v>72871</v>
      </c>
      <c r="J727" s="6">
        <v>20</v>
      </c>
      <c r="K727">
        <v>58296.800000000003</v>
      </c>
      <c r="L727">
        <v>116593.60000000001</v>
      </c>
      <c r="M727">
        <v>2000</v>
      </c>
      <c r="N727" t="s">
        <v>1160</v>
      </c>
      <c r="O727" t="s">
        <v>1164</v>
      </c>
      <c r="P727" s="10">
        <v>45706</v>
      </c>
      <c r="Q727" t="str">
        <f t="shared" si="33"/>
        <v>excellent</v>
      </c>
      <c r="R727">
        <f t="shared" si="34"/>
        <v>3</v>
      </c>
      <c r="S727" s="6">
        <f t="shared" si="35"/>
        <v>9</v>
      </c>
    </row>
    <row r="728" spans="1:19" x14ac:dyDescent="0.3">
      <c r="A728" s="10">
        <v>45811</v>
      </c>
      <c r="B728" t="s">
        <v>737</v>
      </c>
      <c r="C728" t="s">
        <v>1125</v>
      </c>
      <c r="D728" t="s">
        <v>1133</v>
      </c>
      <c r="E728" t="s">
        <v>1141</v>
      </c>
      <c r="F728" t="s">
        <v>1151</v>
      </c>
      <c r="G728" t="s">
        <v>1155</v>
      </c>
      <c r="H728">
        <v>3</v>
      </c>
      <c r="I728">
        <v>71455</v>
      </c>
      <c r="J728" s="6">
        <v>20</v>
      </c>
      <c r="K728">
        <v>57164</v>
      </c>
      <c r="L728">
        <v>171492</v>
      </c>
      <c r="M728">
        <v>1000</v>
      </c>
      <c r="N728" t="s">
        <v>1161</v>
      </c>
      <c r="O728" t="s">
        <v>1163</v>
      </c>
      <c r="Q728" t="str">
        <f t="shared" si="33"/>
        <v>no comment</v>
      </c>
      <c r="R728">
        <f t="shared" si="34"/>
        <v>1</v>
      </c>
      <c r="S728" s="6">
        <f t="shared" si="35"/>
        <v>0</v>
      </c>
    </row>
    <row r="729" spans="1:19" x14ac:dyDescent="0.3">
      <c r="A729" s="10">
        <v>45700</v>
      </c>
      <c r="B729" t="s">
        <v>738</v>
      </c>
      <c r="C729" t="s">
        <v>1124</v>
      </c>
      <c r="D729" t="s">
        <v>1135</v>
      </c>
      <c r="E729" t="s">
        <v>1139</v>
      </c>
      <c r="F729" t="s">
        <v>1150</v>
      </c>
      <c r="G729" t="s">
        <v>1154</v>
      </c>
      <c r="H729">
        <v>5</v>
      </c>
      <c r="I729">
        <v>50754</v>
      </c>
      <c r="J729" s="6">
        <v>10</v>
      </c>
      <c r="K729">
        <v>45678.6</v>
      </c>
      <c r="L729">
        <v>228393</v>
      </c>
      <c r="M729">
        <v>1000</v>
      </c>
      <c r="N729" t="s">
        <v>1160</v>
      </c>
      <c r="O729" t="s">
        <v>1163</v>
      </c>
      <c r="Q729" t="str">
        <f t="shared" si="33"/>
        <v>no comment</v>
      </c>
      <c r="R729">
        <f t="shared" si="34"/>
        <v>1</v>
      </c>
      <c r="S729" s="6">
        <f t="shared" si="35"/>
        <v>0</v>
      </c>
    </row>
    <row r="730" spans="1:19" x14ac:dyDescent="0.3">
      <c r="A730" s="10">
        <v>45784</v>
      </c>
      <c r="B730" t="s">
        <v>739</v>
      </c>
      <c r="C730" t="s">
        <v>1126</v>
      </c>
      <c r="D730" t="s">
        <v>1133</v>
      </c>
      <c r="E730" t="s">
        <v>1137</v>
      </c>
      <c r="F730" t="s">
        <v>1149</v>
      </c>
      <c r="G730" t="s">
        <v>1152</v>
      </c>
      <c r="H730">
        <v>1</v>
      </c>
      <c r="I730">
        <v>79625</v>
      </c>
      <c r="J730" s="6">
        <v>20</v>
      </c>
      <c r="K730">
        <v>63700</v>
      </c>
      <c r="L730">
        <v>63700</v>
      </c>
      <c r="M730">
        <v>2000</v>
      </c>
      <c r="N730" t="s">
        <v>1161</v>
      </c>
      <c r="O730" t="s">
        <v>1162</v>
      </c>
      <c r="Q730" t="str">
        <f t="shared" si="33"/>
        <v>okay</v>
      </c>
      <c r="R730">
        <f t="shared" si="34"/>
        <v>2</v>
      </c>
      <c r="S730" s="6">
        <f t="shared" si="35"/>
        <v>0</v>
      </c>
    </row>
    <row r="731" spans="1:19" x14ac:dyDescent="0.3">
      <c r="A731" s="10">
        <v>45808</v>
      </c>
      <c r="B731" t="s">
        <v>740</v>
      </c>
      <c r="C731" t="s">
        <v>1126</v>
      </c>
      <c r="D731" t="s">
        <v>1133</v>
      </c>
      <c r="E731" t="s">
        <v>1148</v>
      </c>
      <c r="F731" t="s">
        <v>1149</v>
      </c>
      <c r="G731" t="s">
        <v>1152</v>
      </c>
      <c r="H731">
        <v>1</v>
      </c>
      <c r="I731">
        <v>19986</v>
      </c>
      <c r="J731" s="6">
        <v>10</v>
      </c>
      <c r="K731">
        <v>17987.400000000001</v>
      </c>
      <c r="L731">
        <v>17987.400000000001</v>
      </c>
      <c r="M731">
        <v>1500</v>
      </c>
      <c r="N731" t="s">
        <v>1161</v>
      </c>
      <c r="O731" t="s">
        <v>1163</v>
      </c>
      <c r="Q731" t="str">
        <f t="shared" si="33"/>
        <v>no comment</v>
      </c>
      <c r="R731">
        <f t="shared" si="34"/>
        <v>1</v>
      </c>
      <c r="S731" s="6">
        <f t="shared" si="35"/>
        <v>0</v>
      </c>
    </row>
    <row r="732" spans="1:19" x14ac:dyDescent="0.3">
      <c r="A732" s="10">
        <v>45704</v>
      </c>
      <c r="B732" t="s">
        <v>741</v>
      </c>
      <c r="C732" t="s">
        <v>1128</v>
      </c>
      <c r="D732" t="s">
        <v>1135</v>
      </c>
      <c r="E732" t="s">
        <v>1147</v>
      </c>
      <c r="F732" t="s">
        <v>1150</v>
      </c>
      <c r="G732" t="s">
        <v>1156</v>
      </c>
      <c r="H732">
        <v>5</v>
      </c>
      <c r="I732">
        <v>16181</v>
      </c>
      <c r="J732" s="6">
        <v>15</v>
      </c>
      <c r="K732">
        <v>13753.85</v>
      </c>
      <c r="L732">
        <v>68769.25</v>
      </c>
      <c r="M732">
        <v>1000</v>
      </c>
      <c r="N732" t="s">
        <v>1159</v>
      </c>
      <c r="O732" t="s">
        <v>1162</v>
      </c>
      <c r="Q732" t="str">
        <f t="shared" si="33"/>
        <v>okay</v>
      </c>
      <c r="R732">
        <f t="shared" si="34"/>
        <v>2</v>
      </c>
      <c r="S732" s="6">
        <f t="shared" si="35"/>
        <v>0</v>
      </c>
    </row>
    <row r="733" spans="1:19" x14ac:dyDescent="0.3">
      <c r="A733" s="10">
        <v>45792</v>
      </c>
      <c r="B733" t="s">
        <v>742</v>
      </c>
      <c r="C733" t="s">
        <v>1132</v>
      </c>
      <c r="D733" t="s">
        <v>1134</v>
      </c>
      <c r="E733" t="s">
        <v>1143</v>
      </c>
      <c r="F733" t="s">
        <v>1151</v>
      </c>
      <c r="G733" t="s">
        <v>1157</v>
      </c>
      <c r="H733">
        <v>1</v>
      </c>
      <c r="I733">
        <v>49086</v>
      </c>
      <c r="J733" s="6">
        <v>5</v>
      </c>
      <c r="K733">
        <v>46631.7</v>
      </c>
      <c r="L733">
        <v>46631.7</v>
      </c>
      <c r="M733">
        <v>1500</v>
      </c>
      <c r="N733" t="s">
        <v>1159</v>
      </c>
      <c r="O733" t="s">
        <v>1163</v>
      </c>
      <c r="Q733" t="str">
        <f t="shared" si="33"/>
        <v>no comment</v>
      </c>
      <c r="R733">
        <f t="shared" si="34"/>
        <v>1</v>
      </c>
      <c r="S733" s="6">
        <f t="shared" si="35"/>
        <v>0</v>
      </c>
    </row>
    <row r="734" spans="1:19" x14ac:dyDescent="0.3">
      <c r="A734" s="10">
        <v>45801</v>
      </c>
      <c r="B734" t="s">
        <v>743</v>
      </c>
      <c r="C734" t="s">
        <v>1119</v>
      </c>
      <c r="D734" t="s">
        <v>1134</v>
      </c>
      <c r="E734" t="s">
        <v>1147</v>
      </c>
      <c r="F734" t="s">
        <v>1150</v>
      </c>
      <c r="G734" t="s">
        <v>1156</v>
      </c>
      <c r="H734">
        <v>3</v>
      </c>
      <c r="I734">
        <v>67511</v>
      </c>
      <c r="J734" s="6">
        <v>15</v>
      </c>
      <c r="K734">
        <v>57384.35</v>
      </c>
      <c r="L734">
        <v>172153.05</v>
      </c>
      <c r="M734">
        <v>2000</v>
      </c>
      <c r="N734" t="s">
        <v>1161</v>
      </c>
      <c r="O734" t="s">
        <v>1164</v>
      </c>
      <c r="P734" s="10">
        <v>45808</v>
      </c>
      <c r="Q734" t="str">
        <f t="shared" si="33"/>
        <v>excellent</v>
      </c>
      <c r="R734">
        <f t="shared" si="34"/>
        <v>3</v>
      </c>
      <c r="S734" s="6">
        <f t="shared" si="35"/>
        <v>7</v>
      </c>
    </row>
    <row r="735" spans="1:19" x14ac:dyDescent="0.3">
      <c r="A735" s="10">
        <v>45775</v>
      </c>
      <c r="B735" t="s">
        <v>744</v>
      </c>
      <c r="C735" t="s">
        <v>1119</v>
      </c>
      <c r="D735" t="s">
        <v>1134</v>
      </c>
      <c r="E735" t="s">
        <v>1145</v>
      </c>
      <c r="F735" t="s">
        <v>1149</v>
      </c>
      <c r="G735" t="s">
        <v>1153</v>
      </c>
      <c r="H735">
        <v>4</v>
      </c>
      <c r="I735">
        <v>57143</v>
      </c>
      <c r="J735" s="6">
        <v>0</v>
      </c>
      <c r="K735">
        <v>57143</v>
      </c>
      <c r="L735">
        <v>228572</v>
      </c>
      <c r="M735">
        <v>1500</v>
      </c>
      <c r="N735" t="s">
        <v>1159</v>
      </c>
      <c r="O735" t="s">
        <v>1162</v>
      </c>
      <c r="Q735" t="str">
        <f t="shared" si="33"/>
        <v>okay</v>
      </c>
      <c r="R735">
        <f t="shared" si="34"/>
        <v>2</v>
      </c>
      <c r="S735" s="6">
        <f t="shared" si="35"/>
        <v>0</v>
      </c>
    </row>
    <row r="736" spans="1:19" x14ac:dyDescent="0.3">
      <c r="A736" s="10">
        <v>45782</v>
      </c>
      <c r="B736" t="s">
        <v>745</v>
      </c>
      <c r="C736" t="s">
        <v>1119</v>
      </c>
      <c r="D736" t="s">
        <v>1134</v>
      </c>
      <c r="E736" t="s">
        <v>1143</v>
      </c>
      <c r="F736" t="s">
        <v>1151</v>
      </c>
      <c r="G736" t="s">
        <v>1157</v>
      </c>
      <c r="H736">
        <v>1</v>
      </c>
      <c r="I736">
        <v>14949</v>
      </c>
      <c r="J736" s="6">
        <v>15</v>
      </c>
      <c r="K736">
        <v>12706.65</v>
      </c>
      <c r="L736">
        <v>12706.65</v>
      </c>
      <c r="M736">
        <v>1000</v>
      </c>
      <c r="N736" t="s">
        <v>1161</v>
      </c>
      <c r="O736" t="s">
        <v>1164</v>
      </c>
      <c r="P736" s="10">
        <v>45790</v>
      </c>
      <c r="Q736" t="str">
        <f t="shared" si="33"/>
        <v>excellent</v>
      </c>
      <c r="R736">
        <f t="shared" si="34"/>
        <v>3</v>
      </c>
      <c r="S736" s="6">
        <f t="shared" si="35"/>
        <v>8</v>
      </c>
    </row>
    <row r="737" spans="1:19" x14ac:dyDescent="0.3">
      <c r="A737" s="10">
        <v>45735</v>
      </c>
      <c r="B737" t="s">
        <v>746</v>
      </c>
      <c r="C737" t="s">
        <v>1124</v>
      </c>
      <c r="D737" t="s">
        <v>1135</v>
      </c>
      <c r="E737" t="s">
        <v>1148</v>
      </c>
      <c r="F737" t="s">
        <v>1149</v>
      </c>
      <c r="G737" t="s">
        <v>1152</v>
      </c>
      <c r="H737">
        <v>3</v>
      </c>
      <c r="I737">
        <v>37433</v>
      </c>
      <c r="J737" s="6">
        <v>10</v>
      </c>
      <c r="K737">
        <v>33689.699999999997</v>
      </c>
      <c r="L737">
        <v>101069.1</v>
      </c>
      <c r="M737">
        <v>1000</v>
      </c>
      <c r="N737" t="s">
        <v>1160</v>
      </c>
      <c r="O737" t="s">
        <v>1162</v>
      </c>
      <c r="Q737" t="str">
        <f t="shared" si="33"/>
        <v>okay</v>
      </c>
      <c r="R737">
        <f t="shared" si="34"/>
        <v>2</v>
      </c>
      <c r="S737" s="6">
        <f t="shared" si="35"/>
        <v>0</v>
      </c>
    </row>
    <row r="738" spans="1:19" x14ac:dyDescent="0.3">
      <c r="A738" s="10">
        <v>45736</v>
      </c>
      <c r="B738" t="s">
        <v>747</v>
      </c>
      <c r="C738" t="s">
        <v>1127</v>
      </c>
      <c r="D738" t="s">
        <v>1134</v>
      </c>
      <c r="E738" t="s">
        <v>1137</v>
      </c>
      <c r="F738" t="s">
        <v>1149</v>
      </c>
      <c r="G738" t="s">
        <v>1152</v>
      </c>
      <c r="H738">
        <v>1</v>
      </c>
      <c r="I738">
        <v>25925</v>
      </c>
      <c r="J738" s="6">
        <v>10</v>
      </c>
      <c r="K738">
        <v>23332.5</v>
      </c>
      <c r="L738">
        <v>23332.5</v>
      </c>
      <c r="M738">
        <v>2000</v>
      </c>
      <c r="N738" t="s">
        <v>1159</v>
      </c>
      <c r="O738" t="s">
        <v>1163</v>
      </c>
      <c r="Q738" t="str">
        <f t="shared" si="33"/>
        <v>no comment</v>
      </c>
      <c r="R738">
        <f t="shared" si="34"/>
        <v>1</v>
      </c>
      <c r="S738" s="6">
        <f t="shared" si="35"/>
        <v>0</v>
      </c>
    </row>
    <row r="739" spans="1:19" x14ac:dyDescent="0.3">
      <c r="A739" s="10">
        <v>45657</v>
      </c>
      <c r="B739" t="s">
        <v>748</v>
      </c>
      <c r="C739" t="s">
        <v>1128</v>
      </c>
      <c r="D739" t="s">
        <v>1135</v>
      </c>
      <c r="E739" t="s">
        <v>1139</v>
      </c>
      <c r="F739" t="s">
        <v>1150</v>
      </c>
      <c r="G739" t="s">
        <v>1154</v>
      </c>
      <c r="H739">
        <v>5</v>
      </c>
      <c r="I739">
        <v>9012</v>
      </c>
      <c r="J739" s="6">
        <v>5</v>
      </c>
      <c r="K739">
        <v>8561.4</v>
      </c>
      <c r="L739">
        <v>42807</v>
      </c>
      <c r="M739">
        <v>1500</v>
      </c>
      <c r="N739" t="s">
        <v>1161</v>
      </c>
      <c r="O739" t="s">
        <v>1163</v>
      </c>
      <c r="Q739" t="str">
        <f t="shared" si="33"/>
        <v>no comment</v>
      </c>
      <c r="R739">
        <f t="shared" si="34"/>
        <v>1</v>
      </c>
      <c r="S739" s="6">
        <f t="shared" si="35"/>
        <v>0</v>
      </c>
    </row>
    <row r="740" spans="1:19" x14ac:dyDescent="0.3">
      <c r="A740" s="10">
        <v>45711</v>
      </c>
      <c r="B740" t="s">
        <v>749</v>
      </c>
      <c r="C740" t="s">
        <v>1127</v>
      </c>
      <c r="D740" t="s">
        <v>1134</v>
      </c>
      <c r="E740" t="s">
        <v>1144</v>
      </c>
      <c r="F740" t="s">
        <v>1151</v>
      </c>
      <c r="G740" t="s">
        <v>1157</v>
      </c>
      <c r="H740">
        <v>5</v>
      </c>
      <c r="I740">
        <v>51164</v>
      </c>
      <c r="J740" s="6">
        <v>0</v>
      </c>
      <c r="K740">
        <v>51164</v>
      </c>
      <c r="L740">
        <v>255820</v>
      </c>
      <c r="M740">
        <v>1500</v>
      </c>
      <c r="N740" t="s">
        <v>1160</v>
      </c>
      <c r="O740" t="s">
        <v>1162</v>
      </c>
      <c r="Q740" t="str">
        <f t="shared" si="33"/>
        <v>okay</v>
      </c>
      <c r="R740">
        <f t="shared" si="34"/>
        <v>2</v>
      </c>
      <c r="S740" s="6">
        <f t="shared" si="35"/>
        <v>0</v>
      </c>
    </row>
    <row r="741" spans="1:19" x14ac:dyDescent="0.3">
      <c r="A741" s="10">
        <v>45663</v>
      </c>
      <c r="B741" t="s">
        <v>750</v>
      </c>
      <c r="C741" t="s">
        <v>1122</v>
      </c>
      <c r="D741" t="s">
        <v>1136</v>
      </c>
      <c r="E741" t="s">
        <v>1148</v>
      </c>
      <c r="F741" t="s">
        <v>1149</v>
      </c>
      <c r="G741" t="s">
        <v>1152</v>
      </c>
      <c r="H741">
        <v>4</v>
      </c>
      <c r="I741">
        <v>46721</v>
      </c>
      <c r="J741" s="6">
        <v>15</v>
      </c>
      <c r="K741">
        <v>39712.85</v>
      </c>
      <c r="L741">
        <v>158851.4</v>
      </c>
      <c r="M741">
        <v>2000</v>
      </c>
      <c r="N741" t="s">
        <v>1161</v>
      </c>
      <c r="O741" t="s">
        <v>1163</v>
      </c>
      <c r="Q741" t="str">
        <f t="shared" si="33"/>
        <v>no comment</v>
      </c>
      <c r="R741">
        <f t="shared" si="34"/>
        <v>1</v>
      </c>
      <c r="S741" s="6">
        <f t="shared" si="35"/>
        <v>0</v>
      </c>
    </row>
    <row r="742" spans="1:19" x14ac:dyDescent="0.3">
      <c r="A742" s="10">
        <v>45754</v>
      </c>
      <c r="B742" t="s">
        <v>751</v>
      </c>
      <c r="C742" t="s">
        <v>1126</v>
      </c>
      <c r="D742" t="s">
        <v>1133</v>
      </c>
      <c r="E742" t="s">
        <v>1144</v>
      </c>
      <c r="F742" t="s">
        <v>1151</v>
      </c>
      <c r="G742" t="s">
        <v>1157</v>
      </c>
      <c r="H742">
        <v>1</v>
      </c>
      <c r="I742">
        <v>15626</v>
      </c>
      <c r="J742" s="6">
        <v>10</v>
      </c>
      <c r="K742">
        <v>14063.4</v>
      </c>
      <c r="L742">
        <v>14063.4</v>
      </c>
      <c r="M742">
        <v>1000</v>
      </c>
      <c r="N742" t="s">
        <v>1161</v>
      </c>
      <c r="O742" t="s">
        <v>1162</v>
      </c>
      <c r="Q742" t="str">
        <f t="shared" si="33"/>
        <v>okay</v>
      </c>
      <c r="R742">
        <f t="shared" si="34"/>
        <v>2</v>
      </c>
      <c r="S742" s="6">
        <f t="shared" si="35"/>
        <v>0</v>
      </c>
    </row>
    <row r="743" spans="1:19" x14ac:dyDescent="0.3">
      <c r="A743" s="10">
        <v>45668</v>
      </c>
      <c r="B743" t="s">
        <v>752</v>
      </c>
      <c r="C743" t="s">
        <v>1130</v>
      </c>
      <c r="D743" t="s">
        <v>1136</v>
      </c>
      <c r="E743" t="s">
        <v>1148</v>
      </c>
      <c r="F743" t="s">
        <v>1149</v>
      </c>
      <c r="G743" t="s">
        <v>1152</v>
      </c>
      <c r="H743">
        <v>3</v>
      </c>
      <c r="I743">
        <v>13867</v>
      </c>
      <c r="J743" s="6">
        <v>10</v>
      </c>
      <c r="K743">
        <v>12480.3</v>
      </c>
      <c r="L743">
        <v>37440.899999999987</v>
      </c>
      <c r="M743">
        <v>1500</v>
      </c>
      <c r="N743" t="s">
        <v>1161</v>
      </c>
      <c r="O743" t="s">
        <v>1164</v>
      </c>
      <c r="P743" s="10">
        <v>45679</v>
      </c>
      <c r="Q743" t="str">
        <f t="shared" si="33"/>
        <v>excellent</v>
      </c>
      <c r="R743">
        <f t="shared" si="34"/>
        <v>3</v>
      </c>
      <c r="S743" s="6">
        <f t="shared" si="35"/>
        <v>11</v>
      </c>
    </row>
    <row r="744" spans="1:19" x14ac:dyDescent="0.3">
      <c r="A744" s="10">
        <v>45721</v>
      </c>
      <c r="B744" t="s">
        <v>753</v>
      </c>
      <c r="C744" t="s">
        <v>1129</v>
      </c>
      <c r="D744" t="s">
        <v>1133</v>
      </c>
      <c r="E744" t="s">
        <v>1145</v>
      </c>
      <c r="F744" t="s">
        <v>1149</v>
      </c>
      <c r="G744" t="s">
        <v>1153</v>
      </c>
      <c r="H744">
        <v>1</v>
      </c>
      <c r="I744">
        <v>59050</v>
      </c>
      <c r="J744" s="6">
        <v>10</v>
      </c>
      <c r="K744">
        <v>53145</v>
      </c>
      <c r="L744">
        <v>53145</v>
      </c>
      <c r="M744">
        <v>2000</v>
      </c>
      <c r="N744" t="s">
        <v>1160</v>
      </c>
      <c r="O744" t="s">
        <v>1164</v>
      </c>
      <c r="P744" s="10">
        <v>45733</v>
      </c>
      <c r="Q744" t="str">
        <f t="shared" si="33"/>
        <v>excellent</v>
      </c>
      <c r="R744">
        <f t="shared" si="34"/>
        <v>3</v>
      </c>
      <c r="S744" s="6">
        <f t="shared" si="35"/>
        <v>12</v>
      </c>
    </row>
    <row r="745" spans="1:19" x14ac:dyDescent="0.3">
      <c r="A745" s="10">
        <v>45703</v>
      </c>
      <c r="B745" t="s">
        <v>754</v>
      </c>
      <c r="C745" t="s">
        <v>1129</v>
      </c>
      <c r="D745" t="s">
        <v>1133</v>
      </c>
      <c r="E745" t="s">
        <v>1138</v>
      </c>
      <c r="F745" t="s">
        <v>1149</v>
      </c>
      <c r="G745" t="s">
        <v>1153</v>
      </c>
      <c r="H745">
        <v>3</v>
      </c>
      <c r="I745">
        <v>78075</v>
      </c>
      <c r="J745" s="6">
        <v>5</v>
      </c>
      <c r="K745">
        <v>74171.25</v>
      </c>
      <c r="L745">
        <v>222513.75</v>
      </c>
      <c r="M745">
        <v>1500</v>
      </c>
      <c r="N745" t="s">
        <v>1159</v>
      </c>
      <c r="O745" t="s">
        <v>1163</v>
      </c>
      <c r="Q745" t="str">
        <f t="shared" si="33"/>
        <v>no comment</v>
      </c>
      <c r="R745">
        <f t="shared" si="34"/>
        <v>1</v>
      </c>
      <c r="S745" s="6">
        <f t="shared" si="35"/>
        <v>0</v>
      </c>
    </row>
    <row r="746" spans="1:19" x14ac:dyDescent="0.3">
      <c r="A746" s="10">
        <v>45718</v>
      </c>
      <c r="B746" t="s">
        <v>755</v>
      </c>
      <c r="C746" t="s">
        <v>1132</v>
      </c>
      <c r="D746" t="s">
        <v>1134</v>
      </c>
      <c r="E746" t="s">
        <v>1139</v>
      </c>
      <c r="F746" t="s">
        <v>1150</v>
      </c>
      <c r="G746" t="s">
        <v>1154</v>
      </c>
      <c r="H746">
        <v>2</v>
      </c>
      <c r="I746">
        <v>39703</v>
      </c>
      <c r="J746" s="6">
        <v>15</v>
      </c>
      <c r="K746">
        <v>33747.550000000003</v>
      </c>
      <c r="L746">
        <v>67495.100000000006</v>
      </c>
      <c r="M746">
        <v>1500</v>
      </c>
      <c r="N746" t="s">
        <v>1161</v>
      </c>
      <c r="O746" t="s">
        <v>1164</v>
      </c>
      <c r="P746" s="10">
        <v>45726</v>
      </c>
      <c r="Q746" t="str">
        <f t="shared" si="33"/>
        <v>excellent</v>
      </c>
      <c r="R746">
        <f t="shared" si="34"/>
        <v>3</v>
      </c>
      <c r="S746" s="6">
        <f t="shared" si="35"/>
        <v>8</v>
      </c>
    </row>
    <row r="747" spans="1:19" x14ac:dyDescent="0.3">
      <c r="A747" s="10">
        <v>45776</v>
      </c>
      <c r="B747" t="s">
        <v>756</v>
      </c>
      <c r="C747" t="s">
        <v>1132</v>
      </c>
      <c r="D747" t="s">
        <v>1134</v>
      </c>
      <c r="E747" t="s">
        <v>1148</v>
      </c>
      <c r="F747" t="s">
        <v>1149</v>
      </c>
      <c r="G747" t="s">
        <v>1152</v>
      </c>
      <c r="H747">
        <v>3</v>
      </c>
      <c r="I747">
        <v>51035</v>
      </c>
      <c r="J747" s="6">
        <v>15</v>
      </c>
      <c r="K747">
        <v>43379.75</v>
      </c>
      <c r="L747">
        <v>130139.25</v>
      </c>
      <c r="M747">
        <v>2000</v>
      </c>
      <c r="N747" t="s">
        <v>1161</v>
      </c>
      <c r="O747" t="s">
        <v>1162</v>
      </c>
      <c r="Q747" t="str">
        <f t="shared" si="33"/>
        <v>okay</v>
      </c>
      <c r="R747">
        <f t="shared" si="34"/>
        <v>2</v>
      </c>
      <c r="S747" s="6">
        <f t="shared" si="35"/>
        <v>0</v>
      </c>
    </row>
    <row r="748" spans="1:19" x14ac:dyDescent="0.3">
      <c r="A748" s="10">
        <v>45732</v>
      </c>
      <c r="B748" t="s">
        <v>757</v>
      </c>
      <c r="C748" t="s">
        <v>1128</v>
      </c>
      <c r="D748" t="s">
        <v>1135</v>
      </c>
      <c r="E748" t="s">
        <v>1143</v>
      </c>
      <c r="F748" t="s">
        <v>1151</v>
      </c>
      <c r="G748" t="s">
        <v>1157</v>
      </c>
      <c r="H748">
        <v>5</v>
      </c>
      <c r="I748">
        <v>60687</v>
      </c>
      <c r="J748" s="6">
        <v>10</v>
      </c>
      <c r="K748">
        <v>54618.3</v>
      </c>
      <c r="L748">
        <v>273091.5</v>
      </c>
      <c r="M748">
        <v>1000</v>
      </c>
      <c r="N748" t="s">
        <v>1161</v>
      </c>
      <c r="O748" t="s">
        <v>1164</v>
      </c>
      <c r="P748" s="10">
        <v>45735</v>
      </c>
      <c r="Q748" t="str">
        <f t="shared" si="33"/>
        <v>excellent</v>
      </c>
      <c r="R748">
        <f t="shared" si="34"/>
        <v>3</v>
      </c>
      <c r="S748" s="6">
        <f t="shared" si="35"/>
        <v>3</v>
      </c>
    </row>
    <row r="749" spans="1:19" x14ac:dyDescent="0.3">
      <c r="A749" s="10">
        <v>45837</v>
      </c>
      <c r="B749" t="s">
        <v>758</v>
      </c>
      <c r="C749" t="s">
        <v>1119</v>
      </c>
      <c r="D749" t="s">
        <v>1134</v>
      </c>
      <c r="E749" t="s">
        <v>1141</v>
      </c>
      <c r="F749" t="s">
        <v>1151</v>
      </c>
      <c r="G749" t="s">
        <v>1155</v>
      </c>
      <c r="H749">
        <v>5</v>
      </c>
      <c r="I749">
        <v>75461</v>
      </c>
      <c r="J749" s="6">
        <v>0</v>
      </c>
      <c r="K749">
        <v>75461</v>
      </c>
      <c r="L749">
        <v>377305</v>
      </c>
      <c r="M749">
        <v>2000</v>
      </c>
      <c r="N749" t="s">
        <v>1160</v>
      </c>
      <c r="O749" t="s">
        <v>1162</v>
      </c>
      <c r="Q749" t="str">
        <f t="shared" si="33"/>
        <v>okay</v>
      </c>
      <c r="R749">
        <f t="shared" si="34"/>
        <v>2</v>
      </c>
      <c r="S749" s="6">
        <f t="shared" si="35"/>
        <v>0</v>
      </c>
    </row>
    <row r="750" spans="1:19" x14ac:dyDescent="0.3">
      <c r="A750" s="10">
        <v>45776</v>
      </c>
      <c r="B750" t="s">
        <v>759</v>
      </c>
      <c r="C750" t="s">
        <v>1119</v>
      </c>
      <c r="D750" t="s">
        <v>1134</v>
      </c>
      <c r="E750" t="s">
        <v>1139</v>
      </c>
      <c r="F750" t="s">
        <v>1150</v>
      </c>
      <c r="G750" t="s">
        <v>1154</v>
      </c>
      <c r="H750">
        <v>1</v>
      </c>
      <c r="I750">
        <v>28829</v>
      </c>
      <c r="J750" s="6">
        <v>15</v>
      </c>
      <c r="K750">
        <v>24504.65</v>
      </c>
      <c r="L750">
        <v>24504.65</v>
      </c>
      <c r="M750">
        <v>2000</v>
      </c>
      <c r="N750" t="s">
        <v>1159</v>
      </c>
      <c r="O750" t="s">
        <v>1163</v>
      </c>
      <c r="Q750" t="str">
        <f t="shared" si="33"/>
        <v>no comment</v>
      </c>
      <c r="R750">
        <f t="shared" si="34"/>
        <v>1</v>
      </c>
      <c r="S750" s="6">
        <f t="shared" si="35"/>
        <v>0</v>
      </c>
    </row>
    <row r="751" spans="1:19" x14ac:dyDescent="0.3">
      <c r="A751" s="10">
        <v>45762</v>
      </c>
      <c r="B751" t="s">
        <v>760</v>
      </c>
      <c r="C751" t="s">
        <v>1126</v>
      </c>
      <c r="D751" t="s">
        <v>1133</v>
      </c>
      <c r="E751" t="s">
        <v>1139</v>
      </c>
      <c r="F751" t="s">
        <v>1150</v>
      </c>
      <c r="G751" t="s">
        <v>1154</v>
      </c>
      <c r="H751">
        <v>3</v>
      </c>
      <c r="I751">
        <v>69356</v>
      </c>
      <c r="J751" s="6">
        <v>20</v>
      </c>
      <c r="K751">
        <v>55484.800000000003</v>
      </c>
      <c r="L751">
        <v>166454.39999999999</v>
      </c>
      <c r="M751">
        <v>1500</v>
      </c>
      <c r="N751" t="s">
        <v>1159</v>
      </c>
      <c r="O751" t="s">
        <v>1162</v>
      </c>
      <c r="Q751" t="str">
        <f t="shared" si="33"/>
        <v>okay</v>
      </c>
      <c r="R751">
        <f t="shared" si="34"/>
        <v>2</v>
      </c>
      <c r="S751" s="6">
        <f t="shared" si="35"/>
        <v>0</v>
      </c>
    </row>
    <row r="752" spans="1:19" x14ac:dyDescent="0.3">
      <c r="A752" s="10">
        <v>45778</v>
      </c>
      <c r="B752" t="s">
        <v>761</v>
      </c>
      <c r="C752" t="s">
        <v>1117</v>
      </c>
      <c r="D752" t="s">
        <v>1133</v>
      </c>
      <c r="E752" t="s">
        <v>1145</v>
      </c>
      <c r="F752" t="s">
        <v>1149</v>
      </c>
      <c r="G752" t="s">
        <v>1153</v>
      </c>
      <c r="H752">
        <v>2</v>
      </c>
      <c r="I752">
        <v>68548</v>
      </c>
      <c r="J752" s="6">
        <v>5</v>
      </c>
      <c r="K752">
        <v>65120.6</v>
      </c>
      <c r="L752">
        <v>130241.2</v>
      </c>
      <c r="M752">
        <v>2000</v>
      </c>
      <c r="N752" t="s">
        <v>1160</v>
      </c>
      <c r="O752" t="s">
        <v>1163</v>
      </c>
      <c r="Q752" t="str">
        <f t="shared" si="33"/>
        <v>no comment</v>
      </c>
      <c r="R752">
        <f t="shared" si="34"/>
        <v>1</v>
      </c>
      <c r="S752" s="6">
        <f t="shared" si="35"/>
        <v>0</v>
      </c>
    </row>
    <row r="753" spans="1:19" x14ac:dyDescent="0.3">
      <c r="A753" s="10">
        <v>45718</v>
      </c>
      <c r="B753" t="s">
        <v>762</v>
      </c>
      <c r="C753" t="s">
        <v>1123</v>
      </c>
      <c r="D753" t="s">
        <v>1135</v>
      </c>
      <c r="E753" t="s">
        <v>1139</v>
      </c>
      <c r="F753" t="s">
        <v>1150</v>
      </c>
      <c r="G753" t="s">
        <v>1154</v>
      </c>
      <c r="H753">
        <v>1</v>
      </c>
      <c r="I753">
        <v>49677</v>
      </c>
      <c r="J753" s="6">
        <v>20</v>
      </c>
      <c r="K753">
        <v>39741.599999999999</v>
      </c>
      <c r="L753">
        <v>39741.599999999999</v>
      </c>
      <c r="M753">
        <v>2000</v>
      </c>
      <c r="N753" t="s">
        <v>1159</v>
      </c>
      <c r="O753" t="s">
        <v>1162</v>
      </c>
      <c r="Q753" t="str">
        <f t="shared" si="33"/>
        <v>okay</v>
      </c>
      <c r="R753">
        <f t="shared" si="34"/>
        <v>2</v>
      </c>
      <c r="S753" s="6">
        <f t="shared" si="35"/>
        <v>0</v>
      </c>
    </row>
    <row r="754" spans="1:19" x14ac:dyDescent="0.3">
      <c r="A754" s="10">
        <v>45742</v>
      </c>
      <c r="B754" t="s">
        <v>763</v>
      </c>
      <c r="C754" t="s">
        <v>1123</v>
      </c>
      <c r="D754" t="s">
        <v>1135</v>
      </c>
      <c r="E754" t="s">
        <v>1144</v>
      </c>
      <c r="F754" t="s">
        <v>1151</v>
      </c>
      <c r="G754" t="s">
        <v>1157</v>
      </c>
      <c r="H754">
        <v>1</v>
      </c>
      <c r="I754">
        <v>31078</v>
      </c>
      <c r="J754" s="6">
        <v>0</v>
      </c>
      <c r="K754">
        <v>31078</v>
      </c>
      <c r="L754">
        <v>31078</v>
      </c>
      <c r="M754">
        <v>1000</v>
      </c>
      <c r="N754" t="s">
        <v>1160</v>
      </c>
      <c r="O754" t="s">
        <v>1163</v>
      </c>
      <c r="Q754" t="str">
        <f t="shared" si="33"/>
        <v>no comment</v>
      </c>
      <c r="R754">
        <f t="shared" si="34"/>
        <v>1</v>
      </c>
      <c r="S754" s="6">
        <f t="shared" si="35"/>
        <v>0</v>
      </c>
    </row>
    <row r="755" spans="1:19" x14ac:dyDescent="0.3">
      <c r="A755" s="10">
        <v>45661</v>
      </c>
      <c r="B755" t="s">
        <v>764</v>
      </c>
      <c r="C755" t="s">
        <v>1125</v>
      </c>
      <c r="D755" t="s">
        <v>1133</v>
      </c>
      <c r="E755" t="s">
        <v>1146</v>
      </c>
      <c r="F755" t="s">
        <v>1151</v>
      </c>
      <c r="G755" t="s">
        <v>1155</v>
      </c>
      <c r="H755">
        <v>3</v>
      </c>
      <c r="I755">
        <v>66135</v>
      </c>
      <c r="J755" s="6">
        <v>0</v>
      </c>
      <c r="K755">
        <v>66135</v>
      </c>
      <c r="L755">
        <v>198405</v>
      </c>
      <c r="M755">
        <v>1500</v>
      </c>
      <c r="N755" t="s">
        <v>1160</v>
      </c>
      <c r="O755" t="s">
        <v>1162</v>
      </c>
      <c r="Q755" t="str">
        <f t="shared" si="33"/>
        <v>okay</v>
      </c>
      <c r="R755">
        <f t="shared" si="34"/>
        <v>2</v>
      </c>
      <c r="S755" s="6">
        <f t="shared" si="35"/>
        <v>0</v>
      </c>
    </row>
    <row r="756" spans="1:19" x14ac:dyDescent="0.3">
      <c r="A756" s="10">
        <v>45731</v>
      </c>
      <c r="B756" t="s">
        <v>765</v>
      </c>
      <c r="C756" t="s">
        <v>1129</v>
      </c>
      <c r="D756" t="s">
        <v>1133</v>
      </c>
      <c r="E756" t="s">
        <v>1144</v>
      </c>
      <c r="F756" t="s">
        <v>1151</v>
      </c>
      <c r="G756" t="s">
        <v>1157</v>
      </c>
      <c r="H756">
        <v>1</v>
      </c>
      <c r="I756">
        <v>67773</v>
      </c>
      <c r="J756" s="6">
        <v>0</v>
      </c>
      <c r="K756">
        <v>67773</v>
      </c>
      <c r="L756">
        <v>67773</v>
      </c>
      <c r="M756">
        <v>1000</v>
      </c>
      <c r="N756" t="s">
        <v>1161</v>
      </c>
      <c r="O756" t="s">
        <v>1164</v>
      </c>
      <c r="P756" s="10">
        <v>45743</v>
      </c>
      <c r="Q756" t="str">
        <f t="shared" si="33"/>
        <v>excellent</v>
      </c>
      <c r="R756">
        <f t="shared" si="34"/>
        <v>3</v>
      </c>
      <c r="S756" s="6">
        <f t="shared" si="35"/>
        <v>12</v>
      </c>
    </row>
    <row r="757" spans="1:19" x14ac:dyDescent="0.3">
      <c r="A757" s="10">
        <v>45796</v>
      </c>
      <c r="B757" t="s">
        <v>766</v>
      </c>
      <c r="C757" t="s">
        <v>1129</v>
      </c>
      <c r="D757" t="s">
        <v>1133</v>
      </c>
      <c r="E757" t="s">
        <v>1138</v>
      </c>
      <c r="F757" t="s">
        <v>1149</v>
      </c>
      <c r="G757" t="s">
        <v>1153</v>
      </c>
      <c r="H757">
        <v>2</v>
      </c>
      <c r="I757">
        <v>48369</v>
      </c>
      <c r="J757" s="6">
        <v>5</v>
      </c>
      <c r="K757">
        <v>45950.55</v>
      </c>
      <c r="L757">
        <v>91901.1</v>
      </c>
      <c r="M757">
        <v>1500</v>
      </c>
      <c r="N757" t="s">
        <v>1160</v>
      </c>
      <c r="O757" t="s">
        <v>1162</v>
      </c>
      <c r="Q757" t="str">
        <f t="shared" si="33"/>
        <v>okay</v>
      </c>
      <c r="R757">
        <f t="shared" si="34"/>
        <v>2</v>
      </c>
      <c r="S757" s="6">
        <f t="shared" si="35"/>
        <v>0</v>
      </c>
    </row>
    <row r="758" spans="1:19" x14ac:dyDescent="0.3">
      <c r="A758" s="10">
        <v>45685</v>
      </c>
      <c r="B758" t="s">
        <v>767</v>
      </c>
      <c r="C758" t="s">
        <v>1128</v>
      </c>
      <c r="D758" t="s">
        <v>1135</v>
      </c>
      <c r="E758" t="s">
        <v>1144</v>
      </c>
      <c r="F758" t="s">
        <v>1151</v>
      </c>
      <c r="G758" t="s">
        <v>1157</v>
      </c>
      <c r="H758">
        <v>4</v>
      </c>
      <c r="I758">
        <v>7775</v>
      </c>
      <c r="J758" s="6">
        <v>5</v>
      </c>
      <c r="K758">
        <v>7386.25</v>
      </c>
      <c r="L758">
        <v>29545</v>
      </c>
      <c r="M758">
        <v>2000</v>
      </c>
      <c r="N758" t="s">
        <v>1160</v>
      </c>
      <c r="O758" t="s">
        <v>1162</v>
      </c>
      <c r="Q758" t="str">
        <f t="shared" si="33"/>
        <v>okay</v>
      </c>
      <c r="R758">
        <f t="shared" si="34"/>
        <v>2</v>
      </c>
      <c r="S758" s="6">
        <f t="shared" si="35"/>
        <v>0</v>
      </c>
    </row>
    <row r="759" spans="1:19" x14ac:dyDescent="0.3">
      <c r="A759" s="10">
        <v>45700</v>
      </c>
      <c r="B759" t="s">
        <v>768</v>
      </c>
      <c r="C759" t="s">
        <v>1125</v>
      </c>
      <c r="D759" t="s">
        <v>1133</v>
      </c>
      <c r="E759" t="s">
        <v>1141</v>
      </c>
      <c r="F759" t="s">
        <v>1151</v>
      </c>
      <c r="G759" t="s">
        <v>1155</v>
      </c>
      <c r="H759">
        <v>4</v>
      </c>
      <c r="I759">
        <v>1864</v>
      </c>
      <c r="J759" s="6">
        <v>20</v>
      </c>
      <c r="K759">
        <v>1491.2</v>
      </c>
      <c r="L759">
        <v>5964.8</v>
      </c>
      <c r="M759">
        <v>1000</v>
      </c>
      <c r="N759" t="s">
        <v>1160</v>
      </c>
      <c r="O759" t="s">
        <v>1163</v>
      </c>
      <c r="Q759" t="str">
        <f t="shared" si="33"/>
        <v>no comment</v>
      </c>
      <c r="R759">
        <f t="shared" si="34"/>
        <v>1</v>
      </c>
      <c r="S759" s="6">
        <f t="shared" si="35"/>
        <v>0</v>
      </c>
    </row>
    <row r="760" spans="1:19" x14ac:dyDescent="0.3">
      <c r="A760" s="10">
        <v>45803</v>
      </c>
      <c r="B760" t="s">
        <v>769</v>
      </c>
      <c r="C760" t="s">
        <v>1132</v>
      </c>
      <c r="D760" t="s">
        <v>1134</v>
      </c>
      <c r="E760" t="s">
        <v>1145</v>
      </c>
      <c r="F760" t="s">
        <v>1149</v>
      </c>
      <c r="G760" t="s">
        <v>1153</v>
      </c>
      <c r="H760">
        <v>3</v>
      </c>
      <c r="I760">
        <v>10244</v>
      </c>
      <c r="J760" s="6">
        <v>0</v>
      </c>
      <c r="K760">
        <v>10244</v>
      </c>
      <c r="L760">
        <v>30732</v>
      </c>
      <c r="M760">
        <v>2000</v>
      </c>
      <c r="N760" t="s">
        <v>1159</v>
      </c>
      <c r="O760" t="s">
        <v>1162</v>
      </c>
      <c r="Q760" t="str">
        <f t="shared" si="33"/>
        <v>okay</v>
      </c>
      <c r="R760">
        <f t="shared" si="34"/>
        <v>2</v>
      </c>
      <c r="S760" s="6">
        <f t="shared" si="35"/>
        <v>0</v>
      </c>
    </row>
    <row r="761" spans="1:19" x14ac:dyDescent="0.3">
      <c r="A761" s="10">
        <v>45726</v>
      </c>
      <c r="B761" t="s">
        <v>770</v>
      </c>
      <c r="C761" t="s">
        <v>1124</v>
      </c>
      <c r="D761" t="s">
        <v>1135</v>
      </c>
      <c r="E761" t="s">
        <v>1140</v>
      </c>
      <c r="F761" t="s">
        <v>1150</v>
      </c>
      <c r="G761" t="s">
        <v>1154</v>
      </c>
      <c r="H761">
        <v>2</v>
      </c>
      <c r="I761">
        <v>62808</v>
      </c>
      <c r="J761" s="6">
        <v>10</v>
      </c>
      <c r="K761">
        <v>56527.199999999997</v>
      </c>
      <c r="L761">
        <v>113054.39999999999</v>
      </c>
      <c r="M761">
        <v>1500</v>
      </c>
      <c r="N761" t="s">
        <v>1160</v>
      </c>
      <c r="O761" t="s">
        <v>1163</v>
      </c>
      <c r="Q761" t="str">
        <f t="shared" si="33"/>
        <v>no comment</v>
      </c>
      <c r="R761">
        <f t="shared" si="34"/>
        <v>1</v>
      </c>
      <c r="S761" s="6">
        <f t="shared" si="35"/>
        <v>0</v>
      </c>
    </row>
    <row r="762" spans="1:19" x14ac:dyDescent="0.3">
      <c r="A762" s="10">
        <v>45756</v>
      </c>
      <c r="B762" t="s">
        <v>771</v>
      </c>
      <c r="C762" t="s">
        <v>1132</v>
      </c>
      <c r="D762" t="s">
        <v>1134</v>
      </c>
      <c r="E762" t="s">
        <v>1140</v>
      </c>
      <c r="F762" t="s">
        <v>1150</v>
      </c>
      <c r="G762" t="s">
        <v>1154</v>
      </c>
      <c r="H762">
        <v>2</v>
      </c>
      <c r="I762">
        <v>24110</v>
      </c>
      <c r="J762" s="6">
        <v>5</v>
      </c>
      <c r="K762">
        <v>22904.5</v>
      </c>
      <c r="L762">
        <v>45809</v>
      </c>
      <c r="M762">
        <v>1500</v>
      </c>
      <c r="N762" t="s">
        <v>1159</v>
      </c>
      <c r="O762" t="s">
        <v>1164</v>
      </c>
      <c r="P762" s="10">
        <v>45762</v>
      </c>
      <c r="Q762" t="str">
        <f t="shared" si="33"/>
        <v>excellent</v>
      </c>
      <c r="R762">
        <f t="shared" si="34"/>
        <v>3</v>
      </c>
      <c r="S762" s="6">
        <f t="shared" si="35"/>
        <v>6</v>
      </c>
    </row>
    <row r="763" spans="1:19" x14ac:dyDescent="0.3">
      <c r="A763" s="10">
        <v>45787</v>
      </c>
      <c r="B763" t="s">
        <v>772</v>
      </c>
      <c r="C763" t="s">
        <v>1127</v>
      </c>
      <c r="D763" t="s">
        <v>1134</v>
      </c>
      <c r="E763" t="s">
        <v>1148</v>
      </c>
      <c r="F763" t="s">
        <v>1149</v>
      </c>
      <c r="G763" t="s">
        <v>1152</v>
      </c>
      <c r="H763">
        <v>5</v>
      </c>
      <c r="I763">
        <v>53538</v>
      </c>
      <c r="J763" s="6">
        <v>10</v>
      </c>
      <c r="K763">
        <v>48184.2</v>
      </c>
      <c r="L763">
        <v>240921</v>
      </c>
      <c r="M763">
        <v>1000</v>
      </c>
      <c r="N763" t="s">
        <v>1160</v>
      </c>
      <c r="O763" t="s">
        <v>1162</v>
      </c>
      <c r="Q763" t="str">
        <f t="shared" si="33"/>
        <v>okay</v>
      </c>
      <c r="R763">
        <f t="shared" si="34"/>
        <v>2</v>
      </c>
      <c r="S763" s="6">
        <f t="shared" si="35"/>
        <v>0</v>
      </c>
    </row>
    <row r="764" spans="1:19" x14ac:dyDescent="0.3">
      <c r="A764" s="10">
        <v>45835</v>
      </c>
      <c r="B764" t="s">
        <v>773</v>
      </c>
      <c r="C764" t="s">
        <v>1119</v>
      </c>
      <c r="D764" t="s">
        <v>1134</v>
      </c>
      <c r="E764" t="s">
        <v>1137</v>
      </c>
      <c r="F764" t="s">
        <v>1149</v>
      </c>
      <c r="G764" t="s">
        <v>1152</v>
      </c>
      <c r="H764">
        <v>3</v>
      </c>
      <c r="I764">
        <v>24426</v>
      </c>
      <c r="J764" s="6">
        <v>5</v>
      </c>
      <c r="K764">
        <v>23204.7</v>
      </c>
      <c r="L764">
        <v>69614.100000000006</v>
      </c>
      <c r="M764">
        <v>2000</v>
      </c>
      <c r="N764" t="s">
        <v>1161</v>
      </c>
      <c r="O764" t="s">
        <v>1163</v>
      </c>
      <c r="Q764" t="str">
        <f t="shared" si="33"/>
        <v>no comment</v>
      </c>
      <c r="R764">
        <f t="shared" si="34"/>
        <v>1</v>
      </c>
      <c r="S764" s="6">
        <f t="shared" si="35"/>
        <v>0</v>
      </c>
    </row>
    <row r="765" spans="1:19" x14ac:dyDescent="0.3">
      <c r="A765" s="10">
        <v>45678</v>
      </c>
      <c r="B765" t="s">
        <v>774</v>
      </c>
      <c r="C765" t="s">
        <v>1127</v>
      </c>
      <c r="D765" t="s">
        <v>1134</v>
      </c>
      <c r="E765" t="s">
        <v>1142</v>
      </c>
      <c r="F765" t="s">
        <v>1150</v>
      </c>
      <c r="G765" t="s">
        <v>1156</v>
      </c>
      <c r="H765">
        <v>1</v>
      </c>
      <c r="I765">
        <v>11885</v>
      </c>
      <c r="J765" s="6">
        <v>20</v>
      </c>
      <c r="K765">
        <v>9508</v>
      </c>
      <c r="L765">
        <v>9508</v>
      </c>
      <c r="M765">
        <v>1000</v>
      </c>
      <c r="N765" t="s">
        <v>1159</v>
      </c>
      <c r="O765" t="s">
        <v>1162</v>
      </c>
      <c r="Q765" t="str">
        <f t="shared" si="33"/>
        <v>okay</v>
      </c>
      <c r="R765">
        <f t="shared" si="34"/>
        <v>2</v>
      </c>
      <c r="S765" s="6">
        <f t="shared" si="35"/>
        <v>0</v>
      </c>
    </row>
    <row r="766" spans="1:19" x14ac:dyDescent="0.3">
      <c r="A766" s="10">
        <v>45670</v>
      </c>
      <c r="B766" t="s">
        <v>775</v>
      </c>
      <c r="C766" t="s">
        <v>1123</v>
      </c>
      <c r="D766" t="s">
        <v>1135</v>
      </c>
      <c r="E766" t="s">
        <v>1137</v>
      </c>
      <c r="F766" t="s">
        <v>1149</v>
      </c>
      <c r="G766" t="s">
        <v>1152</v>
      </c>
      <c r="H766">
        <v>1</v>
      </c>
      <c r="I766">
        <v>70653</v>
      </c>
      <c r="J766" s="6">
        <v>10</v>
      </c>
      <c r="K766">
        <v>63587.7</v>
      </c>
      <c r="L766">
        <v>63587.7</v>
      </c>
      <c r="M766">
        <v>2000</v>
      </c>
      <c r="N766" t="s">
        <v>1161</v>
      </c>
      <c r="O766" t="s">
        <v>1164</v>
      </c>
      <c r="P766" s="10">
        <v>45682</v>
      </c>
      <c r="Q766" t="str">
        <f t="shared" si="33"/>
        <v>excellent</v>
      </c>
      <c r="R766">
        <f t="shared" si="34"/>
        <v>3</v>
      </c>
      <c r="S766" s="6">
        <f t="shared" si="35"/>
        <v>12</v>
      </c>
    </row>
    <row r="767" spans="1:19" x14ac:dyDescent="0.3">
      <c r="A767" s="10">
        <v>45734</v>
      </c>
      <c r="B767" t="s">
        <v>776</v>
      </c>
      <c r="C767" t="s">
        <v>1120</v>
      </c>
      <c r="D767" t="s">
        <v>1135</v>
      </c>
      <c r="E767" t="s">
        <v>1137</v>
      </c>
      <c r="F767" t="s">
        <v>1149</v>
      </c>
      <c r="G767" t="s">
        <v>1152</v>
      </c>
      <c r="H767">
        <v>5</v>
      </c>
      <c r="I767">
        <v>25691</v>
      </c>
      <c r="J767" s="6">
        <v>10</v>
      </c>
      <c r="K767">
        <v>23121.9</v>
      </c>
      <c r="L767">
        <v>115609.5</v>
      </c>
      <c r="M767">
        <v>1500</v>
      </c>
      <c r="N767" t="s">
        <v>1161</v>
      </c>
      <c r="O767" t="s">
        <v>1163</v>
      </c>
      <c r="Q767" t="str">
        <f t="shared" si="33"/>
        <v>no comment</v>
      </c>
      <c r="R767">
        <f t="shared" si="34"/>
        <v>1</v>
      </c>
      <c r="S767" s="6">
        <f t="shared" si="35"/>
        <v>0</v>
      </c>
    </row>
    <row r="768" spans="1:19" x14ac:dyDescent="0.3">
      <c r="A768" s="10">
        <v>45700</v>
      </c>
      <c r="B768" t="s">
        <v>777</v>
      </c>
      <c r="C768" t="s">
        <v>1117</v>
      </c>
      <c r="D768" t="s">
        <v>1133</v>
      </c>
      <c r="E768" t="s">
        <v>1145</v>
      </c>
      <c r="F768" t="s">
        <v>1149</v>
      </c>
      <c r="G768" t="s">
        <v>1153</v>
      </c>
      <c r="H768">
        <v>4</v>
      </c>
      <c r="I768">
        <v>26701</v>
      </c>
      <c r="J768" s="6">
        <v>15</v>
      </c>
      <c r="K768">
        <v>22695.85</v>
      </c>
      <c r="L768">
        <v>90783.4</v>
      </c>
      <c r="M768">
        <v>1500</v>
      </c>
      <c r="N768" t="s">
        <v>1160</v>
      </c>
      <c r="O768" t="s">
        <v>1162</v>
      </c>
      <c r="Q768" t="str">
        <f t="shared" si="33"/>
        <v>okay</v>
      </c>
      <c r="R768">
        <f t="shared" si="34"/>
        <v>2</v>
      </c>
      <c r="S768" s="6">
        <f t="shared" si="35"/>
        <v>0</v>
      </c>
    </row>
    <row r="769" spans="1:19" x14ac:dyDescent="0.3">
      <c r="A769" s="10">
        <v>45775</v>
      </c>
      <c r="B769" t="s">
        <v>778</v>
      </c>
      <c r="C769" t="s">
        <v>1131</v>
      </c>
      <c r="D769" t="s">
        <v>1136</v>
      </c>
      <c r="E769" t="s">
        <v>1143</v>
      </c>
      <c r="F769" t="s">
        <v>1151</v>
      </c>
      <c r="G769" t="s">
        <v>1157</v>
      </c>
      <c r="H769">
        <v>4</v>
      </c>
      <c r="I769">
        <v>77104</v>
      </c>
      <c r="J769" s="6">
        <v>5</v>
      </c>
      <c r="K769">
        <v>73248.800000000003</v>
      </c>
      <c r="L769">
        <v>292995.20000000001</v>
      </c>
      <c r="M769">
        <v>1000</v>
      </c>
      <c r="N769" t="s">
        <v>1159</v>
      </c>
      <c r="O769" t="s">
        <v>1163</v>
      </c>
      <c r="Q769" t="str">
        <f t="shared" si="33"/>
        <v>no comment</v>
      </c>
      <c r="R769">
        <f t="shared" si="34"/>
        <v>1</v>
      </c>
      <c r="S769" s="6">
        <f t="shared" si="35"/>
        <v>0</v>
      </c>
    </row>
    <row r="770" spans="1:19" x14ac:dyDescent="0.3">
      <c r="A770" s="10">
        <v>45713</v>
      </c>
      <c r="B770" t="s">
        <v>779</v>
      </c>
      <c r="C770" t="s">
        <v>1123</v>
      </c>
      <c r="D770" t="s">
        <v>1135</v>
      </c>
      <c r="E770" t="s">
        <v>1138</v>
      </c>
      <c r="F770" t="s">
        <v>1149</v>
      </c>
      <c r="G770" t="s">
        <v>1153</v>
      </c>
      <c r="H770">
        <v>4</v>
      </c>
      <c r="I770">
        <v>7258</v>
      </c>
      <c r="J770" s="6">
        <v>15</v>
      </c>
      <c r="K770">
        <v>6169.3</v>
      </c>
      <c r="L770">
        <v>24677.200000000001</v>
      </c>
      <c r="M770">
        <v>2000</v>
      </c>
      <c r="N770" t="s">
        <v>1161</v>
      </c>
      <c r="O770" t="s">
        <v>1162</v>
      </c>
      <c r="Q770" t="str">
        <f t="shared" ref="Q770:Q833" si="36">IF(O770="delivered","excellent",IF(O770="in transit","okay",IF(O770="failed","no comment")))</f>
        <v>okay</v>
      </c>
      <c r="R770">
        <f t="shared" si="34"/>
        <v>2</v>
      </c>
      <c r="S770" s="6">
        <f t="shared" si="35"/>
        <v>0</v>
      </c>
    </row>
    <row r="771" spans="1:19" x14ac:dyDescent="0.3">
      <c r="A771" s="10">
        <v>45722</v>
      </c>
      <c r="B771" t="s">
        <v>780</v>
      </c>
      <c r="C771" t="s">
        <v>1124</v>
      </c>
      <c r="D771" t="s">
        <v>1135</v>
      </c>
      <c r="E771" t="s">
        <v>1140</v>
      </c>
      <c r="F771" t="s">
        <v>1150</v>
      </c>
      <c r="G771" t="s">
        <v>1154</v>
      </c>
      <c r="H771">
        <v>1</v>
      </c>
      <c r="I771">
        <v>27182</v>
      </c>
      <c r="J771" s="6">
        <v>5</v>
      </c>
      <c r="K771">
        <v>25822.9</v>
      </c>
      <c r="L771">
        <v>25822.9</v>
      </c>
      <c r="M771">
        <v>1000</v>
      </c>
      <c r="N771" t="s">
        <v>1161</v>
      </c>
      <c r="O771" t="s">
        <v>1162</v>
      </c>
      <c r="Q771" t="str">
        <f t="shared" si="36"/>
        <v>okay</v>
      </c>
      <c r="R771">
        <f t="shared" ref="R771:R834" si="37">IF(Q771="excellent",3,IF(Q771="no comment",1,IF(Q771="okay",2)))</f>
        <v>2</v>
      </c>
      <c r="S771" s="6">
        <f t="shared" ref="S771:S834" si="38">(IFERROR(DATEDIF(A771,P771,"d"),0))</f>
        <v>0</v>
      </c>
    </row>
    <row r="772" spans="1:19" x14ac:dyDescent="0.3">
      <c r="A772" s="10">
        <v>45667</v>
      </c>
      <c r="B772" t="s">
        <v>781</v>
      </c>
      <c r="C772" t="s">
        <v>1128</v>
      </c>
      <c r="D772" t="s">
        <v>1135</v>
      </c>
      <c r="E772" t="s">
        <v>1139</v>
      </c>
      <c r="F772" t="s">
        <v>1150</v>
      </c>
      <c r="G772" t="s">
        <v>1154</v>
      </c>
      <c r="H772">
        <v>1</v>
      </c>
      <c r="I772">
        <v>26549</v>
      </c>
      <c r="J772" s="6">
        <v>20</v>
      </c>
      <c r="K772">
        <v>21239.200000000001</v>
      </c>
      <c r="L772">
        <v>21239.200000000001</v>
      </c>
      <c r="M772">
        <v>1500</v>
      </c>
      <c r="N772" t="s">
        <v>1160</v>
      </c>
      <c r="O772" t="s">
        <v>1162</v>
      </c>
      <c r="Q772" t="str">
        <f t="shared" si="36"/>
        <v>okay</v>
      </c>
      <c r="R772">
        <f t="shared" si="37"/>
        <v>2</v>
      </c>
      <c r="S772" s="6">
        <f t="shared" si="38"/>
        <v>0</v>
      </c>
    </row>
    <row r="773" spans="1:19" x14ac:dyDescent="0.3">
      <c r="A773" s="10">
        <v>45761</v>
      </c>
      <c r="B773" t="s">
        <v>782</v>
      </c>
      <c r="C773" t="s">
        <v>1123</v>
      </c>
      <c r="D773" t="s">
        <v>1135</v>
      </c>
      <c r="E773" t="s">
        <v>1145</v>
      </c>
      <c r="F773" t="s">
        <v>1149</v>
      </c>
      <c r="G773" t="s">
        <v>1153</v>
      </c>
      <c r="H773">
        <v>4</v>
      </c>
      <c r="I773">
        <v>8983</v>
      </c>
      <c r="J773" s="6">
        <v>0</v>
      </c>
      <c r="K773">
        <v>8983</v>
      </c>
      <c r="L773">
        <v>35932</v>
      </c>
      <c r="M773">
        <v>1000</v>
      </c>
      <c r="N773" t="s">
        <v>1160</v>
      </c>
      <c r="O773" t="s">
        <v>1163</v>
      </c>
      <c r="Q773" t="str">
        <f t="shared" si="36"/>
        <v>no comment</v>
      </c>
      <c r="R773">
        <f t="shared" si="37"/>
        <v>1</v>
      </c>
      <c r="S773" s="6">
        <f t="shared" si="38"/>
        <v>0</v>
      </c>
    </row>
    <row r="774" spans="1:19" x14ac:dyDescent="0.3">
      <c r="A774" s="10">
        <v>45681</v>
      </c>
      <c r="B774" t="s">
        <v>783</v>
      </c>
      <c r="C774" t="s">
        <v>1131</v>
      </c>
      <c r="D774" t="s">
        <v>1136</v>
      </c>
      <c r="E774" t="s">
        <v>1145</v>
      </c>
      <c r="F774" t="s">
        <v>1149</v>
      </c>
      <c r="G774" t="s">
        <v>1153</v>
      </c>
      <c r="H774">
        <v>4</v>
      </c>
      <c r="I774">
        <v>34815</v>
      </c>
      <c r="J774" s="6">
        <v>15</v>
      </c>
      <c r="K774">
        <v>29592.75</v>
      </c>
      <c r="L774">
        <v>118371</v>
      </c>
      <c r="M774">
        <v>1500</v>
      </c>
      <c r="N774" t="s">
        <v>1159</v>
      </c>
      <c r="O774" t="s">
        <v>1163</v>
      </c>
      <c r="Q774" t="str">
        <f t="shared" si="36"/>
        <v>no comment</v>
      </c>
      <c r="R774">
        <f t="shared" si="37"/>
        <v>1</v>
      </c>
      <c r="S774" s="6">
        <f t="shared" si="38"/>
        <v>0</v>
      </c>
    </row>
    <row r="775" spans="1:19" x14ac:dyDescent="0.3">
      <c r="A775" s="10">
        <v>45769</v>
      </c>
      <c r="B775" t="s">
        <v>784</v>
      </c>
      <c r="C775" t="s">
        <v>1130</v>
      </c>
      <c r="D775" t="s">
        <v>1136</v>
      </c>
      <c r="E775" t="s">
        <v>1141</v>
      </c>
      <c r="F775" t="s">
        <v>1151</v>
      </c>
      <c r="G775" t="s">
        <v>1155</v>
      </c>
      <c r="H775">
        <v>1</v>
      </c>
      <c r="I775">
        <v>51352</v>
      </c>
      <c r="J775" s="6">
        <v>20</v>
      </c>
      <c r="K775">
        <v>41081.599999999999</v>
      </c>
      <c r="L775">
        <v>41081.599999999999</v>
      </c>
      <c r="M775">
        <v>1000</v>
      </c>
      <c r="N775" t="s">
        <v>1160</v>
      </c>
      <c r="O775" t="s">
        <v>1162</v>
      </c>
      <c r="Q775" t="str">
        <f t="shared" si="36"/>
        <v>okay</v>
      </c>
      <c r="R775">
        <f t="shared" si="37"/>
        <v>2</v>
      </c>
      <c r="S775" s="6">
        <f t="shared" si="38"/>
        <v>0</v>
      </c>
    </row>
    <row r="776" spans="1:19" x14ac:dyDescent="0.3">
      <c r="A776" s="10">
        <v>45667</v>
      </c>
      <c r="B776" t="s">
        <v>785</v>
      </c>
      <c r="C776" t="s">
        <v>1131</v>
      </c>
      <c r="D776" t="s">
        <v>1136</v>
      </c>
      <c r="E776" t="s">
        <v>1140</v>
      </c>
      <c r="F776" t="s">
        <v>1150</v>
      </c>
      <c r="G776" t="s">
        <v>1154</v>
      </c>
      <c r="H776">
        <v>1</v>
      </c>
      <c r="I776">
        <v>12368</v>
      </c>
      <c r="J776" s="6">
        <v>15</v>
      </c>
      <c r="K776">
        <v>10512.8</v>
      </c>
      <c r="L776">
        <v>10512.8</v>
      </c>
      <c r="M776">
        <v>1500</v>
      </c>
      <c r="N776" t="s">
        <v>1161</v>
      </c>
      <c r="O776" t="s">
        <v>1162</v>
      </c>
      <c r="Q776" t="str">
        <f t="shared" si="36"/>
        <v>okay</v>
      </c>
      <c r="R776">
        <f t="shared" si="37"/>
        <v>2</v>
      </c>
      <c r="S776" s="6">
        <f t="shared" si="38"/>
        <v>0</v>
      </c>
    </row>
    <row r="777" spans="1:19" x14ac:dyDescent="0.3">
      <c r="A777" s="10">
        <v>45663</v>
      </c>
      <c r="B777" t="s">
        <v>786</v>
      </c>
      <c r="C777" t="s">
        <v>1125</v>
      </c>
      <c r="D777" t="s">
        <v>1133</v>
      </c>
      <c r="E777" t="s">
        <v>1146</v>
      </c>
      <c r="F777" t="s">
        <v>1151</v>
      </c>
      <c r="G777" t="s">
        <v>1155</v>
      </c>
      <c r="H777">
        <v>1</v>
      </c>
      <c r="I777">
        <v>46155</v>
      </c>
      <c r="J777" s="6">
        <v>5</v>
      </c>
      <c r="K777">
        <v>43847.25</v>
      </c>
      <c r="L777">
        <v>43847.25</v>
      </c>
      <c r="M777">
        <v>1000</v>
      </c>
      <c r="N777" t="s">
        <v>1160</v>
      </c>
      <c r="O777" t="s">
        <v>1163</v>
      </c>
      <c r="Q777" t="str">
        <f t="shared" si="36"/>
        <v>no comment</v>
      </c>
      <c r="R777">
        <f t="shared" si="37"/>
        <v>1</v>
      </c>
      <c r="S777" s="6">
        <f t="shared" si="38"/>
        <v>0</v>
      </c>
    </row>
    <row r="778" spans="1:19" x14ac:dyDescent="0.3">
      <c r="A778" s="10">
        <v>45741</v>
      </c>
      <c r="B778" t="s">
        <v>787</v>
      </c>
      <c r="C778" t="s">
        <v>1126</v>
      </c>
      <c r="D778" t="s">
        <v>1133</v>
      </c>
      <c r="E778" t="s">
        <v>1147</v>
      </c>
      <c r="F778" t="s">
        <v>1150</v>
      </c>
      <c r="G778" t="s">
        <v>1156</v>
      </c>
      <c r="H778">
        <v>3</v>
      </c>
      <c r="I778">
        <v>64394</v>
      </c>
      <c r="J778" s="6">
        <v>10</v>
      </c>
      <c r="K778">
        <v>57954.6</v>
      </c>
      <c r="L778">
        <v>173863.8</v>
      </c>
      <c r="M778">
        <v>1000</v>
      </c>
      <c r="N778" t="s">
        <v>1161</v>
      </c>
      <c r="O778" t="s">
        <v>1164</v>
      </c>
      <c r="P778" s="10">
        <v>45755</v>
      </c>
      <c r="Q778" t="str">
        <f t="shared" si="36"/>
        <v>excellent</v>
      </c>
      <c r="R778">
        <f t="shared" si="37"/>
        <v>3</v>
      </c>
      <c r="S778" s="6">
        <f t="shared" si="38"/>
        <v>14</v>
      </c>
    </row>
    <row r="779" spans="1:19" x14ac:dyDescent="0.3">
      <c r="A779" s="10">
        <v>45713</v>
      </c>
      <c r="B779" t="s">
        <v>788</v>
      </c>
      <c r="C779" t="s">
        <v>1124</v>
      </c>
      <c r="D779" t="s">
        <v>1135</v>
      </c>
      <c r="E779" t="s">
        <v>1141</v>
      </c>
      <c r="F779" t="s">
        <v>1151</v>
      </c>
      <c r="G779" t="s">
        <v>1155</v>
      </c>
      <c r="H779">
        <v>5</v>
      </c>
      <c r="I779">
        <v>7617</v>
      </c>
      <c r="J779" s="6">
        <v>15</v>
      </c>
      <c r="K779">
        <v>6474.45</v>
      </c>
      <c r="L779">
        <v>32372.25</v>
      </c>
      <c r="M779">
        <v>1500</v>
      </c>
      <c r="N779" t="s">
        <v>1160</v>
      </c>
      <c r="O779" t="s">
        <v>1163</v>
      </c>
      <c r="Q779" t="str">
        <f t="shared" si="36"/>
        <v>no comment</v>
      </c>
      <c r="R779">
        <f t="shared" si="37"/>
        <v>1</v>
      </c>
      <c r="S779" s="6">
        <f t="shared" si="38"/>
        <v>0</v>
      </c>
    </row>
    <row r="780" spans="1:19" x14ac:dyDescent="0.3">
      <c r="A780" s="10">
        <v>45753</v>
      </c>
      <c r="B780" t="s">
        <v>789</v>
      </c>
      <c r="C780" t="s">
        <v>1120</v>
      </c>
      <c r="D780" t="s">
        <v>1135</v>
      </c>
      <c r="E780" t="s">
        <v>1145</v>
      </c>
      <c r="F780" t="s">
        <v>1149</v>
      </c>
      <c r="G780" t="s">
        <v>1153</v>
      </c>
      <c r="H780">
        <v>4</v>
      </c>
      <c r="I780">
        <v>32587</v>
      </c>
      <c r="J780" s="6">
        <v>10</v>
      </c>
      <c r="K780">
        <v>29328.3</v>
      </c>
      <c r="L780">
        <v>117313.2</v>
      </c>
      <c r="M780">
        <v>1000</v>
      </c>
      <c r="N780" t="s">
        <v>1159</v>
      </c>
      <c r="O780" t="s">
        <v>1163</v>
      </c>
      <c r="Q780" t="str">
        <f t="shared" si="36"/>
        <v>no comment</v>
      </c>
      <c r="R780">
        <f t="shared" si="37"/>
        <v>1</v>
      </c>
      <c r="S780" s="6">
        <f t="shared" si="38"/>
        <v>0</v>
      </c>
    </row>
    <row r="781" spans="1:19" x14ac:dyDescent="0.3">
      <c r="A781" s="10">
        <v>45793</v>
      </c>
      <c r="B781" t="s">
        <v>790</v>
      </c>
      <c r="C781" t="s">
        <v>1121</v>
      </c>
      <c r="D781" t="s">
        <v>1136</v>
      </c>
      <c r="E781" t="s">
        <v>1139</v>
      </c>
      <c r="F781" t="s">
        <v>1150</v>
      </c>
      <c r="G781" t="s">
        <v>1154</v>
      </c>
      <c r="H781">
        <v>3</v>
      </c>
      <c r="I781">
        <v>45819</v>
      </c>
      <c r="J781" s="6">
        <v>15</v>
      </c>
      <c r="K781">
        <v>38946.15</v>
      </c>
      <c r="L781">
        <v>116838.45</v>
      </c>
      <c r="M781">
        <v>1000</v>
      </c>
      <c r="N781" t="s">
        <v>1161</v>
      </c>
      <c r="O781" t="s">
        <v>1163</v>
      </c>
      <c r="Q781" t="str">
        <f t="shared" si="36"/>
        <v>no comment</v>
      </c>
      <c r="R781">
        <f t="shared" si="37"/>
        <v>1</v>
      </c>
      <c r="S781" s="6">
        <f t="shared" si="38"/>
        <v>0</v>
      </c>
    </row>
    <row r="782" spans="1:19" x14ac:dyDescent="0.3">
      <c r="A782" s="10">
        <v>45763</v>
      </c>
      <c r="B782" t="s">
        <v>791</v>
      </c>
      <c r="C782" t="s">
        <v>1123</v>
      </c>
      <c r="D782" t="s">
        <v>1135</v>
      </c>
      <c r="E782" t="s">
        <v>1137</v>
      </c>
      <c r="F782" t="s">
        <v>1149</v>
      </c>
      <c r="G782" t="s">
        <v>1152</v>
      </c>
      <c r="H782">
        <v>3</v>
      </c>
      <c r="I782">
        <v>38224</v>
      </c>
      <c r="J782" s="6">
        <v>20</v>
      </c>
      <c r="K782">
        <v>30579.200000000001</v>
      </c>
      <c r="L782">
        <v>91737.600000000006</v>
      </c>
      <c r="M782">
        <v>2000</v>
      </c>
      <c r="N782" t="s">
        <v>1159</v>
      </c>
      <c r="O782" t="s">
        <v>1164</v>
      </c>
      <c r="P782" s="10">
        <v>45770</v>
      </c>
      <c r="Q782" t="str">
        <f t="shared" si="36"/>
        <v>excellent</v>
      </c>
      <c r="R782">
        <f t="shared" si="37"/>
        <v>3</v>
      </c>
      <c r="S782" s="6">
        <f t="shared" si="38"/>
        <v>7</v>
      </c>
    </row>
    <row r="783" spans="1:19" x14ac:dyDescent="0.3">
      <c r="A783" s="10">
        <v>45734</v>
      </c>
      <c r="B783" t="s">
        <v>792</v>
      </c>
      <c r="C783" t="s">
        <v>1125</v>
      </c>
      <c r="D783" t="s">
        <v>1133</v>
      </c>
      <c r="E783" t="s">
        <v>1145</v>
      </c>
      <c r="F783" t="s">
        <v>1149</v>
      </c>
      <c r="G783" t="s">
        <v>1153</v>
      </c>
      <c r="H783">
        <v>3</v>
      </c>
      <c r="I783">
        <v>66676</v>
      </c>
      <c r="J783" s="6">
        <v>5</v>
      </c>
      <c r="K783">
        <v>63342.2</v>
      </c>
      <c r="L783">
        <v>190026.6</v>
      </c>
      <c r="M783">
        <v>1000</v>
      </c>
      <c r="N783" t="s">
        <v>1159</v>
      </c>
      <c r="O783" t="s">
        <v>1162</v>
      </c>
      <c r="Q783" t="str">
        <f t="shared" si="36"/>
        <v>okay</v>
      </c>
      <c r="R783">
        <f t="shared" si="37"/>
        <v>2</v>
      </c>
      <c r="S783" s="6">
        <f t="shared" si="38"/>
        <v>0</v>
      </c>
    </row>
    <row r="784" spans="1:19" x14ac:dyDescent="0.3">
      <c r="A784" s="10">
        <v>45687</v>
      </c>
      <c r="B784" t="s">
        <v>793</v>
      </c>
      <c r="C784" t="s">
        <v>1122</v>
      </c>
      <c r="D784" t="s">
        <v>1136</v>
      </c>
      <c r="E784" t="s">
        <v>1144</v>
      </c>
      <c r="F784" t="s">
        <v>1151</v>
      </c>
      <c r="G784" t="s">
        <v>1157</v>
      </c>
      <c r="H784">
        <v>4</v>
      </c>
      <c r="I784">
        <v>76169</v>
      </c>
      <c r="J784" s="6">
        <v>15</v>
      </c>
      <c r="K784">
        <v>64743.65</v>
      </c>
      <c r="L784">
        <v>258974.6</v>
      </c>
      <c r="M784">
        <v>2000</v>
      </c>
      <c r="N784" t="s">
        <v>1161</v>
      </c>
      <c r="O784" t="s">
        <v>1162</v>
      </c>
      <c r="Q784" t="str">
        <f t="shared" si="36"/>
        <v>okay</v>
      </c>
      <c r="R784">
        <f t="shared" si="37"/>
        <v>2</v>
      </c>
      <c r="S784" s="6">
        <f t="shared" si="38"/>
        <v>0</v>
      </c>
    </row>
    <row r="785" spans="1:19" x14ac:dyDescent="0.3">
      <c r="A785" s="10">
        <v>45761</v>
      </c>
      <c r="B785" t="s">
        <v>794</v>
      </c>
      <c r="C785" t="s">
        <v>1121</v>
      </c>
      <c r="D785" t="s">
        <v>1136</v>
      </c>
      <c r="E785" t="s">
        <v>1148</v>
      </c>
      <c r="F785" t="s">
        <v>1149</v>
      </c>
      <c r="G785" t="s">
        <v>1152</v>
      </c>
      <c r="H785">
        <v>1</v>
      </c>
      <c r="I785">
        <v>72592</v>
      </c>
      <c r="J785" s="6">
        <v>10</v>
      </c>
      <c r="K785">
        <v>65332.800000000003</v>
      </c>
      <c r="L785">
        <v>65332.800000000003</v>
      </c>
      <c r="M785">
        <v>1000</v>
      </c>
      <c r="N785" t="s">
        <v>1161</v>
      </c>
      <c r="O785" t="s">
        <v>1162</v>
      </c>
      <c r="Q785" t="str">
        <f t="shared" si="36"/>
        <v>okay</v>
      </c>
      <c r="R785">
        <f t="shared" si="37"/>
        <v>2</v>
      </c>
      <c r="S785" s="6">
        <f t="shared" si="38"/>
        <v>0</v>
      </c>
    </row>
    <row r="786" spans="1:19" x14ac:dyDescent="0.3">
      <c r="A786" s="10">
        <v>45728</v>
      </c>
      <c r="B786" t="s">
        <v>795</v>
      </c>
      <c r="C786" t="s">
        <v>1127</v>
      </c>
      <c r="D786" t="s">
        <v>1134</v>
      </c>
      <c r="E786" t="s">
        <v>1145</v>
      </c>
      <c r="F786" t="s">
        <v>1149</v>
      </c>
      <c r="G786" t="s">
        <v>1153</v>
      </c>
      <c r="H786">
        <v>3</v>
      </c>
      <c r="I786">
        <v>42648</v>
      </c>
      <c r="J786" s="6">
        <v>5</v>
      </c>
      <c r="K786">
        <v>40515.599999999999</v>
      </c>
      <c r="L786">
        <v>121546.8</v>
      </c>
      <c r="M786">
        <v>1000</v>
      </c>
      <c r="N786" t="s">
        <v>1159</v>
      </c>
      <c r="O786" t="s">
        <v>1162</v>
      </c>
      <c r="Q786" t="str">
        <f t="shared" si="36"/>
        <v>okay</v>
      </c>
      <c r="R786">
        <f t="shared" si="37"/>
        <v>2</v>
      </c>
      <c r="S786" s="6">
        <f t="shared" si="38"/>
        <v>0</v>
      </c>
    </row>
    <row r="787" spans="1:19" x14ac:dyDescent="0.3">
      <c r="A787" s="10">
        <v>45682</v>
      </c>
      <c r="B787" t="s">
        <v>796</v>
      </c>
      <c r="C787" t="s">
        <v>1118</v>
      </c>
      <c r="D787" t="s">
        <v>1134</v>
      </c>
      <c r="E787" t="s">
        <v>1143</v>
      </c>
      <c r="F787" t="s">
        <v>1151</v>
      </c>
      <c r="G787" t="s">
        <v>1157</v>
      </c>
      <c r="H787">
        <v>2</v>
      </c>
      <c r="I787">
        <v>26680</v>
      </c>
      <c r="J787" s="6">
        <v>20</v>
      </c>
      <c r="K787">
        <v>21344</v>
      </c>
      <c r="L787">
        <v>42688</v>
      </c>
      <c r="M787">
        <v>1000</v>
      </c>
      <c r="N787" t="s">
        <v>1159</v>
      </c>
      <c r="O787" t="s">
        <v>1162</v>
      </c>
      <c r="Q787" t="str">
        <f t="shared" si="36"/>
        <v>okay</v>
      </c>
      <c r="R787">
        <f t="shared" si="37"/>
        <v>2</v>
      </c>
      <c r="S787" s="6">
        <f t="shared" si="38"/>
        <v>0</v>
      </c>
    </row>
    <row r="788" spans="1:19" x14ac:dyDescent="0.3">
      <c r="A788" s="10">
        <v>45690</v>
      </c>
      <c r="B788" t="s">
        <v>797</v>
      </c>
      <c r="C788" t="s">
        <v>1119</v>
      </c>
      <c r="D788" t="s">
        <v>1134</v>
      </c>
      <c r="E788" t="s">
        <v>1139</v>
      </c>
      <c r="F788" t="s">
        <v>1150</v>
      </c>
      <c r="G788" t="s">
        <v>1154</v>
      </c>
      <c r="H788">
        <v>3</v>
      </c>
      <c r="I788">
        <v>53210</v>
      </c>
      <c r="J788" s="6">
        <v>5</v>
      </c>
      <c r="K788">
        <v>50549.5</v>
      </c>
      <c r="L788">
        <v>151648.5</v>
      </c>
      <c r="M788">
        <v>1000</v>
      </c>
      <c r="N788" t="s">
        <v>1160</v>
      </c>
      <c r="O788" t="s">
        <v>1164</v>
      </c>
      <c r="P788" s="10">
        <v>45701</v>
      </c>
      <c r="Q788" t="str">
        <f t="shared" si="36"/>
        <v>excellent</v>
      </c>
      <c r="R788">
        <f t="shared" si="37"/>
        <v>3</v>
      </c>
      <c r="S788" s="6">
        <f t="shared" si="38"/>
        <v>11</v>
      </c>
    </row>
    <row r="789" spans="1:19" x14ac:dyDescent="0.3">
      <c r="A789" s="10">
        <v>45767</v>
      </c>
      <c r="B789" t="s">
        <v>798</v>
      </c>
      <c r="C789" t="s">
        <v>1118</v>
      </c>
      <c r="D789" t="s">
        <v>1134</v>
      </c>
      <c r="E789" t="s">
        <v>1137</v>
      </c>
      <c r="F789" t="s">
        <v>1149</v>
      </c>
      <c r="G789" t="s">
        <v>1152</v>
      </c>
      <c r="H789">
        <v>2</v>
      </c>
      <c r="I789">
        <v>2332</v>
      </c>
      <c r="J789" s="6">
        <v>5</v>
      </c>
      <c r="K789">
        <v>2215.4</v>
      </c>
      <c r="L789">
        <v>4430.8</v>
      </c>
      <c r="M789">
        <v>1500</v>
      </c>
      <c r="N789" t="s">
        <v>1160</v>
      </c>
      <c r="O789" t="s">
        <v>1162</v>
      </c>
      <c r="Q789" t="str">
        <f t="shared" si="36"/>
        <v>okay</v>
      </c>
      <c r="R789">
        <f t="shared" si="37"/>
        <v>2</v>
      </c>
      <c r="S789" s="6">
        <f t="shared" si="38"/>
        <v>0</v>
      </c>
    </row>
    <row r="790" spans="1:19" x14ac:dyDescent="0.3">
      <c r="A790" s="10">
        <v>45721</v>
      </c>
      <c r="B790" t="s">
        <v>799</v>
      </c>
      <c r="C790" t="s">
        <v>1131</v>
      </c>
      <c r="D790" t="s">
        <v>1136</v>
      </c>
      <c r="E790" t="s">
        <v>1138</v>
      </c>
      <c r="F790" t="s">
        <v>1149</v>
      </c>
      <c r="G790" t="s">
        <v>1153</v>
      </c>
      <c r="H790">
        <v>2</v>
      </c>
      <c r="I790">
        <v>18453</v>
      </c>
      <c r="J790" s="6">
        <v>20</v>
      </c>
      <c r="K790">
        <v>14762.4</v>
      </c>
      <c r="L790">
        <v>29524.799999999999</v>
      </c>
      <c r="M790">
        <v>1000</v>
      </c>
      <c r="N790" t="s">
        <v>1160</v>
      </c>
      <c r="O790" t="s">
        <v>1163</v>
      </c>
      <c r="Q790" t="str">
        <f t="shared" si="36"/>
        <v>no comment</v>
      </c>
      <c r="R790">
        <f t="shared" si="37"/>
        <v>1</v>
      </c>
      <c r="S790" s="6">
        <f t="shared" si="38"/>
        <v>0</v>
      </c>
    </row>
    <row r="791" spans="1:19" x14ac:dyDescent="0.3">
      <c r="A791" s="10">
        <v>45777</v>
      </c>
      <c r="B791" t="s">
        <v>800</v>
      </c>
      <c r="C791" t="s">
        <v>1117</v>
      </c>
      <c r="D791" t="s">
        <v>1133</v>
      </c>
      <c r="E791" t="s">
        <v>1142</v>
      </c>
      <c r="F791" t="s">
        <v>1150</v>
      </c>
      <c r="G791" t="s">
        <v>1156</v>
      </c>
      <c r="H791">
        <v>3</v>
      </c>
      <c r="I791">
        <v>36052</v>
      </c>
      <c r="J791" s="6">
        <v>10</v>
      </c>
      <c r="K791">
        <v>32446.799999999999</v>
      </c>
      <c r="L791">
        <v>97340.4</v>
      </c>
      <c r="M791">
        <v>2000</v>
      </c>
      <c r="N791" t="s">
        <v>1160</v>
      </c>
      <c r="O791" t="s">
        <v>1163</v>
      </c>
      <c r="Q791" t="str">
        <f t="shared" si="36"/>
        <v>no comment</v>
      </c>
      <c r="R791">
        <f t="shared" si="37"/>
        <v>1</v>
      </c>
      <c r="S791" s="6">
        <f t="shared" si="38"/>
        <v>0</v>
      </c>
    </row>
    <row r="792" spans="1:19" x14ac:dyDescent="0.3">
      <c r="A792" s="10">
        <v>45768</v>
      </c>
      <c r="B792" t="s">
        <v>801</v>
      </c>
      <c r="C792" t="s">
        <v>1131</v>
      </c>
      <c r="D792" t="s">
        <v>1136</v>
      </c>
      <c r="E792" t="s">
        <v>1139</v>
      </c>
      <c r="F792" t="s">
        <v>1150</v>
      </c>
      <c r="G792" t="s">
        <v>1154</v>
      </c>
      <c r="H792">
        <v>4</v>
      </c>
      <c r="I792">
        <v>5561</v>
      </c>
      <c r="J792" s="6">
        <v>5</v>
      </c>
      <c r="K792">
        <v>5282.95</v>
      </c>
      <c r="L792">
        <v>21131.8</v>
      </c>
      <c r="M792">
        <v>2000</v>
      </c>
      <c r="N792" t="s">
        <v>1159</v>
      </c>
      <c r="O792" t="s">
        <v>1164</v>
      </c>
      <c r="P792" s="10">
        <v>45777</v>
      </c>
      <c r="Q792" t="str">
        <f t="shared" si="36"/>
        <v>excellent</v>
      </c>
      <c r="R792">
        <f t="shared" si="37"/>
        <v>3</v>
      </c>
      <c r="S792" s="6">
        <f t="shared" si="38"/>
        <v>9</v>
      </c>
    </row>
    <row r="793" spans="1:19" x14ac:dyDescent="0.3">
      <c r="A793" s="10">
        <v>45767</v>
      </c>
      <c r="B793" t="s">
        <v>802</v>
      </c>
      <c r="C793" t="s">
        <v>1131</v>
      </c>
      <c r="D793" t="s">
        <v>1136</v>
      </c>
      <c r="E793" t="s">
        <v>1139</v>
      </c>
      <c r="F793" t="s">
        <v>1150</v>
      </c>
      <c r="G793" t="s">
        <v>1154</v>
      </c>
      <c r="H793">
        <v>4</v>
      </c>
      <c r="I793">
        <v>52361</v>
      </c>
      <c r="J793" s="6">
        <v>20</v>
      </c>
      <c r="K793">
        <v>41888.800000000003</v>
      </c>
      <c r="L793">
        <v>167555.20000000001</v>
      </c>
      <c r="M793">
        <v>1500</v>
      </c>
      <c r="N793" t="s">
        <v>1159</v>
      </c>
      <c r="O793" t="s">
        <v>1163</v>
      </c>
      <c r="Q793" t="str">
        <f t="shared" si="36"/>
        <v>no comment</v>
      </c>
      <c r="R793">
        <f t="shared" si="37"/>
        <v>1</v>
      </c>
      <c r="S793" s="6">
        <f t="shared" si="38"/>
        <v>0</v>
      </c>
    </row>
    <row r="794" spans="1:19" x14ac:dyDescent="0.3">
      <c r="A794" s="10">
        <v>45765</v>
      </c>
      <c r="B794" t="s">
        <v>803</v>
      </c>
      <c r="C794" t="s">
        <v>1119</v>
      </c>
      <c r="D794" t="s">
        <v>1134</v>
      </c>
      <c r="E794" t="s">
        <v>1142</v>
      </c>
      <c r="F794" t="s">
        <v>1150</v>
      </c>
      <c r="G794" t="s">
        <v>1156</v>
      </c>
      <c r="H794">
        <v>2</v>
      </c>
      <c r="I794">
        <v>57239</v>
      </c>
      <c r="J794" s="6">
        <v>5</v>
      </c>
      <c r="K794">
        <v>54377.05</v>
      </c>
      <c r="L794">
        <v>108754.1</v>
      </c>
      <c r="M794">
        <v>2000</v>
      </c>
      <c r="N794" t="s">
        <v>1159</v>
      </c>
      <c r="O794" t="s">
        <v>1164</v>
      </c>
      <c r="P794" s="10">
        <v>45776</v>
      </c>
      <c r="Q794" t="str">
        <f t="shared" si="36"/>
        <v>excellent</v>
      </c>
      <c r="R794">
        <f t="shared" si="37"/>
        <v>3</v>
      </c>
      <c r="S794" s="6">
        <f t="shared" si="38"/>
        <v>11</v>
      </c>
    </row>
    <row r="795" spans="1:19" x14ac:dyDescent="0.3">
      <c r="A795" s="10">
        <v>45674</v>
      </c>
      <c r="B795" t="s">
        <v>804</v>
      </c>
      <c r="C795" t="s">
        <v>1119</v>
      </c>
      <c r="D795" t="s">
        <v>1134</v>
      </c>
      <c r="E795" t="s">
        <v>1144</v>
      </c>
      <c r="F795" t="s">
        <v>1151</v>
      </c>
      <c r="G795" t="s">
        <v>1157</v>
      </c>
      <c r="H795">
        <v>3</v>
      </c>
      <c r="I795">
        <v>42104</v>
      </c>
      <c r="J795" s="6">
        <v>0</v>
      </c>
      <c r="K795">
        <v>42104</v>
      </c>
      <c r="L795">
        <v>126312</v>
      </c>
      <c r="M795">
        <v>1000</v>
      </c>
      <c r="N795" t="s">
        <v>1160</v>
      </c>
      <c r="O795" t="s">
        <v>1163</v>
      </c>
      <c r="Q795" t="str">
        <f t="shared" si="36"/>
        <v>no comment</v>
      </c>
      <c r="R795">
        <f t="shared" si="37"/>
        <v>1</v>
      </c>
      <c r="S795" s="6">
        <f t="shared" si="38"/>
        <v>0</v>
      </c>
    </row>
    <row r="796" spans="1:19" x14ac:dyDescent="0.3">
      <c r="A796" s="10">
        <v>45749</v>
      </c>
      <c r="B796" t="s">
        <v>805</v>
      </c>
      <c r="C796" t="s">
        <v>1127</v>
      </c>
      <c r="D796" t="s">
        <v>1134</v>
      </c>
      <c r="E796" t="s">
        <v>1142</v>
      </c>
      <c r="F796" t="s">
        <v>1150</v>
      </c>
      <c r="G796" t="s">
        <v>1156</v>
      </c>
      <c r="H796">
        <v>3</v>
      </c>
      <c r="I796">
        <v>49425</v>
      </c>
      <c r="J796" s="6">
        <v>5</v>
      </c>
      <c r="K796">
        <v>46953.75</v>
      </c>
      <c r="L796">
        <v>140861.25</v>
      </c>
      <c r="M796">
        <v>2000</v>
      </c>
      <c r="N796" t="s">
        <v>1160</v>
      </c>
      <c r="O796" t="s">
        <v>1162</v>
      </c>
      <c r="Q796" t="str">
        <f t="shared" si="36"/>
        <v>okay</v>
      </c>
      <c r="R796">
        <f t="shared" si="37"/>
        <v>2</v>
      </c>
      <c r="S796" s="6">
        <f t="shared" si="38"/>
        <v>0</v>
      </c>
    </row>
    <row r="797" spans="1:19" x14ac:dyDescent="0.3">
      <c r="A797" s="10">
        <v>45836</v>
      </c>
      <c r="B797" t="s">
        <v>806</v>
      </c>
      <c r="C797" t="s">
        <v>1125</v>
      </c>
      <c r="D797" t="s">
        <v>1133</v>
      </c>
      <c r="E797" t="s">
        <v>1142</v>
      </c>
      <c r="F797" t="s">
        <v>1150</v>
      </c>
      <c r="G797" t="s">
        <v>1156</v>
      </c>
      <c r="H797">
        <v>5</v>
      </c>
      <c r="I797">
        <v>48980</v>
      </c>
      <c r="J797" s="6">
        <v>5</v>
      </c>
      <c r="K797">
        <v>46531</v>
      </c>
      <c r="L797">
        <v>232655</v>
      </c>
      <c r="M797">
        <v>1500</v>
      </c>
      <c r="N797" t="s">
        <v>1160</v>
      </c>
      <c r="O797" t="s">
        <v>1164</v>
      </c>
      <c r="P797" s="10">
        <v>45842</v>
      </c>
      <c r="Q797" t="str">
        <f t="shared" si="36"/>
        <v>excellent</v>
      </c>
      <c r="R797">
        <f t="shared" si="37"/>
        <v>3</v>
      </c>
      <c r="S797" s="6">
        <f t="shared" si="38"/>
        <v>6</v>
      </c>
    </row>
    <row r="798" spans="1:19" x14ac:dyDescent="0.3">
      <c r="A798" s="10">
        <v>45658</v>
      </c>
      <c r="B798" t="s">
        <v>807</v>
      </c>
      <c r="C798" t="s">
        <v>1127</v>
      </c>
      <c r="D798" t="s">
        <v>1134</v>
      </c>
      <c r="E798" t="s">
        <v>1141</v>
      </c>
      <c r="F798" t="s">
        <v>1151</v>
      </c>
      <c r="G798" t="s">
        <v>1155</v>
      </c>
      <c r="H798">
        <v>3</v>
      </c>
      <c r="I798">
        <v>23196</v>
      </c>
      <c r="J798" s="6">
        <v>0</v>
      </c>
      <c r="K798">
        <v>23196</v>
      </c>
      <c r="L798">
        <v>69588</v>
      </c>
      <c r="M798">
        <v>1500</v>
      </c>
      <c r="N798" t="s">
        <v>1160</v>
      </c>
      <c r="O798" t="s">
        <v>1163</v>
      </c>
      <c r="Q798" t="str">
        <f t="shared" si="36"/>
        <v>no comment</v>
      </c>
      <c r="R798">
        <f t="shared" si="37"/>
        <v>1</v>
      </c>
      <c r="S798" s="6">
        <f t="shared" si="38"/>
        <v>0</v>
      </c>
    </row>
    <row r="799" spans="1:19" x14ac:dyDescent="0.3">
      <c r="A799" s="10">
        <v>45666</v>
      </c>
      <c r="B799" t="s">
        <v>808</v>
      </c>
      <c r="C799" t="s">
        <v>1121</v>
      </c>
      <c r="D799" t="s">
        <v>1136</v>
      </c>
      <c r="E799" t="s">
        <v>1141</v>
      </c>
      <c r="F799" t="s">
        <v>1151</v>
      </c>
      <c r="G799" t="s">
        <v>1155</v>
      </c>
      <c r="H799">
        <v>1</v>
      </c>
      <c r="I799">
        <v>15708</v>
      </c>
      <c r="J799" s="6">
        <v>15</v>
      </c>
      <c r="K799">
        <v>13351.8</v>
      </c>
      <c r="L799">
        <v>13351.8</v>
      </c>
      <c r="M799">
        <v>1000</v>
      </c>
      <c r="N799" t="s">
        <v>1160</v>
      </c>
      <c r="O799" t="s">
        <v>1164</v>
      </c>
      <c r="P799" s="10">
        <v>45672</v>
      </c>
      <c r="Q799" t="str">
        <f t="shared" si="36"/>
        <v>excellent</v>
      </c>
      <c r="R799">
        <f t="shared" si="37"/>
        <v>3</v>
      </c>
      <c r="S799" s="6">
        <f t="shared" si="38"/>
        <v>6</v>
      </c>
    </row>
    <row r="800" spans="1:19" x14ac:dyDescent="0.3">
      <c r="A800" s="10">
        <v>45738</v>
      </c>
      <c r="B800" t="s">
        <v>809</v>
      </c>
      <c r="C800" t="s">
        <v>1127</v>
      </c>
      <c r="D800" t="s">
        <v>1134</v>
      </c>
      <c r="E800" t="s">
        <v>1147</v>
      </c>
      <c r="F800" t="s">
        <v>1150</v>
      </c>
      <c r="G800" t="s">
        <v>1156</v>
      </c>
      <c r="H800">
        <v>3</v>
      </c>
      <c r="I800">
        <v>30076</v>
      </c>
      <c r="J800" s="6">
        <v>0</v>
      </c>
      <c r="K800">
        <v>30076</v>
      </c>
      <c r="L800">
        <v>90228</v>
      </c>
      <c r="M800">
        <v>2000</v>
      </c>
      <c r="N800" t="s">
        <v>1161</v>
      </c>
      <c r="O800" t="s">
        <v>1162</v>
      </c>
      <c r="Q800" t="str">
        <f t="shared" si="36"/>
        <v>okay</v>
      </c>
      <c r="R800">
        <f t="shared" si="37"/>
        <v>2</v>
      </c>
      <c r="S800" s="6">
        <f t="shared" si="38"/>
        <v>0</v>
      </c>
    </row>
    <row r="801" spans="1:19" x14ac:dyDescent="0.3">
      <c r="A801" s="10">
        <v>45822</v>
      </c>
      <c r="B801" t="s">
        <v>810</v>
      </c>
      <c r="C801" t="s">
        <v>1120</v>
      </c>
      <c r="D801" t="s">
        <v>1135</v>
      </c>
      <c r="E801" t="s">
        <v>1148</v>
      </c>
      <c r="F801" t="s">
        <v>1149</v>
      </c>
      <c r="G801" t="s">
        <v>1152</v>
      </c>
      <c r="H801">
        <v>5</v>
      </c>
      <c r="I801">
        <v>12290</v>
      </c>
      <c r="J801" s="6">
        <v>20</v>
      </c>
      <c r="K801">
        <v>9832</v>
      </c>
      <c r="L801">
        <v>49160</v>
      </c>
      <c r="M801">
        <v>1500</v>
      </c>
      <c r="N801" t="s">
        <v>1160</v>
      </c>
      <c r="O801" t="s">
        <v>1164</v>
      </c>
      <c r="P801" s="10">
        <v>45831</v>
      </c>
      <c r="Q801" t="str">
        <f t="shared" si="36"/>
        <v>excellent</v>
      </c>
      <c r="R801">
        <f t="shared" si="37"/>
        <v>3</v>
      </c>
      <c r="S801" s="6">
        <f t="shared" si="38"/>
        <v>9</v>
      </c>
    </row>
    <row r="802" spans="1:19" x14ac:dyDescent="0.3">
      <c r="A802" s="10">
        <v>45681</v>
      </c>
      <c r="B802" t="s">
        <v>811</v>
      </c>
      <c r="C802" t="s">
        <v>1132</v>
      </c>
      <c r="D802" t="s">
        <v>1134</v>
      </c>
      <c r="E802" t="s">
        <v>1140</v>
      </c>
      <c r="F802" t="s">
        <v>1150</v>
      </c>
      <c r="G802" t="s">
        <v>1154</v>
      </c>
      <c r="H802">
        <v>4</v>
      </c>
      <c r="I802">
        <v>22346</v>
      </c>
      <c r="J802" s="6">
        <v>15</v>
      </c>
      <c r="K802">
        <v>18994.099999999999</v>
      </c>
      <c r="L802">
        <v>75976.399999999994</v>
      </c>
      <c r="M802">
        <v>1000</v>
      </c>
      <c r="N802" t="s">
        <v>1161</v>
      </c>
      <c r="O802" t="s">
        <v>1162</v>
      </c>
      <c r="Q802" t="str">
        <f t="shared" si="36"/>
        <v>okay</v>
      </c>
      <c r="R802">
        <f t="shared" si="37"/>
        <v>2</v>
      </c>
      <c r="S802" s="6">
        <f t="shared" si="38"/>
        <v>0</v>
      </c>
    </row>
    <row r="803" spans="1:19" x14ac:dyDescent="0.3">
      <c r="A803" s="10">
        <v>45794</v>
      </c>
      <c r="B803" t="s">
        <v>812</v>
      </c>
      <c r="C803" t="s">
        <v>1129</v>
      </c>
      <c r="D803" t="s">
        <v>1133</v>
      </c>
      <c r="E803" t="s">
        <v>1148</v>
      </c>
      <c r="F803" t="s">
        <v>1149</v>
      </c>
      <c r="G803" t="s">
        <v>1152</v>
      </c>
      <c r="H803">
        <v>5</v>
      </c>
      <c r="I803">
        <v>49551</v>
      </c>
      <c r="J803" s="6">
        <v>10</v>
      </c>
      <c r="K803">
        <v>44595.9</v>
      </c>
      <c r="L803">
        <v>222979.5</v>
      </c>
      <c r="M803">
        <v>1500</v>
      </c>
      <c r="N803" t="s">
        <v>1161</v>
      </c>
      <c r="O803" t="s">
        <v>1162</v>
      </c>
      <c r="Q803" t="str">
        <f t="shared" si="36"/>
        <v>okay</v>
      </c>
      <c r="R803">
        <f t="shared" si="37"/>
        <v>2</v>
      </c>
      <c r="S803" s="6">
        <f t="shared" si="38"/>
        <v>0</v>
      </c>
    </row>
    <row r="804" spans="1:19" x14ac:dyDescent="0.3">
      <c r="A804" s="10">
        <v>45811</v>
      </c>
      <c r="B804" t="s">
        <v>813</v>
      </c>
      <c r="C804" t="s">
        <v>1130</v>
      </c>
      <c r="D804" t="s">
        <v>1136</v>
      </c>
      <c r="E804" t="s">
        <v>1147</v>
      </c>
      <c r="F804" t="s">
        <v>1150</v>
      </c>
      <c r="G804" t="s">
        <v>1156</v>
      </c>
      <c r="H804">
        <v>2</v>
      </c>
      <c r="I804">
        <v>26702</v>
      </c>
      <c r="J804" s="6">
        <v>15</v>
      </c>
      <c r="K804">
        <v>22696.7</v>
      </c>
      <c r="L804">
        <v>45393.4</v>
      </c>
      <c r="M804">
        <v>1500</v>
      </c>
      <c r="N804" t="s">
        <v>1161</v>
      </c>
      <c r="O804" t="s">
        <v>1162</v>
      </c>
      <c r="Q804" t="str">
        <f t="shared" si="36"/>
        <v>okay</v>
      </c>
      <c r="R804">
        <f t="shared" si="37"/>
        <v>2</v>
      </c>
      <c r="S804" s="6">
        <f t="shared" si="38"/>
        <v>0</v>
      </c>
    </row>
    <row r="805" spans="1:19" x14ac:dyDescent="0.3">
      <c r="A805" s="10">
        <v>45784</v>
      </c>
      <c r="B805" t="s">
        <v>814</v>
      </c>
      <c r="C805" t="s">
        <v>1131</v>
      </c>
      <c r="D805" t="s">
        <v>1136</v>
      </c>
      <c r="E805" t="s">
        <v>1147</v>
      </c>
      <c r="F805" t="s">
        <v>1150</v>
      </c>
      <c r="G805" t="s">
        <v>1156</v>
      </c>
      <c r="H805">
        <v>5</v>
      </c>
      <c r="I805">
        <v>75306</v>
      </c>
      <c r="J805" s="6">
        <v>10</v>
      </c>
      <c r="K805">
        <v>67775.399999999994</v>
      </c>
      <c r="L805">
        <v>338877</v>
      </c>
      <c r="M805">
        <v>1000</v>
      </c>
      <c r="N805" t="s">
        <v>1161</v>
      </c>
      <c r="O805" t="s">
        <v>1164</v>
      </c>
      <c r="P805" s="10">
        <v>45791</v>
      </c>
      <c r="Q805" t="str">
        <f t="shared" si="36"/>
        <v>excellent</v>
      </c>
      <c r="R805">
        <f t="shared" si="37"/>
        <v>3</v>
      </c>
      <c r="S805" s="6">
        <f t="shared" si="38"/>
        <v>7</v>
      </c>
    </row>
    <row r="806" spans="1:19" x14ac:dyDescent="0.3">
      <c r="A806" s="10">
        <v>45661</v>
      </c>
      <c r="B806" t="s">
        <v>815</v>
      </c>
      <c r="C806" t="s">
        <v>1122</v>
      </c>
      <c r="D806" t="s">
        <v>1136</v>
      </c>
      <c r="E806" t="s">
        <v>1142</v>
      </c>
      <c r="F806" t="s">
        <v>1150</v>
      </c>
      <c r="G806" t="s">
        <v>1156</v>
      </c>
      <c r="H806">
        <v>3</v>
      </c>
      <c r="I806">
        <v>33695</v>
      </c>
      <c r="J806" s="6">
        <v>10</v>
      </c>
      <c r="K806">
        <v>32010.25</v>
      </c>
      <c r="L806">
        <v>96030.75</v>
      </c>
      <c r="M806">
        <v>2000</v>
      </c>
      <c r="N806" t="s">
        <v>1159</v>
      </c>
      <c r="O806" t="s">
        <v>1164</v>
      </c>
      <c r="P806" s="10">
        <v>45668</v>
      </c>
      <c r="Q806" t="str">
        <f t="shared" si="36"/>
        <v>excellent</v>
      </c>
      <c r="R806">
        <f t="shared" si="37"/>
        <v>3</v>
      </c>
      <c r="S806" s="6">
        <f t="shared" si="38"/>
        <v>7</v>
      </c>
    </row>
    <row r="807" spans="1:19" x14ac:dyDescent="0.3">
      <c r="A807" s="10">
        <v>45837</v>
      </c>
      <c r="B807" t="s">
        <v>816</v>
      </c>
      <c r="C807" t="s">
        <v>1127</v>
      </c>
      <c r="D807" t="s">
        <v>1134</v>
      </c>
      <c r="E807" t="s">
        <v>1141</v>
      </c>
      <c r="F807" t="s">
        <v>1151</v>
      </c>
      <c r="G807" t="s">
        <v>1155</v>
      </c>
      <c r="H807">
        <v>5</v>
      </c>
      <c r="I807">
        <v>26414</v>
      </c>
      <c r="J807" s="6">
        <v>5</v>
      </c>
      <c r="K807">
        <v>25093.3</v>
      </c>
      <c r="L807">
        <v>125466.5</v>
      </c>
      <c r="M807">
        <v>1000</v>
      </c>
      <c r="N807" t="s">
        <v>1161</v>
      </c>
      <c r="O807" t="s">
        <v>1164</v>
      </c>
      <c r="P807" s="10">
        <v>45849</v>
      </c>
      <c r="Q807" t="str">
        <f t="shared" si="36"/>
        <v>excellent</v>
      </c>
      <c r="R807">
        <f t="shared" si="37"/>
        <v>3</v>
      </c>
      <c r="S807" s="6">
        <f t="shared" si="38"/>
        <v>12</v>
      </c>
    </row>
    <row r="808" spans="1:19" x14ac:dyDescent="0.3">
      <c r="A808" s="10">
        <v>45673</v>
      </c>
      <c r="B808" t="s">
        <v>817</v>
      </c>
      <c r="C808" t="s">
        <v>1122</v>
      </c>
      <c r="D808" t="s">
        <v>1136</v>
      </c>
      <c r="E808" t="s">
        <v>1141</v>
      </c>
      <c r="F808" t="s">
        <v>1151</v>
      </c>
      <c r="G808" t="s">
        <v>1155</v>
      </c>
      <c r="H808">
        <v>2</v>
      </c>
      <c r="I808">
        <v>60098</v>
      </c>
      <c r="J808" s="6">
        <v>10</v>
      </c>
      <c r="K808">
        <v>54088.2</v>
      </c>
      <c r="L808">
        <v>108176.4</v>
      </c>
      <c r="M808">
        <v>1000</v>
      </c>
      <c r="N808" t="s">
        <v>1161</v>
      </c>
      <c r="O808" t="s">
        <v>1164</v>
      </c>
      <c r="P808" s="10">
        <v>45680</v>
      </c>
      <c r="Q808" t="str">
        <f t="shared" si="36"/>
        <v>excellent</v>
      </c>
      <c r="R808">
        <f t="shared" si="37"/>
        <v>3</v>
      </c>
      <c r="S808" s="6">
        <f t="shared" si="38"/>
        <v>7</v>
      </c>
    </row>
    <row r="809" spans="1:19" x14ac:dyDescent="0.3">
      <c r="A809" s="10">
        <v>45739</v>
      </c>
      <c r="B809" t="s">
        <v>818</v>
      </c>
      <c r="C809" t="s">
        <v>1131</v>
      </c>
      <c r="D809" t="s">
        <v>1136</v>
      </c>
      <c r="E809" t="s">
        <v>1145</v>
      </c>
      <c r="F809" t="s">
        <v>1149</v>
      </c>
      <c r="G809" t="s">
        <v>1153</v>
      </c>
      <c r="H809">
        <v>3</v>
      </c>
      <c r="I809">
        <v>36979</v>
      </c>
      <c r="J809" s="6">
        <v>10</v>
      </c>
      <c r="K809">
        <v>33281.1</v>
      </c>
      <c r="L809">
        <v>99843.299999999988</v>
      </c>
      <c r="M809">
        <v>1500</v>
      </c>
      <c r="N809" t="s">
        <v>1161</v>
      </c>
      <c r="O809" t="s">
        <v>1162</v>
      </c>
      <c r="Q809" t="str">
        <f t="shared" si="36"/>
        <v>okay</v>
      </c>
      <c r="R809">
        <f t="shared" si="37"/>
        <v>2</v>
      </c>
      <c r="S809" s="6">
        <f t="shared" si="38"/>
        <v>0</v>
      </c>
    </row>
    <row r="810" spans="1:19" x14ac:dyDescent="0.3">
      <c r="A810" s="10">
        <v>45662</v>
      </c>
      <c r="B810" t="s">
        <v>819</v>
      </c>
      <c r="C810" t="s">
        <v>1126</v>
      </c>
      <c r="D810" t="s">
        <v>1133</v>
      </c>
      <c r="E810" t="s">
        <v>1141</v>
      </c>
      <c r="F810" t="s">
        <v>1151</v>
      </c>
      <c r="G810" t="s">
        <v>1155</v>
      </c>
      <c r="H810">
        <v>2</v>
      </c>
      <c r="I810">
        <v>41230</v>
      </c>
      <c r="J810" s="6">
        <v>5</v>
      </c>
      <c r="K810">
        <v>39168.5</v>
      </c>
      <c r="L810">
        <v>78337</v>
      </c>
      <c r="M810">
        <v>1000</v>
      </c>
      <c r="N810" t="s">
        <v>1161</v>
      </c>
      <c r="O810" t="s">
        <v>1163</v>
      </c>
      <c r="Q810" t="str">
        <f t="shared" si="36"/>
        <v>no comment</v>
      </c>
      <c r="R810">
        <f t="shared" si="37"/>
        <v>1</v>
      </c>
      <c r="S810" s="6">
        <f t="shared" si="38"/>
        <v>0</v>
      </c>
    </row>
    <row r="811" spans="1:19" x14ac:dyDescent="0.3">
      <c r="A811" s="10">
        <v>45821</v>
      </c>
      <c r="B811" t="s">
        <v>820</v>
      </c>
      <c r="C811" t="s">
        <v>1120</v>
      </c>
      <c r="D811" t="s">
        <v>1135</v>
      </c>
      <c r="E811" t="s">
        <v>1140</v>
      </c>
      <c r="F811" t="s">
        <v>1150</v>
      </c>
      <c r="G811" t="s">
        <v>1154</v>
      </c>
      <c r="H811">
        <v>4</v>
      </c>
      <c r="I811">
        <v>15276</v>
      </c>
      <c r="J811" s="6">
        <v>5</v>
      </c>
      <c r="K811">
        <v>14512.2</v>
      </c>
      <c r="L811">
        <v>58048.800000000003</v>
      </c>
      <c r="M811">
        <v>1000</v>
      </c>
      <c r="N811" t="s">
        <v>1159</v>
      </c>
      <c r="O811" t="s">
        <v>1163</v>
      </c>
      <c r="Q811" t="str">
        <f t="shared" si="36"/>
        <v>no comment</v>
      </c>
      <c r="R811">
        <f t="shared" si="37"/>
        <v>1</v>
      </c>
      <c r="S811" s="6">
        <f t="shared" si="38"/>
        <v>0</v>
      </c>
    </row>
    <row r="812" spans="1:19" x14ac:dyDescent="0.3">
      <c r="A812" s="10">
        <v>45732</v>
      </c>
      <c r="B812" t="s">
        <v>821</v>
      </c>
      <c r="C812" t="s">
        <v>1125</v>
      </c>
      <c r="D812" t="s">
        <v>1133</v>
      </c>
      <c r="E812" t="s">
        <v>1148</v>
      </c>
      <c r="F812" t="s">
        <v>1149</v>
      </c>
      <c r="G812" t="s">
        <v>1152</v>
      </c>
      <c r="H812">
        <v>2</v>
      </c>
      <c r="I812">
        <v>63329</v>
      </c>
      <c r="J812" s="6">
        <v>10</v>
      </c>
      <c r="K812">
        <v>56996.1</v>
      </c>
      <c r="L812">
        <v>113992.2</v>
      </c>
      <c r="M812">
        <v>1000</v>
      </c>
      <c r="N812" t="s">
        <v>1160</v>
      </c>
      <c r="O812" t="s">
        <v>1162</v>
      </c>
      <c r="Q812" t="str">
        <f t="shared" si="36"/>
        <v>okay</v>
      </c>
      <c r="R812">
        <f t="shared" si="37"/>
        <v>2</v>
      </c>
      <c r="S812" s="6">
        <f t="shared" si="38"/>
        <v>0</v>
      </c>
    </row>
    <row r="813" spans="1:19" x14ac:dyDescent="0.3">
      <c r="A813" s="10">
        <v>45714</v>
      </c>
      <c r="B813" t="s">
        <v>822</v>
      </c>
      <c r="C813" t="s">
        <v>1119</v>
      </c>
      <c r="D813" t="s">
        <v>1134</v>
      </c>
      <c r="E813" t="s">
        <v>1146</v>
      </c>
      <c r="F813" t="s">
        <v>1151</v>
      </c>
      <c r="G813" t="s">
        <v>1155</v>
      </c>
      <c r="H813">
        <v>5</v>
      </c>
      <c r="I813">
        <v>1630</v>
      </c>
      <c r="J813" s="6">
        <v>5</v>
      </c>
      <c r="K813">
        <v>1548.5</v>
      </c>
      <c r="L813">
        <v>7742.5</v>
      </c>
      <c r="M813">
        <v>2000</v>
      </c>
      <c r="N813" t="s">
        <v>1160</v>
      </c>
      <c r="O813" t="s">
        <v>1164</v>
      </c>
      <c r="P813" s="10">
        <v>45723</v>
      </c>
      <c r="Q813" t="str">
        <f t="shared" si="36"/>
        <v>excellent</v>
      </c>
      <c r="R813">
        <f t="shared" si="37"/>
        <v>3</v>
      </c>
      <c r="S813" s="6">
        <f t="shared" si="38"/>
        <v>9</v>
      </c>
    </row>
    <row r="814" spans="1:19" x14ac:dyDescent="0.3">
      <c r="A814" s="10">
        <v>45754</v>
      </c>
      <c r="B814" t="s">
        <v>823</v>
      </c>
      <c r="C814" t="s">
        <v>1126</v>
      </c>
      <c r="D814" t="s">
        <v>1133</v>
      </c>
      <c r="E814" t="s">
        <v>1147</v>
      </c>
      <c r="F814" t="s">
        <v>1150</v>
      </c>
      <c r="G814" t="s">
        <v>1156</v>
      </c>
      <c r="H814">
        <v>1</v>
      </c>
      <c r="I814">
        <v>76093</v>
      </c>
      <c r="J814" s="6">
        <v>0</v>
      </c>
      <c r="K814">
        <v>76093</v>
      </c>
      <c r="L814">
        <v>76093</v>
      </c>
      <c r="M814">
        <v>1500</v>
      </c>
      <c r="N814" t="s">
        <v>1159</v>
      </c>
      <c r="O814" t="s">
        <v>1164</v>
      </c>
      <c r="P814" s="10">
        <v>45766</v>
      </c>
      <c r="Q814" t="str">
        <f t="shared" si="36"/>
        <v>excellent</v>
      </c>
      <c r="R814">
        <f t="shared" si="37"/>
        <v>3</v>
      </c>
      <c r="S814" s="6">
        <f t="shared" si="38"/>
        <v>12</v>
      </c>
    </row>
    <row r="815" spans="1:19" x14ac:dyDescent="0.3">
      <c r="A815" s="10">
        <v>45673</v>
      </c>
      <c r="B815" t="s">
        <v>824</v>
      </c>
      <c r="C815" t="s">
        <v>1117</v>
      </c>
      <c r="D815" t="s">
        <v>1133</v>
      </c>
      <c r="E815" t="s">
        <v>1137</v>
      </c>
      <c r="F815" t="s">
        <v>1149</v>
      </c>
      <c r="G815" t="s">
        <v>1152</v>
      </c>
      <c r="H815">
        <v>5</v>
      </c>
      <c r="I815">
        <v>34977</v>
      </c>
      <c r="J815" s="6">
        <v>5</v>
      </c>
      <c r="K815">
        <v>33228.15</v>
      </c>
      <c r="L815">
        <v>166140.75</v>
      </c>
      <c r="M815">
        <v>1500</v>
      </c>
      <c r="N815" t="s">
        <v>1159</v>
      </c>
      <c r="O815" t="s">
        <v>1164</v>
      </c>
      <c r="P815" s="10">
        <v>45679</v>
      </c>
      <c r="Q815" t="str">
        <f t="shared" si="36"/>
        <v>excellent</v>
      </c>
      <c r="R815">
        <f t="shared" si="37"/>
        <v>3</v>
      </c>
      <c r="S815" s="6">
        <f t="shared" si="38"/>
        <v>6</v>
      </c>
    </row>
    <row r="816" spans="1:19" x14ac:dyDescent="0.3">
      <c r="A816" s="10">
        <v>45759</v>
      </c>
      <c r="B816" t="s">
        <v>825</v>
      </c>
      <c r="C816" t="s">
        <v>1124</v>
      </c>
      <c r="D816" t="s">
        <v>1135</v>
      </c>
      <c r="E816" t="s">
        <v>1137</v>
      </c>
      <c r="F816" t="s">
        <v>1149</v>
      </c>
      <c r="G816" t="s">
        <v>1152</v>
      </c>
      <c r="H816">
        <v>3</v>
      </c>
      <c r="I816">
        <v>48428</v>
      </c>
      <c r="J816" s="6">
        <v>20</v>
      </c>
      <c r="K816">
        <v>38742.400000000001</v>
      </c>
      <c r="L816">
        <v>116227.2</v>
      </c>
      <c r="M816">
        <v>2000</v>
      </c>
      <c r="N816" t="s">
        <v>1160</v>
      </c>
      <c r="O816" t="s">
        <v>1163</v>
      </c>
      <c r="Q816" t="str">
        <f t="shared" si="36"/>
        <v>no comment</v>
      </c>
      <c r="R816">
        <f t="shared" si="37"/>
        <v>1</v>
      </c>
      <c r="S816" s="6">
        <f t="shared" si="38"/>
        <v>0</v>
      </c>
    </row>
    <row r="817" spans="1:19" x14ac:dyDescent="0.3">
      <c r="A817" s="10">
        <v>45718</v>
      </c>
      <c r="B817" t="s">
        <v>826</v>
      </c>
      <c r="C817" t="s">
        <v>1118</v>
      </c>
      <c r="D817" t="s">
        <v>1134</v>
      </c>
      <c r="E817" t="s">
        <v>1138</v>
      </c>
      <c r="F817" t="s">
        <v>1149</v>
      </c>
      <c r="G817" t="s">
        <v>1153</v>
      </c>
      <c r="H817">
        <v>2</v>
      </c>
      <c r="I817">
        <v>71314</v>
      </c>
      <c r="J817" s="6">
        <v>15</v>
      </c>
      <c r="K817">
        <v>60616.9</v>
      </c>
      <c r="L817">
        <v>121233.8</v>
      </c>
      <c r="M817">
        <v>1000</v>
      </c>
      <c r="N817" t="s">
        <v>1161</v>
      </c>
      <c r="O817" t="s">
        <v>1163</v>
      </c>
      <c r="Q817" t="str">
        <f t="shared" si="36"/>
        <v>no comment</v>
      </c>
      <c r="R817">
        <f t="shared" si="37"/>
        <v>1</v>
      </c>
      <c r="S817" s="6">
        <f t="shared" si="38"/>
        <v>0</v>
      </c>
    </row>
    <row r="818" spans="1:19" x14ac:dyDescent="0.3">
      <c r="A818" s="10">
        <v>45727</v>
      </c>
      <c r="B818" t="s">
        <v>827</v>
      </c>
      <c r="C818" t="s">
        <v>1128</v>
      </c>
      <c r="D818" t="s">
        <v>1135</v>
      </c>
      <c r="E818" t="s">
        <v>1137</v>
      </c>
      <c r="F818" t="s">
        <v>1149</v>
      </c>
      <c r="G818" t="s">
        <v>1152</v>
      </c>
      <c r="H818">
        <v>3</v>
      </c>
      <c r="I818">
        <v>29830</v>
      </c>
      <c r="J818" s="6">
        <v>10</v>
      </c>
      <c r="K818">
        <v>26847</v>
      </c>
      <c r="L818">
        <v>80541</v>
      </c>
      <c r="M818">
        <v>1500</v>
      </c>
      <c r="N818" t="s">
        <v>1159</v>
      </c>
      <c r="O818" t="s">
        <v>1164</v>
      </c>
      <c r="P818" s="10">
        <v>45732</v>
      </c>
      <c r="Q818" t="str">
        <f t="shared" si="36"/>
        <v>excellent</v>
      </c>
      <c r="R818">
        <f t="shared" si="37"/>
        <v>3</v>
      </c>
      <c r="S818" s="6">
        <f t="shared" si="38"/>
        <v>5</v>
      </c>
    </row>
    <row r="819" spans="1:19" x14ac:dyDescent="0.3">
      <c r="A819" s="10">
        <v>45784</v>
      </c>
      <c r="B819" t="s">
        <v>828</v>
      </c>
      <c r="C819" t="s">
        <v>1132</v>
      </c>
      <c r="D819" t="s">
        <v>1134</v>
      </c>
      <c r="E819" t="s">
        <v>1143</v>
      </c>
      <c r="F819" t="s">
        <v>1151</v>
      </c>
      <c r="G819" t="s">
        <v>1157</v>
      </c>
      <c r="H819">
        <v>1</v>
      </c>
      <c r="I819">
        <v>16128</v>
      </c>
      <c r="J819" s="6">
        <v>10</v>
      </c>
      <c r="K819">
        <v>14515.2</v>
      </c>
      <c r="L819">
        <v>14515.2</v>
      </c>
      <c r="M819">
        <v>1500</v>
      </c>
      <c r="N819" t="s">
        <v>1159</v>
      </c>
      <c r="O819" t="s">
        <v>1163</v>
      </c>
      <c r="Q819" t="str">
        <f t="shared" si="36"/>
        <v>no comment</v>
      </c>
      <c r="R819">
        <f t="shared" si="37"/>
        <v>1</v>
      </c>
      <c r="S819" s="6">
        <f t="shared" si="38"/>
        <v>0</v>
      </c>
    </row>
    <row r="820" spans="1:19" x14ac:dyDescent="0.3">
      <c r="A820" s="10">
        <v>45657</v>
      </c>
      <c r="B820" t="s">
        <v>829</v>
      </c>
      <c r="C820" t="s">
        <v>1132</v>
      </c>
      <c r="D820" t="s">
        <v>1134</v>
      </c>
      <c r="E820" t="s">
        <v>1144</v>
      </c>
      <c r="F820" t="s">
        <v>1151</v>
      </c>
      <c r="G820" t="s">
        <v>1157</v>
      </c>
      <c r="H820">
        <v>2</v>
      </c>
      <c r="I820">
        <v>45921</v>
      </c>
      <c r="J820" s="6">
        <v>0</v>
      </c>
      <c r="K820">
        <v>45921</v>
      </c>
      <c r="L820">
        <v>91842</v>
      </c>
      <c r="M820">
        <v>1500</v>
      </c>
      <c r="N820" t="s">
        <v>1160</v>
      </c>
      <c r="O820" t="s">
        <v>1162</v>
      </c>
      <c r="Q820" t="str">
        <f t="shared" si="36"/>
        <v>okay</v>
      </c>
      <c r="R820">
        <f t="shared" si="37"/>
        <v>2</v>
      </c>
      <c r="S820" s="6">
        <f t="shared" si="38"/>
        <v>0</v>
      </c>
    </row>
    <row r="821" spans="1:19" x14ac:dyDescent="0.3">
      <c r="A821" s="10">
        <v>45812</v>
      </c>
      <c r="B821" t="s">
        <v>830</v>
      </c>
      <c r="C821" t="s">
        <v>1131</v>
      </c>
      <c r="D821" t="s">
        <v>1136</v>
      </c>
      <c r="E821" t="s">
        <v>1141</v>
      </c>
      <c r="F821" t="s">
        <v>1151</v>
      </c>
      <c r="G821" t="s">
        <v>1155</v>
      </c>
      <c r="H821">
        <v>3</v>
      </c>
      <c r="I821">
        <v>2174</v>
      </c>
      <c r="J821" s="6">
        <v>20</v>
      </c>
      <c r="K821">
        <v>1739.2</v>
      </c>
      <c r="L821">
        <v>5217.6000000000004</v>
      </c>
      <c r="M821">
        <v>1000</v>
      </c>
      <c r="N821" t="s">
        <v>1160</v>
      </c>
      <c r="O821" t="s">
        <v>1164</v>
      </c>
      <c r="P821" s="10">
        <v>45823</v>
      </c>
      <c r="Q821" t="str">
        <f t="shared" si="36"/>
        <v>excellent</v>
      </c>
      <c r="R821">
        <f t="shared" si="37"/>
        <v>3</v>
      </c>
      <c r="S821" s="6">
        <f t="shared" si="38"/>
        <v>11</v>
      </c>
    </row>
    <row r="822" spans="1:19" x14ac:dyDescent="0.3">
      <c r="A822" s="10">
        <v>45703</v>
      </c>
      <c r="B822" t="s">
        <v>831</v>
      </c>
      <c r="C822" t="s">
        <v>1129</v>
      </c>
      <c r="D822" t="s">
        <v>1133</v>
      </c>
      <c r="E822" t="s">
        <v>1145</v>
      </c>
      <c r="F822" t="s">
        <v>1149</v>
      </c>
      <c r="G822" t="s">
        <v>1153</v>
      </c>
      <c r="H822">
        <v>2</v>
      </c>
      <c r="I822">
        <v>35695</v>
      </c>
      <c r="J822" s="6">
        <v>20</v>
      </c>
      <c r="K822">
        <v>28556</v>
      </c>
      <c r="L822">
        <v>57112</v>
      </c>
      <c r="M822">
        <v>1500</v>
      </c>
      <c r="N822" t="s">
        <v>1160</v>
      </c>
      <c r="O822" t="s">
        <v>1164</v>
      </c>
      <c r="P822" s="10">
        <v>45709</v>
      </c>
      <c r="Q822" t="str">
        <f t="shared" si="36"/>
        <v>excellent</v>
      </c>
      <c r="R822">
        <f t="shared" si="37"/>
        <v>3</v>
      </c>
      <c r="S822" s="6">
        <f t="shared" si="38"/>
        <v>6</v>
      </c>
    </row>
    <row r="823" spans="1:19" x14ac:dyDescent="0.3">
      <c r="A823" s="10">
        <v>45737</v>
      </c>
      <c r="B823" t="s">
        <v>832</v>
      </c>
      <c r="C823" t="s">
        <v>1126</v>
      </c>
      <c r="D823" t="s">
        <v>1133</v>
      </c>
      <c r="E823" t="s">
        <v>1147</v>
      </c>
      <c r="F823" t="s">
        <v>1150</v>
      </c>
      <c r="G823" t="s">
        <v>1156</v>
      </c>
      <c r="H823">
        <v>5</v>
      </c>
      <c r="I823">
        <v>72436</v>
      </c>
      <c r="J823" s="6">
        <v>5</v>
      </c>
      <c r="K823">
        <v>68814.2</v>
      </c>
      <c r="L823">
        <v>344071</v>
      </c>
      <c r="M823">
        <v>2000</v>
      </c>
      <c r="N823" t="s">
        <v>1161</v>
      </c>
      <c r="O823" t="s">
        <v>1163</v>
      </c>
      <c r="Q823" t="str">
        <f t="shared" si="36"/>
        <v>no comment</v>
      </c>
      <c r="R823">
        <f t="shared" si="37"/>
        <v>1</v>
      </c>
      <c r="S823" s="6">
        <f t="shared" si="38"/>
        <v>0</v>
      </c>
    </row>
    <row r="824" spans="1:19" x14ac:dyDescent="0.3">
      <c r="A824" s="10">
        <v>45678</v>
      </c>
      <c r="B824" t="s">
        <v>833</v>
      </c>
      <c r="C824" t="s">
        <v>1120</v>
      </c>
      <c r="D824" t="s">
        <v>1135</v>
      </c>
      <c r="E824" t="s">
        <v>1139</v>
      </c>
      <c r="F824" t="s">
        <v>1150</v>
      </c>
      <c r="G824" t="s">
        <v>1154</v>
      </c>
      <c r="H824">
        <v>3</v>
      </c>
      <c r="I824">
        <v>4586</v>
      </c>
      <c r="J824" s="6">
        <v>10</v>
      </c>
      <c r="K824">
        <v>4127.3999999999996</v>
      </c>
      <c r="L824">
        <v>12382.2</v>
      </c>
      <c r="M824">
        <v>2000</v>
      </c>
      <c r="N824" t="s">
        <v>1159</v>
      </c>
      <c r="O824" t="s">
        <v>1162</v>
      </c>
      <c r="Q824" t="str">
        <f t="shared" si="36"/>
        <v>okay</v>
      </c>
      <c r="R824">
        <f t="shared" si="37"/>
        <v>2</v>
      </c>
      <c r="S824" s="6">
        <f t="shared" si="38"/>
        <v>0</v>
      </c>
    </row>
    <row r="825" spans="1:19" x14ac:dyDescent="0.3">
      <c r="A825" s="10">
        <v>45711</v>
      </c>
      <c r="B825" t="s">
        <v>834</v>
      </c>
      <c r="C825" t="s">
        <v>1120</v>
      </c>
      <c r="D825" t="s">
        <v>1135</v>
      </c>
      <c r="E825" t="s">
        <v>1145</v>
      </c>
      <c r="F825" t="s">
        <v>1149</v>
      </c>
      <c r="G825" t="s">
        <v>1153</v>
      </c>
      <c r="H825">
        <v>1</v>
      </c>
      <c r="I825">
        <v>30415</v>
      </c>
      <c r="J825" s="6">
        <v>10</v>
      </c>
      <c r="K825">
        <v>27373.5</v>
      </c>
      <c r="L825">
        <v>27373.5</v>
      </c>
      <c r="M825">
        <v>1000</v>
      </c>
      <c r="N825" t="s">
        <v>1159</v>
      </c>
      <c r="O825" t="s">
        <v>1163</v>
      </c>
      <c r="Q825" t="str">
        <f t="shared" si="36"/>
        <v>no comment</v>
      </c>
      <c r="R825">
        <f t="shared" si="37"/>
        <v>1</v>
      </c>
      <c r="S825" s="6">
        <f t="shared" si="38"/>
        <v>0</v>
      </c>
    </row>
    <row r="826" spans="1:19" x14ac:dyDescent="0.3">
      <c r="A826" s="10">
        <v>45694</v>
      </c>
      <c r="B826" t="s">
        <v>835</v>
      </c>
      <c r="C826" t="s">
        <v>1125</v>
      </c>
      <c r="D826" t="s">
        <v>1133</v>
      </c>
      <c r="E826" t="s">
        <v>1142</v>
      </c>
      <c r="F826" t="s">
        <v>1150</v>
      </c>
      <c r="G826" t="s">
        <v>1156</v>
      </c>
      <c r="H826">
        <v>2</v>
      </c>
      <c r="I826">
        <v>71130</v>
      </c>
      <c r="J826" s="6">
        <v>5</v>
      </c>
      <c r="K826">
        <v>67573.5</v>
      </c>
      <c r="L826">
        <v>135147</v>
      </c>
      <c r="M826">
        <v>2000</v>
      </c>
      <c r="N826" t="s">
        <v>1160</v>
      </c>
      <c r="O826" t="s">
        <v>1163</v>
      </c>
      <c r="Q826" t="str">
        <f t="shared" si="36"/>
        <v>no comment</v>
      </c>
      <c r="R826">
        <f t="shared" si="37"/>
        <v>1</v>
      </c>
      <c r="S826" s="6">
        <f t="shared" si="38"/>
        <v>0</v>
      </c>
    </row>
    <row r="827" spans="1:19" x14ac:dyDescent="0.3">
      <c r="A827" s="10">
        <v>45816</v>
      </c>
      <c r="B827" t="s">
        <v>836</v>
      </c>
      <c r="C827" t="s">
        <v>1124</v>
      </c>
      <c r="D827" t="s">
        <v>1135</v>
      </c>
      <c r="E827" t="s">
        <v>1143</v>
      </c>
      <c r="F827" t="s">
        <v>1151</v>
      </c>
      <c r="G827" t="s">
        <v>1157</v>
      </c>
      <c r="H827">
        <v>5</v>
      </c>
      <c r="I827">
        <v>24783</v>
      </c>
      <c r="J827" s="6">
        <v>5</v>
      </c>
      <c r="K827">
        <v>23543.85</v>
      </c>
      <c r="L827">
        <v>117719.25</v>
      </c>
      <c r="M827">
        <v>2000</v>
      </c>
      <c r="N827" t="s">
        <v>1161</v>
      </c>
      <c r="O827" t="s">
        <v>1163</v>
      </c>
      <c r="Q827" t="str">
        <f t="shared" si="36"/>
        <v>no comment</v>
      </c>
      <c r="R827">
        <f t="shared" si="37"/>
        <v>1</v>
      </c>
      <c r="S827" s="6">
        <f t="shared" si="38"/>
        <v>0</v>
      </c>
    </row>
    <row r="828" spans="1:19" x14ac:dyDescent="0.3">
      <c r="A828" s="10">
        <v>45731</v>
      </c>
      <c r="B828" t="s">
        <v>837</v>
      </c>
      <c r="C828" t="s">
        <v>1128</v>
      </c>
      <c r="D828" t="s">
        <v>1135</v>
      </c>
      <c r="E828" t="s">
        <v>1139</v>
      </c>
      <c r="F828" t="s">
        <v>1150</v>
      </c>
      <c r="G828" t="s">
        <v>1154</v>
      </c>
      <c r="H828">
        <v>2</v>
      </c>
      <c r="I828">
        <v>33973</v>
      </c>
      <c r="J828" s="6">
        <v>5</v>
      </c>
      <c r="K828">
        <v>32274.35</v>
      </c>
      <c r="L828">
        <v>64548.7</v>
      </c>
      <c r="M828">
        <v>1500</v>
      </c>
      <c r="N828" t="s">
        <v>1159</v>
      </c>
      <c r="O828" t="s">
        <v>1163</v>
      </c>
      <c r="Q828" t="str">
        <f t="shared" si="36"/>
        <v>no comment</v>
      </c>
      <c r="R828">
        <f t="shared" si="37"/>
        <v>1</v>
      </c>
      <c r="S828" s="6">
        <f t="shared" si="38"/>
        <v>0</v>
      </c>
    </row>
    <row r="829" spans="1:19" x14ac:dyDescent="0.3">
      <c r="A829" s="10">
        <v>45833</v>
      </c>
      <c r="B829" t="s">
        <v>838</v>
      </c>
      <c r="C829" t="s">
        <v>1119</v>
      </c>
      <c r="D829" t="s">
        <v>1134</v>
      </c>
      <c r="E829" t="s">
        <v>1140</v>
      </c>
      <c r="F829" t="s">
        <v>1150</v>
      </c>
      <c r="G829" t="s">
        <v>1154</v>
      </c>
      <c r="H829">
        <v>3</v>
      </c>
      <c r="I829">
        <v>23847</v>
      </c>
      <c r="J829" s="6">
        <v>5</v>
      </c>
      <c r="K829">
        <v>22654.65</v>
      </c>
      <c r="L829">
        <v>67963.950000000012</v>
      </c>
      <c r="M829">
        <v>2000</v>
      </c>
      <c r="N829" t="s">
        <v>1161</v>
      </c>
      <c r="O829" t="s">
        <v>1163</v>
      </c>
      <c r="Q829" t="str">
        <f t="shared" si="36"/>
        <v>no comment</v>
      </c>
      <c r="R829">
        <f t="shared" si="37"/>
        <v>1</v>
      </c>
      <c r="S829" s="6">
        <f t="shared" si="38"/>
        <v>0</v>
      </c>
    </row>
    <row r="830" spans="1:19" x14ac:dyDescent="0.3">
      <c r="A830" s="10">
        <v>45821</v>
      </c>
      <c r="B830" t="s">
        <v>839</v>
      </c>
      <c r="C830" t="s">
        <v>1122</v>
      </c>
      <c r="D830" t="s">
        <v>1136</v>
      </c>
      <c r="E830" t="s">
        <v>1147</v>
      </c>
      <c r="F830" t="s">
        <v>1150</v>
      </c>
      <c r="G830" t="s">
        <v>1156</v>
      </c>
      <c r="H830">
        <v>4</v>
      </c>
      <c r="I830">
        <v>66773</v>
      </c>
      <c r="J830" s="6">
        <v>10</v>
      </c>
      <c r="K830">
        <v>60095.7</v>
      </c>
      <c r="L830">
        <v>240382.8</v>
      </c>
      <c r="M830">
        <v>1500</v>
      </c>
      <c r="N830" t="s">
        <v>1161</v>
      </c>
      <c r="O830" t="s">
        <v>1162</v>
      </c>
      <c r="Q830" t="str">
        <f t="shared" si="36"/>
        <v>okay</v>
      </c>
      <c r="R830">
        <f t="shared" si="37"/>
        <v>2</v>
      </c>
      <c r="S830" s="6">
        <f t="shared" si="38"/>
        <v>0</v>
      </c>
    </row>
    <row r="831" spans="1:19" x14ac:dyDescent="0.3">
      <c r="A831" s="10">
        <v>45740</v>
      </c>
      <c r="B831" t="s">
        <v>840</v>
      </c>
      <c r="C831" t="s">
        <v>1126</v>
      </c>
      <c r="D831" t="s">
        <v>1133</v>
      </c>
      <c r="E831" t="s">
        <v>1138</v>
      </c>
      <c r="F831" t="s">
        <v>1149</v>
      </c>
      <c r="G831" t="s">
        <v>1153</v>
      </c>
      <c r="H831">
        <v>3</v>
      </c>
      <c r="I831">
        <v>52354</v>
      </c>
      <c r="J831" s="6">
        <v>0</v>
      </c>
      <c r="K831">
        <v>52354</v>
      </c>
      <c r="L831">
        <v>157062</v>
      </c>
      <c r="M831">
        <v>1000</v>
      </c>
      <c r="N831" t="s">
        <v>1159</v>
      </c>
      <c r="O831" t="s">
        <v>1164</v>
      </c>
      <c r="P831" s="10">
        <v>45747</v>
      </c>
      <c r="Q831" t="str">
        <f t="shared" si="36"/>
        <v>excellent</v>
      </c>
      <c r="R831">
        <f t="shared" si="37"/>
        <v>3</v>
      </c>
      <c r="S831" s="6">
        <f t="shared" si="38"/>
        <v>7</v>
      </c>
    </row>
    <row r="832" spans="1:19" x14ac:dyDescent="0.3">
      <c r="A832" s="10">
        <v>45810</v>
      </c>
      <c r="B832" t="s">
        <v>841</v>
      </c>
      <c r="C832" t="s">
        <v>1131</v>
      </c>
      <c r="D832" t="s">
        <v>1136</v>
      </c>
      <c r="E832" t="s">
        <v>1146</v>
      </c>
      <c r="F832" t="s">
        <v>1151</v>
      </c>
      <c r="G832" t="s">
        <v>1155</v>
      </c>
      <c r="H832">
        <v>1</v>
      </c>
      <c r="I832">
        <v>52130</v>
      </c>
      <c r="J832" s="6">
        <v>5</v>
      </c>
      <c r="K832">
        <v>49523.5</v>
      </c>
      <c r="L832">
        <v>49523.5</v>
      </c>
      <c r="M832">
        <v>1000</v>
      </c>
      <c r="N832" t="s">
        <v>1160</v>
      </c>
      <c r="O832" t="s">
        <v>1163</v>
      </c>
      <c r="Q832" t="str">
        <f t="shared" si="36"/>
        <v>no comment</v>
      </c>
      <c r="R832">
        <f t="shared" si="37"/>
        <v>1</v>
      </c>
      <c r="S832" s="6">
        <f t="shared" si="38"/>
        <v>0</v>
      </c>
    </row>
    <row r="833" spans="1:19" x14ac:dyDescent="0.3">
      <c r="A833" s="10">
        <v>45719</v>
      </c>
      <c r="B833" t="s">
        <v>842</v>
      </c>
      <c r="C833" t="s">
        <v>1123</v>
      </c>
      <c r="D833" t="s">
        <v>1135</v>
      </c>
      <c r="E833" t="s">
        <v>1140</v>
      </c>
      <c r="F833" t="s">
        <v>1150</v>
      </c>
      <c r="G833" t="s">
        <v>1154</v>
      </c>
      <c r="H833">
        <v>3</v>
      </c>
      <c r="I833">
        <v>38318</v>
      </c>
      <c r="J833" s="6">
        <v>5</v>
      </c>
      <c r="K833">
        <v>36402.1</v>
      </c>
      <c r="L833">
        <v>109206.3</v>
      </c>
      <c r="M833">
        <v>2000</v>
      </c>
      <c r="N833" t="s">
        <v>1160</v>
      </c>
      <c r="O833" t="s">
        <v>1162</v>
      </c>
      <c r="Q833" t="str">
        <f t="shared" si="36"/>
        <v>okay</v>
      </c>
      <c r="R833">
        <f t="shared" si="37"/>
        <v>2</v>
      </c>
      <c r="S833" s="6">
        <f t="shared" si="38"/>
        <v>0</v>
      </c>
    </row>
    <row r="834" spans="1:19" x14ac:dyDescent="0.3">
      <c r="A834" s="10">
        <v>45745</v>
      </c>
      <c r="B834" t="s">
        <v>843</v>
      </c>
      <c r="C834" t="s">
        <v>1125</v>
      </c>
      <c r="D834" t="s">
        <v>1133</v>
      </c>
      <c r="E834" t="s">
        <v>1141</v>
      </c>
      <c r="F834" t="s">
        <v>1151</v>
      </c>
      <c r="G834" t="s">
        <v>1155</v>
      </c>
      <c r="H834">
        <v>3</v>
      </c>
      <c r="I834">
        <v>40518</v>
      </c>
      <c r="J834" s="6">
        <v>10</v>
      </c>
      <c r="K834">
        <v>34440.300000000003</v>
      </c>
      <c r="L834">
        <v>103320.9</v>
      </c>
      <c r="M834">
        <v>1000</v>
      </c>
      <c r="N834" t="s">
        <v>1159</v>
      </c>
      <c r="O834" t="s">
        <v>1164</v>
      </c>
      <c r="P834" s="10">
        <v>45751</v>
      </c>
      <c r="Q834" t="str">
        <f t="shared" ref="Q834:Q897" si="39">IF(O834="delivered","excellent",IF(O834="in transit","okay",IF(O834="failed","no comment")))</f>
        <v>excellent</v>
      </c>
      <c r="R834">
        <f t="shared" si="37"/>
        <v>3</v>
      </c>
      <c r="S834" s="6">
        <f t="shared" si="38"/>
        <v>6</v>
      </c>
    </row>
    <row r="835" spans="1:19" x14ac:dyDescent="0.3">
      <c r="A835" s="10">
        <v>45691</v>
      </c>
      <c r="B835" t="s">
        <v>844</v>
      </c>
      <c r="C835" t="s">
        <v>1123</v>
      </c>
      <c r="D835" t="s">
        <v>1135</v>
      </c>
      <c r="E835" t="s">
        <v>1145</v>
      </c>
      <c r="F835" t="s">
        <v>1149</v>
      </c>
      <c r="G835" t="s">
        <v>1153</v>
      </c>
      <c r="H835">
        <v>3</v>
      </c>
      <c r="I835">
        <v>2587</v>
      </c>
      <c r="J835" s="6">
        <v>20</v>
      </c>
      <c r="K835">
        <v>2069.6</v>
      </c>
      <c r="L835">
        <v>6208.7999999999993</v>
      </c>
      <c r="M835">
        <v>1500</v>
      </c>
      <c r="N835" t="s">
        <v>1159</v>
      </c>
      <c r="O835" t="s">
        <v>1163</v>
      </c>
      <c r="Q835" t="str">
        <f t="shared" si="39"/>
        <v>no comment</v>
      </c>
      <c r="R835">
        <f t="shared" ref="R835:R898" si="40">IF(Q835="excellent",3,IF(Q835="no comment",1,IF(Q835="okay",2)))</f>
        <v>1</v>
      </c>
      <c r="S835" s="6">
        <f t="shared" ref="S835:S898" si="41">(IFERROR(DATEDIF(A835,P835,"d"),0))</f>
        <v>0</v>
      </c>
    </row>
    <row r="836" spans="1:19" x14ac:dyDescent="0.3">
      <c r="A836" s="10">
        <v>45788</v>
      </c>
      <c r="B836" t="s">
        <v>845</v>
      </c>
      <c r="C836" t="s">
        <v>1127</v>
      </c>
      <c r="D836" t="s">
        <v>1134</v>
      </c>
      <c r="E836" t="s">
        <v>1137</v>
      </c>
      <c r="F836" t="s">
        <v>1149</v>
      </c>
      <c r="G836" t="s">
        <v>1152</v>
      </c>
      <c r="H836">
        <v>2</v>
      </c>
      <c r="I836">
        <v>23765</v>
      </c>
      <c r="J836" s="6">
        <v>0</v>
      </c>
      <c r="K836">
        <v>23765</v>
      </c>
      <c r="L836">
        <v>47530</v>
      </c>
      <c r="M836">
        <v>2000</v>
      </c>
      <c r="N836" t="s">
        <v>1159</v>
      </c>
      <c r="O836" t="s">
        <v>1163</v>
      </c>
      <c r="Q836" t="str">
        <f t="shared" si="39"/>
        <v>no comment</v>
      </c>
      <c r="R836">
        <f t="shared" si="40"/>
        <v>1</v>
      </c>
      <c r="S836" s="6">
        <f t="shared" si="41"/>
        <v>0</v>
      </c>
    </row>
    <row r="837" spans="1:19" x14ac:dyDescent="0.3">
      <c r="A837" s="10">
        <v>45754</v>
      </c>
      <c r="B837" t="s">
        <v>846</v>
      </c>
      <c r="C837" t="s">
        <v>1129</v>
      </c>
      <c r="D837" t="s">
        <v>1133</v>
      </c>
      <c r="E837" t="s">
        <v>1145</v>
      </c>
      <c r="F837" t="s">
        <v>1149</v>
      </c>
      <c r="G837" t="s">
        <v>1153</v>
      </c>
      <c r="H837">
        <v>1</v>
      </c>
      <c r="I837">
        <v>53963</v>
      </c>
      <c r="J837" s="6">
        <v>5</v>
      </c>
      <c r="K837">
        <v>51264.85</v>
      </c>
      <c r="L837">
        <v>51264.85</v>
      </c>
      <c r="M837">
        <v>1000</v>
      </c>
      <c r="N837" t="s">
        <v>1160</v>
      </c>
      <c r="O837" t="s">
        <v>1164</v>
      </c>
      <c r="P837" s="10">
        <v>45762</v>
      </c>
      <c r="Q837" t="str">
        <f t="shared" si="39"/>
        <v>excellent</v>
      </c>
      <c r="R837">
        <f t="shared" si="40"/>
        <v>3</v>
      </c>
      <c r="S837" s="6">
        <f t="shared" si="41"/>
        <v>8</v>
      </c>
    </row>
    <row r="838" spans="1:19" x14ac:dyDescent="0.3">
      <c r="A838" s="10">
        <v>45690</v>
      </c>
      <c r="B838" t="s">
        <v>847</v>
      </c>
      <c r="C838" t="s">
        <v>1121</v>
      </c>
      <c r="D838" t="s">
        <v>1136</v>
      </c>
      <c r="E838" t="s">
        <v>1145</v>
      </c>
      <c r="F838" t="s">
        <v>1149</v>
      </c>
      <c r="G838" t="s">
        <v>1153</v>
      </c>
      <c r="H838">
        <v>4</v>
      </c>
      <c r="I838">
        <v>29396</v>
      </c>
      <c r="J838" s="6">
        <v>10</v>
      </c>
      <c r="K838">
        <v>26456.400000000001</v>
      </c>
      <c r="L838">
        <v>105825.60000000001</v>
      </c>
      <c r="M838">
        <v>2000</v>
      </c>
      <c r="N838" t="s">
        <v>1160</v>
      </c>
      <c r="O838" t="s">
        <v>1163</v>
      </c>
      <c r="Q838" t="str">
        <f t="shared" si="39"/>
        <v>no comment</v>
      </c>
      <c r="R838">
        <f t="shared" si="40"/>
        <v>1</v>
      </c>
      <c r="S838" s="6">
        <f t="shared" si="41"/>
        <v>0</v>
      </c>
    </row>
    <row r="839" spans="1:19" x14ac:dyDescent="0.3">
      <c r="A839" s="10">
        <v>45743</v>
      </c>
      <c r="B839" t="s">
        <v>848</v>
      </c>
      <c r="C839" t="s">
        <v>1126</v>
      </c>
      <c r="D839" t="s">
        <v>1133</v>
      </c>
      <c r="E839" t="s">
        <v>1143</v>
      </c>
      <c r="F839" t="s">
        <v>1151</v>
      </c>
      <c r="G839" t="s">
        <v>1157</v>
      </c>
      <c r="H839">
        <v>5</v>
      </c>
      <c r="I839">
        <v>46492</v>
      </c>
      <c r="J839" s="6">
        <v>10</v>
      </c>
      <c r="K839">
        <v>41842.800000000003</v>
      </c>
      <c r="L839">
        <v>209214</v>
      </c>
      <c r="M839">
        <v>1500</v>
      </c>
      <c r="N839" t="s">
        <v>1161</v>
      </c>
      <c r="O839" t="s">
        <v>1162</v>
      </c>
      <c r="Q839" t="str">
        <f t="shared" si="39"/>
        <v>okay</v>
      </c>
      <c r="R839">
        <f t="shared" si="40"/>
        <v>2</v>
      </c>
      <c r="S839" s="6">
        <f t="shared" si="41"/>
        <v>0</v>
      </c>
    </row>
    <row r="840" spans="1:19" x14ac:dyDescent="0.3">
      <c r="A840" s="10">
        <v>45687</v>
      </c>
      <c r="B840" t="s">
        <v>849</v>
      </c>
      <c r="C840" t="s">
        <v>1127</v>
      </c>
      <c r="D840" t="s">
        <v>1134</v>
      </c>
      <c r="E840" t="s">
        <v>1138</v>
      </c>
      <c r="F840" t="s">
        <v>1149</v>
      </c>
      <c r="G840" t="s">
        <v>1153</v>
      </c>
      <c r="H840">
        <v>2</v>
      </c>
      <c r="I840">
        <v>59269</v>
      </c>
      <c r="J840" s="6">
        <v>15</v>
      </c>
      <c r="K840">
        <v>50378.65</v>
      </c>
      <c r="L840">
        <v>100757.3</v>
      </c>
      <c r="M840">
        <v>1500</v>
      </c>
      <c r="N840" t="s">
        <v>1159</v>
      </c>
      <c r="O840" t="s">
        <v>1164</v>
      </c>
      <c r="P840" s="10">
        <v>45699</v>
      </c>
      <c r="Q840" t="str">
        <f t="shared" si="39"/>
        <v>excellent</v>
      </c>
      <c r="R840">
        <f t="shared" si="40"/>
        <v>3</v>
      </c>
      <c r="S840" s="6">
        <f t="shared" si="41"/>
        <v>12</v>
      </c>
    </row>
    <row r="841" spans="1:19" x14ac:dyDescent="0.3">
      <c r="A841" s="10">
        <v>45676</v>
      </c>
      <c r="B841" t="s">
        <v>850</v>
      </c>
      <c r="C841" t="s">
        <v>1119</v>
      </c>
      <c r="D841" t="s">
        <v>1134</v>
      </c>
      <c r="E841" t="s">
        <v>1147</v>
      </c>
      <c r="F841" t="s">
        <v>1150</v>
      </c>
      <c r="G841" t="s">
        <v>1156</v>
      </c>
      <c r="H841">
        <v>5</v>
      </c>
      <c r="I841">
        <v>16089</v>
      </c>
      <c r="J841" s="6">
        <v>10</v>
      </c>
      <c r="K841">
        <v>14480.1</v>
      </c>
      <c r="L841">
        <v>72400.5</v>
      </c>
      <c r="M841">
        <v>1000</v>
      </c>
      <c r="N841" t="s">
        <v>1160</v>
      </c>
      <c r="O841" t="s">
        <v>1164</v>
      </c>
      <c r="P841" s="10">
        <v>45683</v>
      </c>
      <c r="Q841" t="str">
        <f t="shared" si="39"/>
        <v>excellent</v>
      </c>
      <c r="R841">
        <f t="shared" si="40"/>
        <v>3</v>
      </c>
      <c r="S841" s="6">
        <f t="shared" si="41"/>
        <v>7</v>
      </c>
    </row>
    <row r="842" spans="1:19" x14ac:dyDescent="0.3">
      <c r="A842" s="10">
        <v>45761</v>
      </c>
      <c r="B842" t="s">
        <v>851</v>
      </c>
      <c r="C842" t="s">
        <v>1132</v>
      </c>
      <c r="D842" t="s">
        <v>1134</v>
      </c>
      <c r="E842" t="s">
        <v>1139</v>
      </c>
      <c r="F842" t="s">
        <v>1150</v>
      </c>
      <c r="G842" t="s">
        <v>1154</v>
      </c>
      <c r="H842">
        <v>5</v>
      </c>
      <c r="I842">
        <v>36181</v>
      </c>
      <c r="J842" s="6">
        <v>0</v>
      </c>
      <c r="K842">
        <v>36181</v>
      </c>
      <c r="L842">
        <v>180905</v>
      </c>
      <c r="M842">
        <v>1000</v>
      </c>
      <c r="N842" t="s">
        <v>1161</v>
      </c>
      <c r="O842" t="s">
        <v>1162</v>
      </c>
      <c r="Q842" t="str">
        <f t="shared" si="39"/>
        <v>okay</v>
      </c>
      <c r="R842">
        <f t="shared" si="40"/>
        <v>2</v>
      </c>
      <c r="S842" s="6">
        <f t="shared" si="41"/>
        <v>0</v>
      </c>
    </row>
    <row r="843" spans="1:19" x14ac:dyDescent="0.3">
      <c r="A843" s="10">
        <v>45791</v>
      </c>
      <c r="B843" t="s">
        <v>852</v>
      </c>
      <c r="C843" t="s">
        <v>1124</v>
      </c>
      <c r="D843" t="s">
        <v>1135</v>
      </c>
      <c r="E843" t="s">
        <v>1143</v>
      </c>
      <c r="F843" t="s">
        <v>1151</v>
      </c>
      <c r="G843" t="s">
        <v>1157</v>
      </c>
      <c r="H843">
        <v>2</v>
      </c>
      <c r="I843">
        <v>5102</v>
      </c>
      <c r="J843" s="6">
        <v>5</v>
      </c>
      <c r="K843">
        <v>4846.8999999999996</v>
      </c>
      <c r="L843">
        <v>9693.7999999999993</v>
      </c>
      <c r="M843">
        <v>1500</v>
      </c>
      <c r="N843" t="s">
        <v>1160</v>
      </c>
      <c r="O843" t="s">
        <v>1164</v>
      </c>
      <c r="P843" s="10">
        <v>45799</v>
      </c>
      <c r="Q843" t="str">
        <f t="shared" si="39"/>
        <v>excellent</v>
      </c>
      <c r="R843">
        <f t="shared" si="40"/>
        <v>3</v>
      </c>
      <c r="S843" s="6">
        <f t="shared" si="41"/>
        <v>8</v>
      </c>
    </row>
    <row r="844" spans="1:19" x14ac:dyDescent="0.3">
      <c r="A844" s="10">
        <v>45703</v>
      </c>
      <c r="B844" t="s">
        <v>853</v>
      </c>
      <c r="C844" t="s">
        <v>1128</v>
      </c>
      <c r="D844" t="s">
        <v>1135</v>
      </c>
      <c r="E844" t="s">
        <v>1141</v>
      </c>
      <c r="F844" t="s">
        <v>1151</v>
      </c>
      <c r="G844" t="s">
        <v>1155</v>
      </c>
      <c r="H844">
        <v>1</v>
      </c>
      <c r="I844">
        <v>50937</v>
      </c>
      <c r="J844" s="6">
        <v>15</v>
      </c>
      <c r="K844">
        <v>43296.45</v>
      </c>
      <c r="L844">
        <v>43296.45</v>
      </c>
      <c r="M844">
        <v>2000</v>
      </c>
      <c r="N844" t="s">
        <v>1161</v>
      </c>
      <c r="O844" t="s">
        <v>1163</v>
      </c>
      <c r="Q844" t="str">
        <f t="shared" si="39"/>
        <v>no comment</v>
      </c>
      <c r="R844">
        <f t="shared" si="40"/>
        <v>1</v>
      </c>
      <c r="S844" s="6">
        <f t="shared" si="41"/>
        <v>0</v>
      </c>
    </row>
    <row r="845" spans="1:19" x14ac:dyDescent="0.3">
      <c r="A845" s="10">
        <v>45706</v>
      </c>
      <c r="B845" t="s">
        <v>854</v>
      </c>
      <c r="C845" t="s">
        <v>1124</v>
      </c>
      <c r="D845" t="s">
        <v>1135</v>
      </c>
      <c r="E845" t="s">
        <v>1144</v>
      </c>
      <c r="F845" t="s">
        <v>1151</v>
      </c>
      <c r="G845" t="s">
        <v>1157</v>
      </c>
      <c r="H845">
        <v>2</v>
      </c>
      <c r="I845">
        <v>16095</v>
      </c>
      <c r="J845" s="6">
        <v>20</v>
      </c>
      <c r="K845">
        <v>12876</v>
      </c>
      <c r="L845">
        <v>25752</v>
      </c>
      <c r="M845">
        <v>1000</v>
      </c>
      <c r="N845" t="s">
        <v>1159</v>
      </c>
      <c r="O845" t="s">
        <v>1162</v>
      </c>
      <c r="Q845" t="str">
        <f t="shared" si="39"/>
        <v>okay</v>
      </c>
      <c r="R845">
        <f t="shared" si="40"/>
        <v>2</v>
      </c>
      <c r="S845" s="6">
        <f t="shared" si="41"/>
        <v>0</v>
      </c>
    </row>
    <row r="846" spans="1:19" x14ac:dyDescent="0.3">
      <c r="A846" s="10">
        <v>45717</v>
      </c>
      <c r="B846" t="s">
        <v>855</v>
      </c>
      <c r="C846" t="s">
        <v>1127</v>
      </c>
      <c r="D846" t="s">
        <v>1134</v>
      </c>
      <c r="E846" t="s">
        <v>1146</v>
      </c>
      <c r="F846" t="s">
        <v>1151</v>
      </c>
      <c r="G846" t="s">
        <v>1155</v>
      </c>
      <c r="H846">
        <v>2</v>
      </c>
      <c r="I846">
        <v>76934</v>
      </c>
      <c r="J846" s="6">
        <v>20</v>
      </c>
      <c r="K846">
        <v>61547.199999999997</v>
      </c>
      <c r="L846">
        <v>123094.39999999999</v>
      </c>
      <c r="M846">
        <v>1500</v>
      </c>
      <c r="N846" t="s">
        <v>1160</v>
      </c>
      <c r="O846" t="s">
        <v>1163</v>
      </c>
      <c r="Q846" t="str">
        <f t="shared" si="39"/>
        <v>no comment</v>
      </c>
      <c r="R846">
        <f t="shared" si="40"/>
        <v>1</v>
      </c>
      <c r="S846" s="6">
        <f t="shared" si="41"/>
        <v>0</v>
      </c>
    </row>
    <row r="847" spans="1:19" x14ac:dyDescent="0.3">
      <c r="A847" s="10">
        <v>45763</v>
      </c>
      <c r="B847" t="s">
        <v>856</v>
      </c>
      <c r="C847" t="s">
        <v>1131</v>
      </c>
      <c r="D847" t="s">
        <v>1136</v>
      </c>
      <c r="E847" t="s">
        <v>1142</v>
      </c>
      <c r="F847" t="s">
        <v>1150</v>
      </c>
      <c r="G847" t="s">
        <v>1156</v>
      </c>
      <c r="H847">
        <v>3</v>
      </c>
      <c r="I847">
        <v>30063</v>
      </c>
      <c r="J847" s="6">
        <v>10</v>
      </c>
      <c r="K847">
        <v>27056.7</v>
      </c>
      <c r="L847">
        <v>81170.100000000006</v>
      </c>
      <c r="M847">
        <v>2000</v>
      </c>
      <c r="N847" t="s">
        <v>1159</v>
      </c>
      <c r="O847" t="s">
        <v>1162</v>
      </c>
      <c r="Q847" t="str">
        <f t="shared" si="39"/>
        <v>okay</v>
      </c>
      <c r="R847">
        <f t="shared" si="40"/>
        <v>2</v>
      </c>
      <c r="S847" s="6">
        <f t="shared" si="41"/>
        <v>0</v>
      </c>
    </row>
    <row r="848" spans="1:19" x14ac:dyDescent="0.3">
      <c r="A848" s="10">
        <v>45828</v>
      </c>
      <c r="B848" t="s">
        <v>857</v>
      </c>
      <c r="C848" t="s">
        <v>1126</v>
      </c>
      <c r="D848" t="s">
        <v>1133</v>
      </c>
      <c r="E848" t="s">
        <v>1147</v>
      </c>
      <c r="F848" t="s">
        <v>1150</v>
      </c>
      <c r="G848" t="s">
        <v>1156</v>
      </c>
      <c r="H848">
        <v>4</v>
      </c>
      <c r="I848">
        <v>44059</v>
      </c>
      <c r="J848" s="6">
        <v>5</v>
      </c>
      <c r="K848">
        <v>41856.050000000003</v>
      </c>
      <c r="L848">
        <v>167424.20000000001</v>
      </c>
      <c r="M848">
        <v>2000</v>
      </c>
      <c r="N848" t="s">
        <v>1161</v>
      </c>
      <c r="O848" t="s">
        <v>1162</v>
      </c>
      <c r="Q848" t="str">
        <f t="shared" si="39"/>
        <v>okay</v>
      </c>
      <c r="R848">
        <f t="shared" si="40"/>
        <v>2</v>
      </c>
      <c r="S848" s="6">
        <f t="shared" si="41"/>
        <v>0</v>
      </c>
    </row>
    <row r="849" spans="1:19" x14ac:dyDescent="0.3">
      <c r="A849" s="10">
        <v>45679</v>
      </c>
      <c r="B849" t="s">
        <v>858</v>
      </c>
      <c r="C849" t="s">
        <v>1126</v>
      </c>
      <c r="D849" t="s">
        <v>1133</v>
      </c>
      <c r="E849" t="s">
        <v>1145</v>
      </c>
      <c r="F849" t="s">
        <v>1149</v>
      </c>
      <c r="G849" t="s">
        <v>1153</v>
      </c>
      <c r="H849">
        <v>1</v>
      </c>
      <c r="I849">
        <v>68784</v>
      </c>
      <c r="J849" s="6">
        <v>0</v>
      </c>
      <c r="K849">
        <v>68784</v>
      </c>
      <c r="L849">
        <v>68784</v>
      </c>
      <c r="M849">
        <v>2000</v>
      </c>
      <c r="N849" t="s">
        <v>1159</v>
      </c>
      <c r="O849" t="s">
        <v>1162</v>
      </c>
      <c r="Q849" t="str">
        <f t="shared" si="39"/>
        <v>okay</v>
      </c>
      <c r="R849">
        <f t="shared" si="40"/>
        <v>2</v>
      </c>
      <c r="S849" s="6">
        <f t="shared" si="41"/>
        <v>0</v>
      </c>
    </row>
    <row r="850" spans="1:19" x14ac:dyDescent="0.3">
      <c r="A850" s="10">
        <v>45668</v>
      </c>
      <c r="B850" t="s">
        <v>859</v>
      </c>
      <c r="C850" t="s">
        <v>1121</v>
      </c>
      <c r="D850" t="s">
        <v>1136</v>
      </c>
      <c r="E850" t="s">
        <v>1137</v>
      </c>
      <c r="F850" t="s">
        <v>1149</v>
      </c>
      <c r="G850" t="s">
        <v>1152</v>
      </c>
      <c r="H850">
        <v>1</v>
      </c>
      <c r="I850">
        <v>19441</v>
      </c>
      <c r="J850" s="6">
        <v>0</v>
      </c>
      <c r="K850">
        <v>19441</v>
      </c>
      <c r="L850">
        <v>19441</v>
      </c>
      <c r="M850">
        <v>1000</v>
      </c>
      <c r="N850" t="s">
        <v>1160</v>
      </c>
      <c r="O850" t="s">
        <v>1162</v>
      </c>
      <c r="Q850" t="str">
        <f t="shared" si="39"/>
        <v>okay</v>
      </c>
      <c r="R850">
        <f t="shared" si="40"/>
        <v>2</v>
      </c>
      <c r="S850" s="6">
        <f t="shared" si="41"/>
        <v>0</v>
      </c>
    </row>
    <row r="851" spans="1:19" x14ac:dyDescent="0.3">
      <c r="A851" s="10">
        <v>45801</v>
      </c>
      <c r="B851" t="s">
        <v>860</v>
      </c>
      <c r="C851" t="s">
        <v>1121</v>
      </c>
      <c r="D851" t="s">
        <v>1136</v>
      </c>
      <c r="E851" t="s">
        <v>1140</v>
      </c>
      <c r="F851" t="s">
        <v>1150</v>
      </c>
      <c r="G851" t="s">
        <v>1154</v>
      </c>
      <c r="H851">
        <v>4</v>
      </c>
      <c r="I851">
        <v>62899</v>
      </c>
      <c r="J851" s="6">
        <v>20</v>
      </c>
      <c r="K851">
        <v>50319.199999999997</v>
      </c>
      <c r="L851">
        <v>201276.79999999999</v>
      </c>
      <c r="M851">
        <v>1000</v>
      </c>
      <c r="N851" t="s">
        <v>1160</v>
      </c>
      <c r="O851" t="s">
        <v>1164</v>
      </c>
      <c r="P851" s="10">
        <v>45807</v>
      </c>
      <c r="Q851" t="str">
        <f t="shared" si="39"/>
        <v>excellent</v>
      </c>
      <c r="R851">
        <f t="shared" si="40"/>
        <v>3</v>
      </c>
      <c r="S851" s="6">
        <f t="shared" si="41"/>
        <v>6</v>
      </c>
    </row>
    <row r="852" spans="1:19" x14ac:dyDescent="0.3">
      <c r="A852" s="10">
        <v>45751</v>
      </c>
      <c r="B852" t="s">
        <v>861</v>
      </c>
      <c r="C852" t="s">
        <v>1123</v>
      </c>
      <c r="D852" t="s">
        <v>1135</v>
      </c>
      <c r="E852" t="s">
        <v>1147</v>
      </c>
      <c r="F852" t="s">
        <v>1150</v>
      </c>
      <c r="G852" t="s">
        <v>1156</v>
      </c>
      <c r="H852">
        <v>1</v>
      </c>
      <c r="I852">
        <v>58571</v>
      </c>
      <c r="J852" s="6">
        <v>5</v>
      </c>
      <c r="K852">
        <v>55642.45</v>
      </c>
      <c r="L852">
        <v>55642.45</v>
      </c>
      <c r="M852">
        <v>1000</v>
      </c>
      <c r="N852" t="s">
        <v>1159</v>
      </c>
      <c r="O852" t="s">
        <v>1164</v>
      </c>
      <c r="P852" s="10">
        <v>45762</v>
      </c>
      <c r="Q852" t="str">
        <f t="shared" si="39"/>
        <v>excellent</v>
      </c>
      <c r="R852">
        <f t="shared" si="40"/>
        <v>3</v>
      </c>
      <c r="S852" s="6">
        <f t="shared" si="41"/>
        <v>11</v>
      </c>
    </row>
    <row r="853" spans="1:19" x14ac:dyDescent="0.3">
      <c r="A853" s="10">
        <v>45751</v>
      </c>
      <c r="B853" t="s">
        <v>862</v>
      </c>
      <c r="C853" t="s">
        <v>1129</v>
      </c>
      <c r="D853" t="s">
        <v>1133</v>
      </c>
      <c r="E853" t="s">
        <v>1145</v>
      </c>
      <c r="F853" t="s">
        <v>1149</v>
      </c>
      <c r="G853" t="s">
        <v>1153</v>
      </c>
      <c r="H853">
        <v>3</v>
      </c>
      <c r="I853">
        <v>64260</v>
      </c>
      <c r="J853" s="6">
        <v>0</v>
      </c>
      <c r="K853">
        <v>64260</v>
      </c>
      <c r="L853">
        <v>192780</v>
      </c>
      <c r="M853">
        <v>1000</v>
      </c>
      <c r="N853" t="s">
        <v>1161</v>
      </c>
      <c r="O853" t="s">
        <v>1162</v>
      </c>
      <c r="Q853" t="str">
        <f t="shared" si="39"/>
        <v>okay</v>
      </c>
      <c r="R853">
        <f t="shared" si="40"/>
        <v>2</v>
      </c>
      <c r="S853" s="6">
        <f t="shared" si="41"/>
        <v>0</v>
      </c>
    </row>
    <row r="854" spans="1:19" x14ac:dyDescent="0.3">
      <c r="A854" s="10">
        <v>45689</v>
      </c>
      <c r="B854" t="s">
        <v>863</v>
      </c>
      <c r="C854" t="s">
        <v>1132</v>
      </c>
      <c r="D854" t="s">
        <v>1134</v>
      </c>
      <c r="E854" t="s">
        <v>1137</v>
      </c>
      <c r="F854" t="s">
        <v>1149</v>
      </c>
      <c r="G854" t="s">
        <v>1152</v>
      </c>
      <c r="H854">
        <v>5</v>
      </c>
      <c r="I854">
        <v>39519</v>
      </c>
      <c r="J854" s="6">
        <v>15</v>
      </c>
      <c r="K854">
        <v>33591.15</v>
      </c>
      <c r="L854">
        <v>167955.75</v>
      </c>
      <c r="M854">
        <v>1000</v>
      </c>
      <c r="N854" t="s">
        <v>1160</v>
      </c>
      <c r="O854" t="s">
        <v>1163</v>
      </c>
      <c r="Q854" t="str">
        <f t="shared" si="39"/>
        <v>no comment</v>
      </c>
      <c r="R854">
        <f t="shared" si="40"/>
        <v>1</v>
      </c>
      <c r="S854" s="6">
        <f t="shared" si="41"/>
        <v>0</v>
      </c>
    </row>
    <row r="855" spans="1:19" x14ac:dyDescent="0.3">
      <c r="A855" s="10">
        <v>45675</v>
      </c>
      <c r="B855" t="s">
        <v>864</v>
      </c>
      <c r="C855" t="s">
        <v>1128</v>
      </c>
      <c r="D855" t="s">
        <v>1135</v>
      </c>
      <c r="E855" t="s">
        <v>1143</v>
      </c>
      <c r="F855" t="s">
        <v>1151</v>
      </c>
      <c r="G855" t="s">
        <v>1157</v>
      </c>
      <c r="H855">
        <v>5</v>
      </c>
      <c r="I855">
        <v>29951</v>
      </c>
      <c r="J855" s="6">
        <v>0</v>
      </c>
      <c r="K855">
        <v>29951</v>
      </c>
      <c r="L855">
        <v>149755</v>
      </c>
      <c r="M855">
        <v>2000</v>
      </c>
      <c r="N855" t="s">
        <v>1160</v>
      </c>
      <c r="O855" t="s">
        <v>1163</v>
      </c>
      <c r="Q855" t="str">
        <f t="shared" si="39"/>
        <v>no comment</v>
      </c>
      <c r="R855">
        <f t="shared" si="40"/>
        <v>1</v>
      </c>
      <c r="S855" s="6">
        <f t="shared" si="41"/>
        <v>0</v>
      </c>
    </row>
    <row r="856" spans="1:19" x14ac:dyDescent="0.3">
      <c r="A856" s="10">
        <v>45815</v>
      </c>
      <c r="B856" t="s">
        <v>865</v>
      </c>
      <c r="C856" t="s">
        <v>1125</v>
      </c>
      <c r="D856" t="s">
        <v>1133</v>
      </c>
      <c r="E856" t="s">
        <v>1146</v>
      </c>
      <c r="F856" t="s">
        <v>1151</v>
      </c>
      <c r="G856" t="s">
        <v>1155</v>
      </c>
      <c r="H856">
        <v>2</v>
      </c>
      <c r="I856">
        <v>29996</v>
      </c>
      <c r="J856" s="6">
        <v>20</v>
      </c>
      <c r="K856">
        <v>23996.799999999999</v>
      </c>
      <c r="L856">
        <v>47993.599999999999</v>
      </c>
      <c r="M856">
        <v>1500</v>
      </c>
      <c r="N856" t="s">
        <v>1161</v>
      </c>
      <c r="O856" t="s">
        <v>1163</v>
      </c>
      <c r="Q856" t="str">
        <f t="shared" si="39"/>
        <v>no comment</v>
      </c>
      <c r="R856">
        <f t="shared" si="40"/>
        <v>1</v>
      </c>
      <c r="S856" s="6">
        <f t="shared" si="41"/>
        <v>0</v>
      </c>
    </row>
    <row r="857" spans="1:19" x14ac:dyDescent="0.3">
      <c r="A857" s="10">
        <v>45825</v>
      </c>
      <c r="B857" t="s">
        <v>866</v>
      </c>
      <c r="C857" t="s">
        <v>1125</v>
      </c>
      <c r="D857" t="s">
        <v>1133</v>
      </c>
      <c r="E857" t="s">
        <v>1142</v>
      </c>
      <c r="F857" t="s">
        <v>1150</v>
      </c>
      <c r="G857" t="s">
        <v>1156</v>
      </c>
      <c r="H857">
        <v>2</v>
      </c>
      <c r="I857">
        <v>20619</v>
      </c>
      <c r="J857" s="6">
        <v>5</v>
      </c>
      <c r="K857">
        <v>19588.05</v>
      </c>
      <c r="L857">
        <v>39176.1</v>
      </c>
      <c r="M857">
        <v>1000</v>
      </c>
      <c r="N857" t="s">
        <v>1160</v>
      </c>
      <c r="O857" t="s">
        <v>1164</v>
      </c>
      <c r="P857" s="10">
        <v>45839</v>
      </c>
      <c r="Q857" t="str">
        <f t="shared" si="39"/>
        <v>excellent</v>
      </c>
      <c r="R857">
        <f t="shared" si="40"/>
        <v>3</v>
      </c>
      <c r="S857" s="6">
        <f t="shared" si="41"/>
        <v>14</v>
      </c>
    </row>
    <row r="858" spans="1:19" x14ac:dyDescent="0.3">
      <c r="A858" s="10">
        <v>45708</v>
      </c>
      <c r="B858" t="s">
        <v>867</v>
      </c>
      <c r="C858" t="s">
        <v>1128</v>
      </c>
      <c r="D858" t="s">
        <v>1135</v>
      </c>
      <c r="E858" t="s">
        <v>1142</v>
      </c>
      <c r="F858" t="s">
        <v>1150</v>
      </c>
      <c r="G858" t="s">
        <v>1156</v>
      </c>
      <c r="H858">
        <v>3</v>
      </c>
      <c r="I858">
        <v>7993</v>
      </c>
      <c r="J858" s="6">
        <v>15</v>
      </c>
      <c r="K858">
        <v>6794.05</v>
      </c>
      <c r="L858">
        <v>20382.150000000001</v>
      </c>
      <c r="M858">
        <v>1500</v>
      </c>
      <c r="N858" t="s">
        <v>1160</v>
      </c>
      <c r="O858" t="s">
        <v>1163</v>
      </c>
      <c r="Q858" t="str">
        <f t="shared" si="39"/>
        <v>no comment</v>
      </c>
      <c r="R858">
        <f t="shared" si="40"/>
        <v>1</v>
      </c>
      <c r="S858" s="6">
        <f t="shared" si="41"/>
        <v>0</v>
      </c>
    </row>
    <row r="859" spans="1:19" x14ac:dyDescent="0.3">
      <c r="A859" s="10">
        <v>45734</v>
      </c>
      <c r="B859" t="s">
        <v>868</v>
      </c>
      <c r="C859" t="s">
        <v>1118</v>
      </c>
      <c r="D859" t="s">
        <v>1134</v>
      </c>
      <c r="E859" t="s">
        <v>1137</v>
      </c>
      <c r="F859" t="s">
        <v>1149</v>
      </c>
      <c r="G859" t="s">
        <v>1152</v>
      </c>
      <c r="H859">
        <v>3</v>
      </c>
      <c r="I859">
        <v>8234</v>
      </c>
      <c r="J859" s="6">
        <v>0</v>
      </c>
      <c r="K859">
        <v>8234</v>
      </c>
      <c r="L859">
        <v>24702</v>
      </c>
      <c r="M859">
        <v>2000</v>
      </c>
      <c r="N859" t="s">
        <v>1161</v>
      </c>
      <c r="O859" t="s">
        <v>1163</v>
      </c>
      <c r="Q859" t="str">
        <f t="shared" si="39"/>
        <v>no comment</v>
      </c>
      <c r="R859">
        <f t="shared" si="40"/>
        <v>1</v>
      </c>
      <c r="S859" s="6">
        <f t="shared" si="41"/>
        <v>0</v>
      </c>
    </row>
    <row r="860" spans="1:19" x14ac:dyDescent="0.3">
      <c r="A860" s="10">
        <v>45753</v>
      </c>
      <c r="B860" t="s">
        <v>869</v>
      </c>
      <c r="C860" t="s">
        <v>1127</v>
      </c>
      <c r="D860" t="s">
        <v>1134</v>
      </c>
      <c r="E860" t="s">
        <v>1142</v>
      </c>
      <c r="F860" t="s">
        <v>1150</v>
      </c>
      <c r="G860" t="s">
        <v>1156</v>
      </c>
      <c r="H860">
        <v>4</v>
      </c>
      <c r="I860">
        <v>13028</v>
      </c>
      <c r="J860" s="6">
        <v>0</v>
      </c>
      <c r="K860">
        <v>13028</v>
      </c>
      <c r="L860">
        <v>52112</v>
      </c>
      <c r="M860">
        <v>1000</v>
      </c>
      <c r="N860" t="s">
        <v>1161</v>
      </c>
      <c r="O860" t="s">
        <v>1164</v>
      </c>
      <c r="P860" s="10">
        <v>45766</v>
      </c>
      <c r="Q860" t="str">
        <f t="shared" si="39"/>
        <v>excellent</v>
      </c>
      <c r="R860">
        <f t="shared" si="40"/>
        <v>3</v>
      </c>
      <c r="S860" s="6">
        <f t="shared" si="41"/>
        <v>13</v>
      </c>
    </row>
    <row r="861" spans="1:19" x14ac:dyDescent="0.3">
      <c r="A861" s="10">
        <v>45789</v>
      </c>
      <c r="B861" t="s">
        <v>870</v>
      </c>
      <c r="C861" t="s">
        <v>1121</v>
      </c>
      <c r="D861" t="s">
        <v>1136</v>
      </c>
      <c r="E861" t="s">
        <v>1141</v>
      </c>
      <c r="F861" t="s">
        <v>1151</v>
      </c>
      <c r="G861" t="s">
        <v>1155</v>
      </c>
      <c r="H861">
        <v>3</v>
      </c>
      <c r="I861">
        <v>38707</v>
      </c>
      <c r="J861" s="6">
        <v>15</v>
      </c>
      <c r="K861">
        <v>32900.949999999997</v>
      </c>
      <c r="L861">
        <v>98702.849999999991</v>
      </c>
      <c r="M861">
        <v>1000</v>
      </c>
      <c r="N861" t="s">
        <v>1159</v>
      </c>
      <c r="O861" t="s">
        <v>1162</v>
      </c>
      <c r="Q861" t="str">
        <f t="shared" si="39"/>
        <v>okay</v>
      </c>
      <c r="R861">
        <f t="shared" si="40"/>
        <v>2</v>
      </c>
      <c r="S861" s="6">
        <f t="shared" si="41"/>
        <v>0</v>
      </c>
    </row>
    <row r="862" spans="1:19" x14ac:dyDescent="0.3">
      <c r="A862" s="10">
        <v>45692</v>
      </c>
      <c r="B862" t="s">
        <v>871</v>
      </c>
      <c r="C862" t="s">
        <v>1121</v>
      </c>
      <c r="D862" t="s">
        <v>1136</v>
      </c>
      <c r="E862" t="s">
        <v>1143</v>
      </c>
      <c r="F862" t="s">
        <v>1151</v>
      </c>
      <c r="G862" t="s">
        <v>1157</v>
      </c>
      <c r="H862">
        <v>2</v>
      </c>
      <c r="I862">
        <v>7684</v>
      </c>
      <c r="J862" s="6">
        <v>15</v>
      </c>
      <c r="K862">
        <v>6531.4</v>
      </c>
      <c r="L862">
        <v>13062.8</v>
      </c>
      <c r="M862">
        <v>1500</v>
      </c>
      <c r="N862" t="s">
        <v>1161</v>
      </c>
      <c r="O862" t="s">
        <v>1164</v>
      </c>
      <c r="P862" s="10">
        <v>45705</v>
      </c>
      <c r="Q862" t="str">
        <f t="shared" si="39"/>
        <v>excellent</v>
      </c>
      <c r="R862">
        <f t="shared" si="40"/>
        <v>3</v>
      </c>
      <c r="S862" s="6">
        <f t="shared" si="41"/>
        <v>13</v>
      </c>
    </row>
    <row r="863" spans="1:19" x14ac:dyDescent="0.3">
      <c r="A863" s="10">
        <v>45773</v>
      </c>
      <c r="B863" t="s">
        <v>872</v>
      </c>
      <c r="C863" t="s">
        <v>1121</v>
      </c>
      <c r="D863" t="s">
        <v>1136</v>
      </c>
      <c r="E863" t="s">
        <v>1140</v>
      </c>
      <c r="F863" t="s">
        <v>1150</v>
      </c>
      <c r="G863" t="s">
        <v>1154</v>
      </c>
      <c r="H863">
        <v>3</v>
      </c>
      <c r="I863">
        <v>68657</v>
      </c>
      <c r="J863" s="6">
        <v>5</v>
      </c>
      <c r="K863">
        <v>65224.15</v>
      </c>
      <c r="L863">
        <v>195672.45</v>
      </c>
      <c r="M863">
        <v>1000</v>
      </c>
      <c r="N863" t="s">
        <v>1161</v>
      </c>
      <c r="O863" t="s">
        <v>1163</v>
      </c>
      <c r="Q863" t="str">
        <f t="shared" si="39"/>
        <v>no comment</v>
      </c>
      <c r="R863">
        <f t="shared" si="40"/>
        <v>1</v>
      </c>
      <c r="S863" s="6">
        <f t="shared" si="41"/>
        <v>0</v>
      </c>
    </row>
    <row r="864" spans="1:19" x14ac:dyDescent="0.3">
      <c r="A864" s="10">
        <v>45673</v>
      </c>
      <c r="B864" t="s">
        <v>873</v>
      </c>
      <c r="C864" t="s">
        <v>1117</v>
      </c>
      <c r="D864" t="s">
        <v>1133</v>
      </c>
      <c r="E864" t="s">
        <v>1147</v>
      </c>
      <c r="F864" t="s">
        <v>1150</v>
      </c>
      <c r="G864" t="s">
        <v>1156</v>
      </c>
      <c r="H864">
        <v>3</v>
      </c>
      <c r="I864">
        <v>40653</v>
      </c>
      <c r="J864" s="6">
        <v>15</v>
      </c>
      <c r="K864">
        <v>34555.050000000003</v>
      </c>
      <c r="L864">
        <v>103665.15</v>
      </c>
      <c r="M864">
        <v>2000</v>
      </c>
      <c r="N864" t="s">
        <v>1159</v>
      </c>
      <c r="O864" t="s">
        <v>1164</v>
      </c>
      <c r="P864" s="10">
        <v>45681</v>
      </c>
      <c r="Q864" t="str">
        <f t="shared" si="39"/>
        <v>excellent</v>
      </c>
      <c r="R864">
        <f t="shared" si="40"/>
        <v>3</v>
      </c>
      <c r="S864" s="6">
        <f t="shared" si="41"/>
        <v>8</v>
      </c>
    </row>
    <row r="865" spans="1:19" x14ac:dyDescent="0.3">
      <c r="A865" s="10">
        <v>45831</v>
      </c>
      <c r="B865" t="s">
        <v>874</v>
      </c>
      <c r="C865" t="s">
        <v>1118</v>
      </c>
      <c r="D865" t="s">
        <v>1134</v>
      </c>
      <c r="E865" t="s">
        <v>1146</v>
      </c>
      <c r="F865" t="s">
        <v>1151</v>
      </c>
      <c r="G865" t="s">
        <v>1155</v>
      </c>
      <c r="H865">
        <v>1</v>
      </c>
      <c r="I865">
        <v>7187</v>
      </c>
      <c r="J865" s="6">
        <v>5</v>
      </c>
      <c r="K865">
        <v>6827.65</v>
      </c>
      <c r="L865">
        <v>6827.65</v>
      </c>
      <c r="M865">
        <v>1500</v>
      </c>
      <c r="N865" t="s">
        <v>1161</v>
      </c>
      <c r="O865" t="s">
        <v>1164</v>
      </c>
      <c r="P865" s="10">
        <v>45839</v>
      </c>
      <c r="Q865" t="str">
        <f t="shared" si="39"/>
        <v>excellent</v>
      </c>
      <c r="R865">
        <f t="shared" si="40"/>
        <v>3</v>
      </c>
      <c r="S865" s="6">
        <f t="shared" si="41"/>
        <v>8</v>
      </c>
    </row>
    <row r="866" spans="1:19" x14ac:dyDescent="0.3">
      <c r="A866" s="10">
        <v>45673</v>
      </c>
      <c r="B866" t="s">
        <v>875</v>
      </c>
      <c r="C866" t="s">
        <v>1129</v>
      </c>
      <c r="D866" t="s">
        <v>1133</v>
      </c>
      <c r="E866" t="s">
        <v>1146</v>
      </c>
      <c r="F866" t="s">
        <v>1151</v>
      </c>
      <c r="G866" t="s">
        <v>1155</v>
      </c>
      <c r="H866">
        <v>2</v>
      </c>
      <c r="I866">
        <v>60181</v>
      </c>
      <c r="J866" s="6">
        <v>20</v>
      </c>
      <c r="K866">
        <v>48144.800000000003</v>
      </c>
      <c r="L866">
        <v>96289.600000000006</v>
      </c>
      <c r="M866">
        <v>2000</v>
      </c>
      <c r="N866" t="s">
        <v>1160</v>
      </c>
      <c r="O866" t="s">
        <v>1163</v>
      </c>
      <c r="Q866" t="str">
        <f t="shared" si="39"/>
        <v>no comment</v>
      </c>
      <c r="R866">
        <f t="shared" si="40"/>
        <v>1</v>
      </c>
      <c r="S866" s="6">
        <f t="shared" si="41"/>
        <v>0</v>
      </c>
    </row>
    <row r="867" spans="1:19" x14ac:dyDescent="0.3">
      <c r="A867" s="10">
        <v>45783</v>
      </c>
      <c r="B867" t="s">
        <v>876</v>
      </c>
      <c r="C867" t="s">
        <v>1126</v>
      </c>
      <c r="D867" t="s">
        <v>1133</v>
      </c>
      <c r="E867" t="s">
        <v>1146</v>
      </c>
      <c r="F867" t="s">
        <v>1151</v>
      </c>
      <c r="G867" t="s">
        <v>1155</v>
      </c>
      <c r="H867">
        <v>4</v>
      </c>
      <c r="I867">
        <v>67232</v>
      </c>
      <c r="J867" s="6">
        <v>5</v>
      </c>
      <c r="K867">
        <v>63870.400000000001</v>
      </c>
      <c r="L867">
        <v>255481.60000000001</v>
      </c>
      <c r="M867">
        <v>1500</v>
      </c>
      <c r="N867" t="s">
        <v>1161</v>
      </c>
      <c r="O867" t="s">
        <v>1163</v>
      </c>
      <c r="Q867" t="str">
        <f t="shared" si="39"/>
        <v>no comment</v>
      </c>
      <c r="R867">
        <f t="shared" si="40"/>
        <v>1</v>
      </c>
      <c r="S867" s="6">
        <f t="shared" si="41"/>
        <v>0</v>
      </c>
    </row>
    <row r="868" spans="1:19" x14ac:dyDescent="0.3">
      <c r="A868" s="10">
        <v>45823</v>
      </c>
      <c r="B868" t="s">
        <v>877</v>
      </c>
      <c r="C868" t="s">
        <v>1130</v>
      </c>
      <c r="D868" t="s">
        <v>1136</v>
      </c>
      <c r="E868" t="s">
        <v>1148</v>
      </c>
      <c r="F868" t="s">
        <v>1149</v>
      </c>
      <c r="G868" t="s">
        <v>1152</v>
      </c>
      <c r="H868">
        <v>4</v>
      </c>
      <c r="I868">
        <v>36665</v>
      </c>
      <c r="J868" s="6">
        <v>20</v>
      </c>
      <c r="K868">
        <v>29332</v>
      </c>
      <c r="L868">
        <v>117328</v>
      </c>
      <c r="M868">
        <v>1500</v>
      </c>
      <c r="N868" t="s">
        <v>1159</v>
      </c>
      <c r="O868" t="s">
        <v>1162</v>
      </c>
      <c r="Q868" t="str">
        <f t="shared" si="39"/>
        <v>okay</v>
      </c>
      <c r="R868">
        <f t="shared" si="40"/>
        <v>2</v>
      </c>
      <c r="S868" s="6">
        <f t="shared" si="41"/>
        <v>0</v>
      </c>
    </row>
    <row r="869" spans="1:19" x14ac:dyDescent="0.3">
      <c r="A869" s="10">
        <v>45825</v>
      </c>
      <c r="B869" t="s">
        <v>878</v>
      </c>
      <c r="C869" t="s">
        <v>1129</v>
      </c>
      <c r="D869" t="s">
        <v>1133</v>
      </c>
      <c r="E869" t="s">
        <v>1147</v>
      </c>
      <c r="F869" t="s">
        <v>1150</v>
      </c>
      <c r="G869" t="s">
        <v>1156</v>
      </c>
      <c r="H869">
        <v>3</v>
      </c>
      <c r="I869">
        <v>47277</v>
      </c>
      <c r="J869" s="6">
        <v>5</v>
      </c>
      <c r="K869">
        <v>44913.15</v>
      </c>
      <c r="L869">
        <v>134739.45000000001</v>
      </c>
      <c r="M869">
        <v>2000</v>
      </c>
      <c r="N869" t="s">
        <v>1160</v>
      </c>
      <c r="O869" t="s">
        <v>1162</v>
      </c>
      <c r="Q869" t="str">
        <f t="shared" si="39"/>
        <v>okay</v>
      </c>
      <c r="R869">
        <f t="shared" si="40"/>
        <v>2</v>
      </c>
      <c r="S869" s="6">
        <f t="shared" si="41"/>
        <v>0</v>
      </c>
    </row>
    <row r="870" spans="1:19" x14ac:dyDescent="0.3">
      <c r="A870" s="10">
        <v>45670</v>
      </c>
      <c r="B870" t="s">
        <v>879</v>
      </c>
      <c r="C870" t="s">
        <v>1122</v>
      </c>
      <c r="D870" t="s">
        <v>1136</v>
      </c>
      <c r="E870" t="s">
        <v>1147</v>
      </c>
      <c r="F870" t="s">
        <v>1150</v>
      </c>
      <c r="G870" t="s">
        <v>1156</v>
      </c>
      <c r="H870">
        <v>4</v>
      </c>
      <c r="I870">
        <v>72448</v>
      </c>
      <c r="J870" s="6">
        <v>0</v>
      </c>
      <c r="K870">
        <v>72448</v>
      </c>
      <c r="L870">
        <v>289792</v>
      </c>
      <c r="M870">
        <v>1500</v>
      </c>
      <c r="N870" t="s">
        <v>1160</v>
      </c>
      <c r="O870" t="s">
        <v>1162</v>
      </c>
      <c r="Q870" t="str">
        <f t="shared" si="39"/>
        <v>okay</v>
      </c>
      <c r="R870">
        <f t="shared" si="40"/>
        <v>2</v>
      </c>
      <c r="S870" s="6">
        <f t="shared" si="41"/>
        <v>0</v>
      </c>
    </row>
    <row r="871" spans="1:19" x14ac:dyDescent="0.3">
      <c r="A871" s="10">
        <v>45739</v>
      </c>
      <c r="B871" t="s">
        <v>880</v>
      </c>
      <c r="C871" t="s">
        <v>1122</v>
      </c>
      <c r="D871" t="s">
        <v>1136</v>
      </c>
      <c r="E871" t="s">
        <v>1140</v>
      </c>
      <c r="F871" t="s">
        <v>1150</v>
      </c>
      <c r="G871" t="s">
        <v>1154</v>
      </c>
      <c r="H871">
        <v>5</v>
      </c>
      <c r="I871">
        <v>8935</v>
      </c>
      <c r="J871" s="6">
        <v>15</v>
      </c>
      <c r="K871">
        <v>7594.75</v>
      </c>
      <c r="L871">
        <v>37973.75</v>
      </c>
      <c r="M871">
        <v>2000</v>
      </c>
      <c r="N871" t="s">
        <v>1161</v>
      </c>
      <c r="O871" t="s">
        <v>1163</v>
      </c>
      <c r="Q871" t="str">
        <f t="shared" si="39"/>
        <v>no comment</v>
      </c>
      <c r="R871">
        <f t="shared" si="40"/>
        <v>1</v>
      </c>
      <c r="S871" s="6">
        <f t="shared" si="41"/>
        <v>0</v>
      </c>
    </row>
    <row r="872" spans="1:19" x14ac:dyDescent="0.3">
      <c r="A872" s="10">
        <v>45661</v>
      </c>
      <c r="B872" t="s">
        <v>881</v>
      </c>
      <c r="C872" t="s">
        <v>1128</v>
      </c>
      <c r="D872" t="s">
        <v>1135</v>
      </c>
      <c r="E872" t="s">
        <v>1137</v>
      </c>
      <c r="F872" t="s">
        <v>1149</v>
      </c>
      <c r="G872" t="s">
        <v>1152</v>
      </c>
      <c r="H872">
        <v>1</v>
      </c>
      <c r="I872">
        <v>36145</v>
      </c>
      <c r="J872" s="6">
        <v>0</v>
      </c>
      <c r="K872">
        <v>36145</v>
      </c>
      <c r="L872">
        <v>36145</v>
      </c>
      <c r="M872">
        <v>1500</v>
      </c>
      <c r="N872" t="s">
        <v>1161</v>
      </c>
      <c r="O872" t="s">
        <v>1163</v>
      </c>
      <c r="Q872" t="str">
        <f t="shared" si="39"/>
        <v>no comment</v>
      </c>
      <c r="R872">
        <f t="shared" si="40"/>
        <v>1</v>
      </c>
      <c r="S872" s="6">
        <f t="shared" si="41"/>
        <v>0</v>
      </c>
    </row>
    <row r="873" spans="1:19" x14ac:dyDescent="0.3">
      <c r="A873" s="10">
        <v>45753</v>
      </c>
      <c r="B873" t="s">
        <v>882</v>
      </c>
      <c r="C873" t="s">
        <v>1126</v>
      </c>
      <c r="D873" t="s">
        <v>1133</v>
      </c>
      <c r="E873" t="s">
        <v>1141</v>
      </c>
      <c r="F873" t="s">
        <v>1151</v>
      </c>
      <c r="G873" t="s">
        <v>1155</v>
      </c>
      <c r="H873">
        <v>1</v>
      </c>
      <c r="I873">
        <v>39348</v>
      </c>
      <c r="J873" s="6">
        <v>0</v>
      </c>
      <c r="K873">
        <v>39348</v>
      </c>
      <c r="L873">
        <v>39348</v>
      </c>
      <c r="M873">
        <v>1000</v>
      </c>
      <c r="N873" t="s">
        <v>1160</v>
      </c>
      <c r="O873" t="s">
        <v>1164</v>
      </c>
      <c r="P873" s="10">
        <v>45761</v>
      </c>
      <c r="Q873" t="str">
        <f t="shared" si="39"/>
        <v>excellent</v>
      </c>
      <c r="R873">
        <f t="shared" si="40"/>
        <v>3</v>
      </c>
      <c r="S873" s="6">
        <f t="shared" si="41"/>
        <v>8</v>
      </c>
    </row>
    <row r="874" spans="1:19" x14ac:dyDescent="0.3">
      <c r="A874" s="10">
        <v>45779</v>
      </c>
      <c r="B874" t="s">
        <v>883</v>
      </c>
      <c r="C874" t="s">
        <v>1127</v>
      </c>
      <c r="D874" t="s">
        <v>1134</v>
      </c>
      <c r="E874" t="s">
        <v>1139</v>
      </c>
      <c r="F874" t="s">
        <v>1150</v>
      </c>
      <c r="G874" t="s">
        <v>1154</v>
      </c>
      <c r="H874">
        <v>2</v>
      </c>
      <c r="I874">
        <v>68043</v>
      </c>
      <c r="J874" s="6">
        <v>10</v>
      </c>
      <c r="K874">
        <v>61238.7</v>
      </c>
      <c r="L874">
        <v>122477.4</v>
      </c>
      <c r="M874">
        <v>1000</v>
      </c>
      <c r="N874" t="s">
        <v>1159</v>
      </c>
      <c r="O874" t="s">
        <v>1162</v>
      </c>
      <c r="Q874" t="str">
        <f t="shared" si="39"/>
        <v>okay</v>
      </c>
      <c r="R874">
        <f t="shared" si="40"/>
        <v>2</v>
      </c>
      <c r="S874" s="6">
        <f t="shared" si="41"/>
        <v>0</v>
      </c>
    </row>
    <row r="875" spans="1:19" x14ac:dyDescent="0.3">
      <c r="A875" s="10">
        <v>45827</v>
      </c>
      <c r="B875" t="s">
        <v>884</v>
      </c>
      <c r="C875" t="s">
        <v>1128</v>
      </c>
      <c r="D875" t="s">
        <v>1135</v>
      </c>
      <c r="E875" t="s">
        <v>1144</v>
      </c>
      <c r="F875" t="s">
        <v>1151</v>
      </c>
      <c r="G875" t="s">
        <v>1157</v>
      </c>
      <c r="H875">
        <v>1</v>
      </c>
      <c r="I875">
        <v>41420</v>
      </c>
      <c r="J875" s="6">
        <v>5</v>
      </c>
      <c r="K875">
        <v>39349</v>
      </c>
      <c r="L875">
        <v>39349</v>
      </c>
      <c r="M875">
        <v>1500</v>
      </c>
      <c r="N875" t="s">
        <v>1159</v>
      </c>
      <c r="O875" t="s">
        <v>1162</v>
      </c>
      <c r="Q875" t="str">
        <f t="shared" si="39"/>
        <v>okay</v>
      </c>
      <c r="R875">
        <f t="shared" si="40"/>
        <v>2</v>
      </c>
      <c r="S875" s="6">
        <f t="shared" si="41"/>
        <v>0</v>
      </c>
    </row>
    <row r="876" spans="1:19" x14ac:dyDescent="0.3">
      <c r="A876" s="10">
        <v>45698</v>
      </c>
      <c r="B876" t="s">
        <v>885</v>
      </c>
      <c r="C876" t="s">
        <v>1131</v>
      </c>
      <c r="D876" t="s">
        <v>1136</v>
      </c>
      <c r="E876" t="s">
        <v>1144</v>
      </c>
      <c r="F876" t="s">
        <v>1151</v>
      </c>
      <c r="G876" t="s">
        <v>1157</v>
      </c>
      <c r="H876">
        <v>4</v>
      </c>
      <c r="I876">
        <v>60111</v>
      </c>
      <c r="J876" s="6">
        <v>20</v>
      </c>
      <c r="K876">
        <v>48088.800000000003</v>
      </c>
      <c r="L876">
        <v>192355.20000000001</v>
      </c>
      <c r="M876">
        <v>1500</v>
      </c>
      <c r="N876" t="s">
        <v>1160</v>
      </c>
      <c r="O876" t="s">
        <v>1164</v>
      </c>
      <c r="P876" s="10">
        <v>45700</v>
      </c>
      <c r="Q876" t="str">
        <f t="shared" si="39"/>
        <v>excellent</v>
      </c>
      <c r="R876">
        <f t="shared" si="40"/>
        <v>3</v>
      </c>
      <c r="S876" s="6">
        <f t="shared" si="41"/>
        <v>2</v>
      </c>
    </row>
    <row r="877" spans="1:19" x14ac:dyDescent="0.3">
      <c r="A877" s="10">
        <v>45746</v>
      </c>
      <c r="B877" t="s">
        <v>886</v>
      </c>
      <c r="C877" t="s">
        <v>1132</v>
      </c>
      <c r="D877" t="s">
        <v>1134</v>
      </c>
      <c r="E877" t="s">
        <v>1139</v>
      </c>
      <c r="F877" t="s">
        <v>1150</v>
      </c>
      <c r="G877" t="s">
        <v>1154</v>
      </c>
      <c r="H877">
        <v>4</v>
      </c>
      <c r="I877">
        <v>30485</v>
      </c>
      <c r="J877" s="6">
        <v>10</v>
      </c>
      <c r="K877">
        <v>27436.5</v>
      </c>
      <c r="L877">
        <v>109746</v>
      </c>
      <c r="M877">
        <v>1500</v>
      </c>
      <c r="N877" t="s">
        <v>1160</v>
      </c>
      <c r="O877" t="s">
        <v>1164</v>
      </c>
      <c r="P877" s="10">
        <v>45760</v>
      </c>
      <c r="Q877" t="str">
        <f t="shared" si="39"/>
        <v>excellent</v>
      </c>
      <c r="R877">
        <f t="shared" si="40"/>
        <v>3</v>
      </c>
      <c r="S877" s="6">
        <f t="shared" si="41"/>
        <v>14</v>
      </c>
    </row>
    <row r="878" spans="1:19" x14ac:dyDescent="0.3">
      <c r="A878" s="10">
        <v>45711</v>
      </c>
      <c r="B878" t="s">
        <v>887</v>
      </c>
      <c r="C878" t="s">
        <v>1132</v>
      </c>
      <c r="D878" t="s">
        <v>1134</v>
      </c>
      <c r="E878" t="s">
        <v>1147</v>
      </c>
      <c r="F878" t="s">
        <v>1150</v>
      </c>
      <c r="G878" t="s">
        <v>1156</v>
      </c>
      <c r="H878">
        <v>2</v>
      </c>
      <c r="I878">
        <v>18474</v>
      </c>
      <c r="J878" s="6">
        <v>0</v>
      </c>
      <c r="K878">
        <v>18474</v>
      </c>
      <c r="L878">
        <v>36948</v>
      </c>
      <c r="M878">
        <v>2000</v>
      </c>
      <c r="N878" t="s">
        <v>1160</v>
      </c>
      <c r="O878" t="s">
        <v>1164</v>
      </c>
      <c r="P878" s="10">
        <v>45715</v>
      </c>
      <c r="Q878" t="str">
        <f t="shared" si="39"/>
        <v>excellent</v>
      </c>
      <c r="R878">
        <f t="shared" si="40"/>
        <v>3</v>
      </c>
      <c r="S878" s="6">
        <f t="shared" si="41"/>
        <v>4</v>
      </c>
    </row>
    <row r="879" spans="1:19" x14ac:dyDescent="0.3">
      <c r="A879" s="10">
        <v>45662</v>
      </c>
      <c r="B879" t="s">
        <v>888</v>
      </c>
      <c r="C879" t="s">
        <v>1127</v>
      </c>
      <c r="D879" t="s">
        <v>1134</v>
      </c>
      <c r="E879" t="s">
        <v>1142</v>
      </c>
      <c r="F879" t="s">
        <v>1150</v>
      </c>
      <c r="G879" t="s">
        <v>1156</v>
      </c>
      <c r="H879">
        <v>2</v>
      </c>
      <c r="I879">
        <v>63888</v>
      </c>
      <c r="J879" s="6">
        <v>15</v>
      </c>
      <c r="K879">
        <v>54304.800000000003</v>
      </c>
      <c r="L879">
        <v>108609.60000000001</v>
      </c>
      <c r="M879">
        <v>2000</v>
      </c>
      <c r="N879" t="s">
        <v>1160</v>
      </c>
      <c r="O879" t="s">
        <v>1164</v>
      </c>
      <c r="P879" s="10">
        <v>45668</v>
      </c>
      <c r="Q879" t="str">
        <f t="shared" si="39"/>
        <v>excellent</v>
      </c>
      <c r="R879">
        <f t="shared" si="40"/>
        <v>3</v>
      </c>
      <c r="S879" s="6">
        <f t="shared" si="41"/>
        <v>6</v>
      </c>
    </row>
    <row r="880" spans="1:19" x14ac:dyDescent="0.3">
      <c r="A880" s="10">
        <v>45764</v>
      </c>
      <c r="B880" t="s">
        <v>889</v>
      </c>
      <c r="C880" t="s">
        <v>1131</v>
      </c>
      <c r="D880" t="s">
        <v>1136</v>
      </c>
      <c r="E880" t="s">
        <v>1141</v>
      </c>
      <c r="F880" t="s">
        <v>1151</v>
      </c>
      <c r="G880" t="s">
        <v>1155</v>
      </c>
      <c r="H880">
        <v>1</v>
      </c>
      <c r="I880">
        <v>52682</v>
      </c>
      <c r="J880" s="6">
        <v>20</v>
      </c>
      <c r="K880">
        <v>42145.599999999999</v>
      </c>
      <c r="L880">
        <v>42145.599999999999</v>
      </c>
      <c r="M880">
        <v>2000</v>
      </c>
      <c r="N880" t="s">
        <v>1160</v>
      </c>
      <c r="O880" t="s">
        <v>1162</v>
      </c>
      <c r="Q880" t="str">
        <f t="shared" si="39"/>
        <v>okay</v>
      </c>
      <c r="R880">
        <f t="shared" si="40"/>
        <v>2</v>
      </c>
      <c r="S880" s="6">
        <f t="shared" si="41"/>
        <v>0</v>
      </c>
    </row>
    <row r="881" spans="1:19" x14ac:dyDescent="0.3">
      <c r="A881" s="10">
        <v>45720</v>
      </c>
      <c r="B881" t="s">
        <v>890</v>
      </c>
      <c r="C881" t="s">
        <v>1127</v>
      </c>
      <c r="D881" t="s">
        <v>1134</v>
      </c>
      <c r="E881" t="s">
        <v>1142</v>
      </c>
      <c r="F881" t="s">
        <v>1150</v>
      </c>
      <c r="G881" t="s">
        <v>1156</v>
      </c>
      <c r="H881">
        <v>1</v>
      </c>
      <c r="I881">
        <v>45109</v>
      </c>
      <c r="J881" s="6">
        <v>15</v>
      </c>
      <c r="K881">
        <v>38342.65</v>
      </c>
      <c r="L881">
        <v>38342.65</v>
      </c>
      <c r="M881">
        <v>1000</v>
      </c>
      <c r="N881" t="s">
        <v>1161</v>
      </c>
      <c r="O881" t="s">
        <v>1162</v>
      </c>
      <c r="Q881" t="str">
        <f t="shared" si="39"/>
        <v>okay</v>
      </c>
      <c r="R881">
        <f t="shared" si="40"/>
        <v>2</v>
      </c>
      <c r="S881" s="6">
        <f t="shared" si="41"/>
        <v>0</v>
      </c>
    </row>
    <row r="882" spans="1:19" x14ac:dyDescent="0.3">
      <c r="A882" s="10">
        <v>45828</v>
      </c>
      <c r="B882" t="s">
        <v>891</v>
      </c>
      <c r="C882" t="s">
        <v>1124</v>
      </c>
      <c r="D882" t="s">
        <v>1135</v>
      </c>
      <c r="E882" t="s">
        <v>1142</v>
      </c>
      <c r="F882" t="s">
        <v>1150</v>
      </c>
      <c r="G882" t="s">
        <v>1156</v>
      </c>
      <c r="H882">
        <v>1</v>
      </c>
      <c r="I882">
        <v>24332</v>
      </c>
      <c r="J882" s="6">
        <v>15</v>
      </c>
      <c r="K882">
        <v>20682.2</v>
      </c>
      <c r="L882">
        <v>20682.2</v>
      </c>
      <c r="M882">
        <v>1000</v>
      </c>
      <c r="N882" t="s">
        <v>1159</v>
      </c>
      <c r="O882" t="s">
        <v>1163</v>
      </c>
      <c r="Q882" t="str">
        <f t="shared" si="39"/>
        <v>no comment</v>
      </c>
      <c r="R882">
        <f t="shared" si="40"/>
        <v>1</v>
      </c>
      <c r="S882" s="6">
        <f t="shared" si="41"/>
        <v>0</v>
      </c>
    </row>
    <row r="883" spans="1:19" x14ac:dyDescent="0.3">
      <c r="A883" s="10">
        <v>45667</v>
      </c>
      <c r="B883" t="s">
        <v>892</v>
      </c>
      <c r="C883" t="s">
        <v>1130</v>
      </c>
      <c r="D883" t="s">
        <v>1136</v>
      </c>
      <c r="E883" t="s">
        <v>1139</v>
      </c>
      <c r="F883" t="s">
        <v>1150</v>
      </c>
      <c r="G883" t="s">
        <v>1154</v>
      </c>
      <c r="H883">
        <v>4</v>
      </c>
      <c r="I883">
        <v>19319</v>
      </c>
      <c r="J883" s="6">
        <v>20</v>
      </c>
      <c r="K883">
        <v>15455.2</v>
      </c>
      <c r="L883">
        <v>61820.800000000003</v>
      </c>
      <c r="M883">
        <v>1500</v>
      </c>
      <c r="N883" t="s">
        <v>1160</v>
      </c>
      <c r="O883" t="s">
        <v>1163</v>
      </c>
      <c r="Q883" t="str">
        <f t="shared" si="39"/>
        <v>no comment</v>
      </c>
      <c r="R883">
        <f t="shared" si="40"/>
        <v>1</v>
      </c>
      <c r="S883" s="6">
        <f t="shared" si="41"/>
        <v>0</v>
      </c>
    </row>
    <row r="884" spans="1:19" x14ac:dyDescent="0.3">
      <c r="A884" s="10">
        <v>45834</v>
      </c>
      <c r="B884" t="s">
        <v>893</v>
      </c>
      <c r="C884" t="s">
        <v>1118</v>
      </c>
      <c r="D884" t="s">
        <v>1134</v>
      </c>
      <c r="E884" t="s">
        <v>1144</v>
      </c>
      <c r="F884" t="s">
        <v>1151</v>
      </c>
      <c r="G884" t="s">
        <v>1157</v>
      </c>
      <c r="H884">
        <v>3</v>
      </c>
      <c r="I884">
        <v>50926</v>
      </c>
      <c r="J884" s="6">
        <v>20</v>
      </c>
      <c r="K884">
        <v>40740.800000000003</v>
      </c>
      <c r="L884">
        <v>122222.39999999999</v>
      </c>
      <c r="M884">
        <v>1000</v>
      </c>
      <c r="N884" t="s">
        <v>1160</v>
      </c>
      <c r="O884" t="s">
        <v>1162</v>
      </c>
      <c r="Q884" t="str">
        <f t="shared" si="39"/>
        <v>okay</v>
      </c>
      <c r="R884">
        <f t="shared" si="40"/>
        <v>2</v>
      </c>
      <c r="S884" s="6">
        <f t="shared" si="41"/>
        <v>0</v>
      </c>
    </row>
    <row r="885" spans="1:19" x14ac:dyDescent="0.3">
      <c r="A885" s="10">
        <v>45685</v>
      </c>
      <c r="B885" t="s">
        <v>894</v>
      </c>
      <c r="C885" t="s">
        <v>1117</v>
      </c>
      <c r="D885" t="s">
        <v>1133</v>
      </c>
      <c r="E885" t="s">
        <v>1140</v>
      </c>
      <c r="F885" t="s">
        <v>1150</v>
      </c>
      <c r="G885" t="s">
        <v>1154</v>
      </c>
      <c r="H885">
        <v>5</v>
      </c>
      <c r="I885">
        <v>77092</v>
      </c>
      <c r="J885" s="6">
        <v>0</v>
      </c>
      <c r="K885">
        <v>77092</v>
      </c>
      <c r="L885">
        <v>385460</v>
      </c>
      <c r="M885">
        <v>2000</v>
      </c>
      <c r="N885" t="s">
        <v>1160</v>
      </c>
      <c r="O885" t="s">
        <v>1162</v>
      </c>
      <c r="Q885" t="str">
        <f t="shared" si="39"/>
        <v>okay</v>
      </c>
      <c r="R885">
        <f t="shared" si="40"/>
        <v>2</v>
      </c>
      <c r="S885" s="6">
        <f t="shared" si="41"/>
        <v>0</v>
      </c>
    </row>
    <row r="886" spans="1:19" x14ac:dyDescent="0.3">
      <c r="A886" s="10">
        <v>45712</v>
      </c>
      <c r="B886" t="s">
        <v>895</v>
      </c>
      <c r="C886" t="s">
        <v>1130</v>
      </c>
      <c r="D886" t="s">
        <v>1136</v>
      </c>
      <c r="E886" t="s">
        <v>1142</v>
      </c>
      <c r="F886" t="s">
        <v>1150</v>
      </c>
      <c r="G886" t="s">
        <v>1156</v>
      </c>
      <c r="H886">
        <v>4</v>
      </c>
      <c r="I886">
        <v>37269</v>
      </c>
      <c r="J886" s="6">
        <v>10</v>
      </c>
      <c r="K886">
        <v>33542.1</v>
      </c>
      <c r="L886">
        <v>134168.4</v>
      </c>
      <c r="M886">
        <v>1000</v>
      </c>
      <c r="N886" t="s">
        <v>1159</v>
      </c>
      <c r="O886" t="s">
        <v>1164</v>
      </c>
      <c r="P886" s="10">
        <v>45726</v>
      </c>
      <c r="Q886" t="str">
        <f t="shared" si="39"/>
        <v>excellent</v>
      </c>
      <c r="R886">
        <f t="shared" si="40"/>
        <v>3</v>
      </c>
      <c r="S886" s="6">
        <f t="shared" si="41"/>
        <v>14</v>
      </c>
    </row>
    <row r="887" spans="1:19" x14ac:dyDescent="0.3">
      <c r="A887" s="10">
        <v>45701</v>
      </c>
      <c r="B887" t="s">
        <v>896</v>
      </c>
      <c r="C887" t="s">
        <v>1118</v>
      </c>
      <c r="D887" t="s">
        <v>1134</v>
      </c>
      <c r="E887" t="s">
        <v>1146</v>
      </c>
      <c r="F887" t="s">
        <v>1151</v>
      </c>
      <c r="G887" t="s">
        <v>1155</v>
      </c>
      <c r="H887">
        <v>3</v>
      </c>
      <c r="I887">
        <v>49649</v>
      </c>
      <c r="J887" s="6">
        <v>5</v>
      </c>
      <c r="K887">
        <v>47166.55</v>
      </c>
      <c r="L887">
        <v>141499.65</v>
      </c>
      <c r="M887">
        <v>2000</v>
      </c>
      <c r="N887" t="s">
        <v>1159</v>
      </c>
      <c r="O887" t="s">
        <v>1162</v>
      </c>
      <c r="Q887" t="str">
        <f t="shared" si="39"/>
        <v>okay</v>
      </c>
      <c r="R887">
        <f t="shared" si="40"/>
        <v>2</v>
      </c>
      <c r="S887" s="6">
        <f t="shared" si="41"/>
        <v>0</v>
      </c>
    </row>
    <row r="888" spans="1:19" x14ac:dyDescent="0.3">
      <c r="A888" s="10">
        <v>45674</v>
      </c>
      <c r="B888" t="s">
        <v>897</v>
      </c>
      <c r="C888" t="s">
        <v>1126</v>
      </c>
      <c r="D888" t="s">
        <v>1133</v>
      </c>
      <c r="E888" t="s">
        <v>1146</v>
      </c>
      <c r="F888" t="s">
        <v>1151</v>
      </c>
      <c r="G888" t="s">
        <v>1155</v>
      </c>
      <c r="H888">
        <v>4</v>
      </c>
      <c r="I888">
        <v>12021</v>
      </c>
      <c r="J888" s="6">
        <v>10</v>
      </c>
      <c r="K888">
        <v>10818.9</v>
      </c>
      <c r="L888">
        <v>43275.6</v>
      </c>
      <c r="M888">
        <v>1500</v>
      </c>
      <c r="N888" t="s">
        <v>1159</v>
      </c>
      <c r="O888" t="s">
        <v>1163</v>
      </c>
      <c r="Q888" t="str">
        <f t="shared" si="39"/>
        <v>no comment</v>
      </c>
      <c r="R888">
        <f t="shared" si="40"/>
        <v>1</v>
      </c>
      <c r="S888" s="6">
        <f t="shared" si="41"/>
        <v>0</v>
      </c>
    </row>
    <row r="889" spans="1:19" x14ac:dyDescent="0.3">
      <c r="A889" s="10">
        <v>45812</v>
      </c>
      <c r="B889" t="s">
        <v>898</v>
      </c>
      <c r="C889" t="s">
        <v>1131</v>
      </c>
      <c r="D889" t="s">
        <v>1136</v>
      </c>
      <c r="E889" t="s">
        <v>1148</v>
      </c>
      <c r="F889" t="s">
        <v>1149</v>
      </c>
      <c r="G889" t="s">
        <v>1152</v>
      </c>
      <c r="H889">
        <v>1</v>
      </c>
      <c r="I889">
        <v>51072</v>
      </c>
      <c r="J889" s="6">
        <v>10</v>
      </c>
      <c r="K889">
        <v>45964.800000000003</v>
      </c>
      <c r="L889">
        <v>45964.800000000003</v>
      </c>
      <c r="M889">
        <v>1500</v>
      </c>
      <c r="N889" t="s">
        <v>1161</v>
      </c>
      <c r="O889" t="s">
        <v>1164</v>
      </c>
      <c r="P889" s="10">
        <v>45825</v>
      </c>
      <c r="Q889" t="str">
        <f t="shared" si="39"/>
        <v>excellent</v>
      </c>
      <c r="R889">
        <f t="shared" si="40"/>
        <v>3</v>
      </c>
      <c r="S889" s="6">
        <f t="shared" si="41"/>
        <v>13</v>
      </c>
    </row>
    <row r="890" spans="1:19" x14ac:dyDescent="0.3">
      <c r="A890" s="10">
        <v>45703</v>
      </c>
      <c r="B890" t="s">
        <v>899</v>
      </c>
      <c r="C890" t="s">
        <v>1127</v>
      </c>
      <c r="D890" t="s">
        <v>1134</v>
      </c>
      <c r="E890" t="s">
        <v>1142</v>
      </c>
      <c r="F890" t="s">
        <v>1150</v>
      </c>
      <c r="G890" t="s">
        <v>1156</v>
      </c>
      <c r="H890">
        <v>2</v>
      </c>
      <c r="I890">
        <v>58536</v>
      </c>
      <c r="J890" s="6">
        <v>10</v>
      </c>
      <c r="K890">
        <v>52682.400000000001</v>
      </c>
      <c r="L890">
        <v>105364.8</v>
      </c>
      <c r="M890">
        <v>1000</v>
      </c>
      <c r="N890" t="s">
        <v>1161</v>
      </c>
      <c r="O890" t="s">
        <v>1164</v>
      </c>
      <c r="P890" s="10">
        <v>45715</v>
      </c>
      <c r="Q890" t="str">
        <f t="shared" si="39"/>
        <v>excellent</v>
      </c>
      <c r="R890">
        <f t="shared" si="40"/>
        <v>3</v>
      </c>
      <c r="S890" s="6">
        <f t="shared" si="41"/>
        <v>12</v>
      </c>
    </row>
    <row r="891" spans="1:19" x14ac:dyDescent="0.3">
      <c r="A891" s="10">
        <v>45790</v>
      </c>
      <c r="B891" t="s">
        <v>900</v>
      </c>
      <c r="C891" t="s">
        <v>1124</v>
      </c>
      <c r="D891" t="s">
        <v>1135</v>
      </c>
      <c r="E891" t="s">
        <v>1146</v>
      </c>
      <c r="F891" t="s">
        <v>1151</v>
      </c>
      <c r="G891" t="s">
        <v>1155</v>
      </c>
      <c r="H891">
        <v>3</v>
      </c>
      <c r="I891">
        <v>23156</v>
      </c>
      <c r="J891" s="6">
        <v>10</v>
      </c>
      <c r="K891">
        <v>20840.400000000001</v>
      </c>
      <c r="L891">
        <v>62521.2</v>
      </c>
      <c r="M891">
        <v>1500</v>
      </c>
      <c r="N891" t="s">
        <v>1159</v>
      </c>
      <c r="O891" t="s">
        <v>1164</v>
      </c>
      <c r="P891" s="10">
        <v>45802</v>
      </c>
      <c r="Q891" t="str">
        <f t="shared" si="39"/>
        <v>excellent</v>
      </c>
      <c r="R891">
        <f t="shared" si="40"/>
        <v>3</v>
      </c>
      <c r="S891" s="6">
        <f t="shared" si="41"/>
        <v>12</v>
      </c>
    </row>
    <row r="892" spans="1:19" x14ac:dyDescent="0.3">
      <c r="A892" s="10">
        <v>45741</v>
      </c>
      <c r="B892" t="s">
        <v>901</v>
      </c>
      <c r="C892" t="s">
        <v>1120</v>
      </c>
      <c r="D892" t="s">
        <v>1135</v>
      </c>
      <c r="E892" t="s">
        <v>1138</v>
      </c>
      <c r="F892" t="s">
        <v>1149</v>
      </c>
      <c r="G892" t="s">
        <v>1153</v>
      </c>
      <c r="H892">
        <v>1</v>
      </c>
      <c r="I892">
        <v>35811</v>
      </c>
      <c r="J892" s="6">
        <v>5</v>
      </c>
      <c r="K892">
        <v>34020.449999999997</v>
      </c>
      <c r="L892">
        <v>34020.449999999997</v>
      </c>
      <c r="M892">
        <v>1500</v>
      </c>
      <c r="N892" t="s">
        <v>1159</v>
      </c>
      <c r="O892" t="s">
        <v>1162</v>
      </c>
      <c r="Q892" t="str">
        <f t="shared" si="39"/>
        <v>okay</v>
      </c>
      <c r="R892">
        <f t="shared" si="40"/>
        <v>2</v>
      </c>
      <c r="S892" s="6">
        <f t="shared" si="41"/>
        <v>0</v>
      </c>
    </row>
    <row r="893" spans="1:19" x14ac:dyDescent="0.3">
      <c r="A893" s="10">
        <v>45797</v>
      </c>
      <c r="B893" t="s">
        <v>902</v>
      </c>
      <c r="C893" t="s">
        <v>1131</v>
      </c>
      <c r="D893" t="s">
        <v>1136</v>
      </c>
      <c r="E893" t="s">
        <v>1142</v>
      </c>
      <c r="F893" t="s">
        <v>1150</v>
      </c>
      <c r="G893" t="s">
        <v>1156</v>
      </c>
      <c r="H893">
        <v>5</v>
      </c>
      <c r="I893">
        <v>15707</v>
      </c>
      <c r="J893" s="6">
        <v>20</v>
      </c>
      <c r="K893">
        <v>12565.6</v>
      </c>
      <c r="L893">
        <v>62828</v>
      </c>
      <c r="M893">
        <v>2000</v>
      </c>
      <c r="N893" t="s">
        <v>1159</v>
      </c>
      <c r="O893" t="s">
        <v>1162</v>
      </c>
      <c r="Q893" t="str">
        <f t="shared" si="39"/>
        <v>okay</v>
      </c>
      <c r="R893">
        <f t="shared" si="40"/>
        <v>2</v>
      </c>
      <c r="S893" s="6">
        <f t="shared" si="41"/>
        <v>0</v>
      </c>
    </row>
    <row r="894" spans="1:19" x14ac:dyDescent="0.3">
      <c r="A894" s="10">
        <v>45670</v>
      </c>
      <c r="B894" t="s">
        <v>903</v>
      </c>
      <c r="C894" t="s">
        <v>1131</v>
      </c>
      <c r="D894" t="s">
        <v>1136</v>
      </c>
      <c r="E894" t="s">
        <v>1142</v>
      </c>
      <c r="F894" t="s">
        <v>1150</v>
      </c>
      <c r="G894" t="s">
        <v>1156</v>
      </c>
      <c r="H894">
        <v>3</v>
      </c>
      <c r="I894">
        <v>20076</v>
      </c>
      <c r="J894" s="6">
        <v>15</v>
      </c>
      <c r="K894">
        <v>17064.599999999999</v>
      </c>
      <c r="L894">
        <v>51193.8</v>
      </c>
      <c r="M894">
        <v>1500</v>
      </c>
      <c r="N894" t="s">
        <v>1159</v>
      </c>
      <c r="O894" t="s">
        <v>1164</v>
      </c>
      <c r="P894" s="10">
        <v>45677</v>
      </c>
      <c r="Q894" t="str">
        <f t="shared" si="39"/>
        <v>excellent</v>
      </c>
      <c r="R894">
        <f t="shared" si="40"/>
        <v>3</v>
      </c>
      <c r="S894" s="6">
        <f t="shared" si="41"/>
        <v>7</v>
      </c>
    </row>
    <row r="895" spans="1:19" x14ac:dyDescent="0.3">
      <c r="A895" s="10">
        <v>45783</v>
      </c>
      <c r="B895" t="s">
        <v>904</v>
      </c>
      <c r="C895" t="s">
        <v>1127</v>
      </c>
      <c r="D895" t="s">
        <v>1134</v>
      </c>
      <c r="E895" t="s">
        <v>1140</v>
      </c>
      <c r="F895" t="s">
        <v>1150</v>
      </c>
      <c r="G895" t="s">
        <v>1154</v>
      </c>
      <c r="H895">
        <v>2</v>
      </c>
      <c r="I895">
        <v>28660</v>
      </c>
      <c r="J895" s="6">
        <v>0</v>
      </c>
      <c r="K895">
        <v>28660</v>
      </c>
      <c r="L895">
        <v>57320</v>
      </c>
      <c r="M895">
        <v>1000</v>
      </c>
      <c r="N895" t="s">
        <v>1161</v>
      </c>
      <c r="O895" t="s">
        <v>1163</v>
      </c>
      <c r="Q895" t="str">
        <f t="shared" si="39"/>
        <v>no comment</v>
      </c>
      <c r="R895">
        <f t="shared" si="40"/>
        <v>1</v>
      </c>
      <c r="S895" s="6">
        <f t="shared" si="41"/>
        <v>0</v>
      </c>
    </row>
    <row r="896" spans="1:19" x14ac:dyDescent="0.3">
      <c r="A896" s="10">
        <v>45702</v>
      </c>
      <c r="B896" t="s">
        <v>905</v>
      </c>
      <c r="C896" t="s">
        <v>1130</v>
      </c>
      <c r="D896" t="s">
        <v>1136</v>
      </c>
      <c r="E896" t="s">
        <v>1148</v>
      </c>
      <c r="F896" t="s">
        <v>1149</v>
      </c>
      <c r="G896" t="s">
        <v>1152</v>
      </c>
      <c r="H896">
        <v>3</v>
      </c>
      <c r="I896">
        <v>63145</v>
      </c>
      <c r="J896" s="6">
        <v>20</v>
      </c>
      <c r="K896">
        <v>50516</v>
      </c>
      <c r="L896">
        <v>151548</v>
      </c>
      <c r="M896">
        <v>2000</v>
      </c>
      <c r="N896" t="s">
        <v>1161</v>
      </c>
      <c r="O896" t="s">
        <v>1164</v>
      </c>
      <c r="P896" s="10">
        <v>45705</v>
      </c>
      <c r="Q896" t="str">
        <f t="shared" si="39"/>
        <v>excellent</v>
      </c>
      <c r="R896">
        <f t="shared" si="40"/>
        <v>3</v>
      </c>
      <c r="S896" s="6">
        <f t="shared" si="41"/>
        <v>3</v>
      </c>
    </row>
    <row r="897" spans="1:19" x14ac:dyDescent="0.3">
      <c r="A897" s="10">
        <v>45686</v>
      </c>
      <c r="B897" t="s">
        <v>906</v>
      </c>
      <c r="C897" t="s">
        <v>1124</v>
      </c>
      <c r="D897" t="s">
        <v>1135</v>
      </c>
      <c r="E897" t="s">
        <v>1144</v>
      </c>
      <c r="F897" t="s">
        <v>1151</v>
      </c>
      <c r="G897" t="s">
        <v>1157</v>
      </c>
      <c r="H897">
        <v>1</v>
      </c>
      <c r="I897">
        <v>4085</v>
      </c>
      <c r="J897" s="6">
        <v>15</v>
      </c>
      <c r="K897">
        <v>3472.25</v>
      </c>
      <c r="L897">
        <v>3472.25</v>
      </c>
      <c r="M897">
        <v>2000</v>
      </c>
      <c r="N897" t="s">
        <v>1161</v>
      </c>
      <c r="O897" t="s">
        <v>1162</v>
      </c>
      <c r="Q897" t="str">
        <f t="shared" si="39"/>
        <v>okay</v>
      </c>
      <c r="R897">
        <f t="shared" si="40"/>
        <v>2</v>
      </c>
      <c r="S897" s="6">
        <f t="shared" si="41"/>
        <v>0</v>
      </c>
    </row>
    <row r="898" spans="1:19" x14ac:dyDescent="0.3">
      <c r="A898" s="10">
        <v>45715</v>
      </c>
      <c r="B898" t="s">
        <v>907</v>
      </c>
      <c r="C898" t="s">
        <v>1126</v>
      </c>
      <c r="D898" t="s">
        <v>1133</v>
      </c>
      <c r="E898" t="s">
        <v>1139</v>
      </c>
      <c r="F898" t="s">
        <v>1150</v>
      </c>
      <c r="G898" t="s">
        <v>1154</v>
      </c>
      <c r="H898">
        <v>3</v>
      </c>
      <c r="I898">
        <v>49521</v>
      </c>
      <c r="J898" s="6">
        <v>15</v>
      </c>
      <c r="K898">
        <v>42092.85</v>
      </c>
      <c r="L898">
        <v>126278.55</v>
      </c>
      <c r="M898">
        <v>2000</v>
      </c>
      <c r="N898" t="s">
        <v>1159</v>
      </c>
      <c r="O898" t="s">
        <v>1164</v>
      </c>
      <c r="P898" s="10">
        <v>45718</v>
      </c>
      <c r="Q898" t="str">
        <f t="shared" ref="Q898:Q961" si="42">IF(O898="delivered","excellent",IF(O898="in transit","okay",IF(O898="failed","no comment")))</f>
        <v>excellent</v>
      </c>
      <c r="R898">
        <f t="shared" si="40"/>
        <v>3</v>
      </c>
      <c r="S898" s="6">
        <f t="shared" si="41"/>
        <v>3</v>
      </c>
    </row>
    <row r="899" spans="1:19" x14ac:dyDescent="0.3">
      <c r="A899" s="10">
        <v>45824</v>
      </c>
      <c r="B899" t="s">
        <v>908</v>
      </c>
      <c r="C899" t="s">
        <v>1129</v>
      </c>
      <c r="D899" t="s">
        <v>1133</v>
      </c>
      <c r="E899" t="s">
        <v>1145</v>
      </c>
      <c r="F899" t="s">
        <v>1149</v>
      </c>
      <c r="G899" t="s">
        <v>1153</v>
      </c>
      <c r="H899">
        <v>1</v>
      </c>
      <c r="I899">
        <v>51140</v>
      </c>
      <c r="J899" s="6">
        <v>0</v>
      </c>
      <c r="K899">
        <v>51140</v>
      </c>
      <c r="L899">
        <v>51140</v>
      </c>
      <c r="M899">
        <v>1500</v>
      </c>
      <c r="N899" t="s">
        <v>1160</v>
      </c>
      <c r="O899" t="s">
        <v>1162</v>
      </c>
      <c r="Q899" t="str">
        <f t="shared" si="42"/>
        <v>okay</v>
      </c>
      <c r="R899">
        <f t="shared" ref="R899:R962" si="43">IF(Q899="excellent",3,IF(Q899="no comment",1,IF(Q899="okay",2)))</f>
        <v>2</v>
      </c>
      <c r="S899" s="6">
        <f t="shared" ref="S899:S962" si="44">(IFERROR(DATEDIF(A899,P899,"d"),0))</f>
        <v>0</v>
      </c>
    </row>
    <row r="900" spans="1:19" x14ac:dyDescent="0.3">
      <c r="A900" s="10">
        <v>45823</v>
      </c>
      <c r="B900" t="s">
        <v>909</v>
      </c>
      <c r="C900" t="s">
        <v>1125</v>
      </c>
      <c r="D900" t="s">
        <v>1133</v>
      </c>
      <c r="E900" t="s">
        <v>1141</v>
      </c>
      <c r="F900" t="s">
        <v>1151</v>
      </c>
      <c r="G900" t="s">
        <v>1155</v>
      </c>
      <c r="H900">
        <v>1</v>
      </c>
      <c r="I900">
        <v>10267</v>
      </c>
      <c r="J900" s="6">
        <v>0</v>
      </c>
      <c r="K900">
        <v>10267</v>
      </c>
      <c r="L900">
        <v>10267</v>
      </c>
      <c r="M900">
        <v>2000</v>
      </c>
      <c r="N900" t="s">
        <v>1161</v>
      </c>
      <c r="O900" t="s">
        <v>1163</v>
      </c>
      <c r="Q900" t="str">
        <f t="shared" si="42"/>
        <v>no comment</v>
      </c>
      <c r="R900">
        <f t="shared" si="43"/>
        <v>1</v>
      </c>
      <c r="S900" s="6">
        <f t="shared" si="44"/>
        <v>0</v>
      </c>
    </row>
    <row r="901" spans="1:19" x14ac:dyDescent="0.3">
      <c r="A901" s="10">
        <v>45786</v>
      </c>
      <c r="B901" t="s">
        <v>910</v>
      </c>
      <c r="C901" t="s">
        <v>1120</v>
      </c>
      <c r="D901" t="s">
        <v>1135</v>
      </c>
      <c r="E901" t="s">
        <v>1138</v>
      </c>
      <c r="F901" t="s">
        <v>1149</v>
      </c>
      <c r="G901" t="s">
        <v>1153</v>
      </c>
      <c r="H901">
        <v>2</v>
      </c>
      <c r="I901">
        <v>20720</v>
      </c>
      <c r="J901" s="6">
        <v>0</v>
      </c>
      <c r="K901">
        <v>20720</v>
      </c>
      <c r="L901">
        <v>41440</v>
      </c>
      <c r="M901">
        <v>2000</v>
      </c>
      <c r="N901" t="s">
        <v>1159</v>
      </c>
      <c r="O901" t="s">
        <v>1163</v>
      </c>
      <c r="Q901" t="str">
        <f t="shared" si="42"/>
        <v>no comment</v>
      </c>
      <c r="R901">
        <f t="shared" si="43"/>
        <v>1</v>
      </c>
      <c r="S901" s="6">
        <f t="shared" si="44"/>
        <v>0</v>
      </c>
    </row>
    <row r="902" spans="1:19" x14ac:dyDescent="0.3">
      <c r="A902" s="10">
        <v>45838</v>
      </c>
      <c r="B902" t="s">
        <v>911</v>
      </c>
      <c r="C902" t="s">
        <v>1119</v>
      </c>
      <c r="D902" t="s">
        <v>1134</v>
      </c>
      <c r="E902" t="s">
        <v>1140</v>
      </c>
      <c r="F902" t="s">
        <v>1150</v>
      </c>
      <c r="G902" t="s">
        <v>1154</v>
      </c>
      <c r="H902">
        <v>5</v>
      </c>
      <c r="I902">
        <v>36164</v>
      </c>
      <c r="J902" s="6">
        <v>15</v>
      </c>
      <c r="K902">
        <v>30739.4</v>
      </c>
      <c r="L902">
        <v>153697</v>
      </c>
      <c r="M902">
        <v>2000</v>
      </c>
      <c r="N902" t="s">
        <v>1161</v>
      </c>
      <c r="O902" t="s">
        <v>1162</v>
      </c>
      <c r="Q902" t="str">
        <f t="shared" si="42"/>
        <v>okay</v>
      </c>
      <c r="R902">
        <f t="shared" si="43"/>
        <v>2</v>
      </c>
      <c r="S902" s="6">
        <f t="shared" si="44"/>
        <v>0</v>
      </c>
    </row>
    <row r="903" spans="1:19" x14ac:dyDescent="0.3">
      <c r="A903" s="10">
        <v>45768</v>
      </c>
      <c r="B903" t="s">
        <v>912</v>
      </c>
      <c r="C903" t="s">
        <v>1120</v>
      </c>
      <c r="D903" t="s">
        <v>1135</v>
      </c>
      <c r="E903" t="s">
        <v>1138</v>
      </c>
      <c r="F903" t="s">
        <v>1149</v>
      </c>
      <c r="G903" t="s">
        <v>1153</v>
      </c>
      <c r="H903">
        <v>5</v>
      </c>
      <c r="I903">
        <v>2991</v>
      </c>
      <c r="J903" s="6">
        <v>10</v>
      </c>
      <c r="K903">
        <v>2691.9</v>
      </c>
      <c r="L903">
        <v>13459.5</v>
      </c>
      <c r="M903">
        <v>2000</v>
      </c>
      <c r="N903" t="s">
        <v>1161</v>
      </c>
      <c r="O903" t="s">
        <v>1162</v>
      </c>
      <c r="Q903" t="str">
        <f t="shared" si="42"/>
        <v>okay</v>
      </c>
      <c r="R903">
        <f t="shared" si="43"/>
        <v>2</v>
      </c>
      <c r="S903" s="6">
        <f t="shared" si="44"/>
        <v>0</v>
      </c>
    </row>
    <row r="904" spans="1:19" x14ac:dyDescent="0.3">
      <c r="A904" s="10">
        <v>45803</v>
      </c>
      <c r="B904" t="s">
        <v>913</v>
      </c>
      <c r="C904" t="s">
        <v>1132</v>
      </c>
      <c r="D904" t="s">
        <v>1134</v>
      </c>
      <c r="E904" t="s">
        <v>1147</v>
      </c>
      <c r="F904" t="s">
        <v>1150</v>
      </c>
      <c r="G904" t="s">
        <v>1156</v>
      </c>
      <c r="H904">
        <v>1</v>
      </c>
      <c r="I904">
        <v>15327</v>
      </c>
      <c r="J904" s="6">
        <v>10</v>
      </c>
      <c r="K904">
        <v>13794.3</v>
      </c>
      <c r="L904">
        <v>13794.3</v>
      </c>
      <c r="M904">
        <v>1500</v>
      </c>
      <c r="N904" t="s">
        <v>1161</v>
      </c>
      <c r="O904" t="s">
        <v>1163</v>
      </c>
      <c r="Q904" t="str">
        <f t="shared" si="42"/>
        <v>no comment</v>
      </c>
      <c r="R904">
        <f t="shared" si="43"/>
        <v>1</v>
      </c>
      <c r="S904" s="6">
        <f t="shared" si="44"/>
        <v>0</v>
      </c>
    </row>
    <row r="905" spans="1:19" x14ac:dyDescent="0.3">
      <c r="A905" s="10">
        <v>45783</v>
      </c>
      <c r="B905" t="s">
        <v>914</v>
      </c>
      <c r="C905" t="s">
        <v>1125</v>
      </c>
      <c r="D905" t="s">
        <v>1133</v>
      </c>
      <c r="E905" t="s">
        <v>1145</v>
      </c>
      <c r="F905" t="s">
        <v>1149</v>
      </c>
      <c r="G905" t="s">
        <v>1153</v>
      </c>
      <c r="H905">
        <v>5</v>
      </c>
      <c r="I905">
        <v>76937</v>
      </c>
      <c r="J905" s="6">
        <v>5</v>
      </c>
      <c r="K905">
        <v>73090.149999999994</v>
      </c>
      <c r="L905">
        <v>365450.75</v>
      </c>
      <c r="M905">
        <v>2000</v>
      </c>
      <c r="N905" t="s">
        <v>1161</v>
      </c>
      <c r="O905" t="s">
        <v>1163</v>
      </c>
      <c r="Q905" t="str">
        <f t="shared" si="42"/>
        <v>no comment</v>
      </c>
      <c r="R905">
        <f t="shared" si="43"/>
        <v>1</v>
      </c>
      <c r="S905" s="6">
        <f t="shared" si="44"/>
        <v>0</v>
      </c>
    </row>
    <row r="906" spans="1:19" x14ac:dyDescent="0.3">
      <c r="A906" s="10">
        <v>45691</v>
      </c>
      <c r="B906" t="s">
        <v>915</v>
      </c>
      <c r="C906" t="s">
        <v>1129</v>
      </c>
      <c r="D906" t="s">
        <v>1133</v>
      </c>
      <c r="E906" t="s">
        <v>1142</v>
      </c>
      <c r="F906" t="s">
        <v>1150</v>
      </c>
      <c r="G906" t="s">
        <v>1156</v>
      </c>
      <c r="H906">
        <v>1</v>
      </c>
      <c r="I906">
        <v>16244</v>
      </c>
      <c r="J906" s="6">
        <v>15</v>
      </c>
      <c r="K906">
        <v>13807.4</v>
      </c>
      <c r="L906">
        <v>13807.4</v>
      </c>
      <c r="M906">
        <v>1500</v>
      </c>
      <c r="N906" t="s">
        <v>1161</v>
      </c>
      <c r="O906" t="s">
        <v>1163</v>
      </c>
      <c r="Q906" t="str">
        <f t="shared" si="42"/>
        <v>no comment</v>
      </c>
      <c r="R906">
        <f t="shared" si="43"/>
        <v>1</v>
      </c>
      <c r="S906" s="6">
        <f t="shared" si="44"/>
        <v>0</v>
      </c>
    </row>
    <row r="907" spans="1:19" x14ac:dyDescent="0.3">
      <c r="A907" s="10">
        <v>45737</v>
      </c>
      <c r="B907" t="s">
        <v>916</v>
      </c>
      <c r="C907" t="s">
        <v>1125</v>
      </c>
      <c r="D907" t="s">
        <v>1133</v>
      </c>
      <c r="E907" t="s">
        <v>1140</v>
      </c>
      <c r="F907" t="s">
        <v>1150</v>
      </c>
      <c r="G907" t="s">
        <v>1154</v>
      </c>
      <c r="H907">
        <v>1</v>
      </c>
      <c r="I907">
        <v>37354</v>
      </c>
      <c r="J907" s="6">
        <v>5</v>
      </c>
      <c r="K907">
        <v>35486.300000000003</v>
      </c>
      <c r="L907">
        <v>35486.300000000003</v>
      </c>
      <c r="M907">
        <v>2000</v>
      </c>
      <c r="N907" t="s">
        <v>1161</v>
      </c>
      <c r="O907" t="s">
        <v>1164</v>
      </c>
      <c r="P907" s="10">
        <v>45746</v>
      </c>
      <c r="Q907" t="str">
        <f t="shared" si="42"/>
        <v>excellent</v>
      </c>
      <c r="R907">
        <f t="shared" si="43"/>
        <v>3</v>
      </c>
      <c r="S907" s="6">
        <f t="shared" si="44"/>
        <v>9</v>
      </c>
    </row>
    <row r="908" spans="1:19" x14ac:dyDescent="0.3">
      <c r="A908" s="10">
        <v>45660</v>
      </c>
      <c r="B908" t="s">
        <v>917</v>
      </c>
      <c r="C908" t="s">
        <v>1125</v>
      </c>
      <c r="D908" t="s">
        <v>1133</v>
      </c>
      <c r="E908" t="s">
        <v>1147</v>
      </c>
      <c r="F908" t="s">
        <v>1150</v>
      </c>
      <c r="G908" t="s">
        <v>1156</v>
      </c>
      <c r="H908">
        <v>4</v>
      </c>
      <c r="I908">
        <v>76823</v>
      </c>
      <c r="J908" s="6">
        <v>10</v>
      </c>
      <c r="K908">
        <v>69140.7</v>
      </c>
      <c r="L908">
        <v>276562.8</v>
      </c>
      <c r="M908">
        <v>1500</v>
      </c>
      <c r="N908" t="s">
        <v>1159</v>
      </c>
      <c r="O908" t="s">
        <v>1162</v>
      </c>
      <c r="Q908" t="str">
        <f t="shared" si="42"/>
        <v>okay</v>
      </c>
      <c r="R908">
        <f t="shared" si="43"/>
        <v>2</v>
      </c>
      <c r="S908" s="6">
        <f t="shared" si="44"/>
        <v>0</v>
      </c>
    </row>
    <row r="909" spans="1:19" x14ac:dyDescent="0.3">
      <c r="A909" s="10">
        <v>45771</v>
      </c>
      <c r="B909" t="s">
        <v>918</v>
      </c>
      <c r="C909" t="s">
        <v>1132</v>
      </c>
      <c r="D909" t="s">
        <v>1134</v>
      </c>
      <c r="E909" t="s">
        <v>1142</v>
      </c>
      <c r="F909" t="s">
        <v>1150</v>
      </c>
      <c r="G909" t="s">
        <v>1156</v>
      </c>
      <c r="H909">
        <v>1</v>
      </c>
      <c r="I909">
        <v>19873</v>
      </c>
      <c r="J909" s="6">
        <v>20</v>
      </c>
      <c r="K909">
        <v>15898.4</v>
      </c>
      <c r="L909">
        <v>15898.4</v>
      </c>
      <c r="M909">
        <v>1500</v>
      </c>
      <c r="N909" t="s">
        <v>1160</v>
      </c>
      <c r="O909" t="s">
        <v>1162</v>
      </c>
      <c r="Q909" t="str">
        <f t="shared" si="42"/>
        <v>okay</v>
      </c>
      <c r="R909">
        <f t="shared" si="43"/>
        <v>2</v>
      </c>
      <c r="S909" s="6">
        <f t="shared" si="44"/>
        <v>0</v>
      </c>
    </row>
    <row r="910" spans="1:19" x14ac:dyDescent="0.3">
      <c r="A910" s="10">
        <v>45741</v>
      </c>
      <c r="B910" t="s">
        <v>795</v>
      </c>
      <c r="C910" t="s">
        <v>1130</v>
      </c>
      <c r="D910" t="s">
        <v>1136</v>
      </c>
      <c r="E910" t="s">
        <v>1143</v>
      </c>
      <c r="F910" t="s">
        <v>1151</v>
      </c>
      <c r="G910" t="s">
        <v>1157</v>
      </c>
      <c r="H910">
        <v>1</v>
      </c>
      <c r="I910">
        <v>35919</v>
      </c>
      <c r="J910" s="6">
        <v>10</v>
      </c>
      <c r="K910">
        <v>32327.1</v>
      </c>
      <c r="L910">
        <v>32327.1</v>
      </c>
      <c r="M910">
        <v>1500</v>
      </c>
      <c r="N910" t="s">
        <v>1160</v>
      </c>
      <c r="O910" t="s">
        <v>1164</v>
      </c>
      <c r="P910" s="10">
        <v>45755</v>
      </c>
      <c r="Q910" t="str">
        <f t="shared" si="42"/>
        <v>excellent</v>
      </c>
      <c r="R910">
        <f t="shared" si="43"/>
        <v>3</v>
      </c>
      <c r="S910" s="6">
        <f t="shared" si="44"/>
        <v>14</v>
      </c>
    </row>
    <row r="911" spans="1:19" x14ac:dyDescent="0.3">
      <c r="A911" s="10">
        <v>45706</v>
      </c>
      <c r="B911" t="s">
        <v>919</v>
      </c>
      <c r="C911" t="s">
        <v>1127</v>
      </c>
      <c r="D911" t="s">
        <v>1134</v>
      </c>
      <c r="E911" t="s">
        <v>1141</v>
      </c>
      <c r="F911" t="s">
        <v>1151</v>
      </c>
      <c r="G911" t="s">
        <v>1155</v>
      </c>
      <c r="H911">
        <v>5</v>
      </c>
      <c r="I911">
        <v>58454</v>
      </c>
      <c r="J911" s="6">
        <v>15</v>
      </c>
      <c r="K911">
        <v>49685.9</v>
      </c>
      <c r="L911">
        <v>248429.5</v>
      </c>
      <c r="M911">
        <v>2000</v>
      </c>
      <c r="N911" t="s">
        <v>1160</v>
      </c>
      <c r="O911" t="s">
        <v>1162</v>
      </c>
      <c r="Q911" t="str">
        <f t="shared" si="42"/>
        <v>okay</v>
      </c>
      <c r="R911">
        <f t="shared" si="43"/>
        <v>2</v>
      </c>
      <c r="S911" s="6">
        <f t="shared" si="44"/>
        <v>0</v>
      </c>
    </row>
    <row r="912" spans="1:19" x14ac:dyDescent="0.3">
      <c r="A912" s="10">
        <v>45786</v>
      </c>
      <c r="B912" t="s">
        <v>920</v>
      </c>
      <c r="C912" t="s">
        <v>1130</v>
      </c>
      <c r="D912" t="s">
        <v>1136</v>
      </c>
      <c r="E912" t="s">
        <v>1142</v>
      </c>
      <c r="F912" t="s">
        <v>1150</v>
      </c>
      <c r="G912" t="s">
        <v>1156</v>
      </c>
      <c r="H912">
        <v>2</v>
      </c>
      <c r="I912">
        <v>32037</v>
      </c>
      <c r="J912" s="6">
        <v>15</v>
      </c>
      <c r="K912">
        <v>27231.45</v>
      </c>
      <c r="L912">
        <v>54462.9</v>
      </c>
      <c r="M912">
        <v>1500</v>
      </c>
      <c r="N912" t="s">
        <v>1160</v>
      </c>
      <c r="O912" t="s">
        <v>1164</v>
      </c>
      <c r="P912" s="10">
        <v>45791</v>
      </c>
      <c r="Q912" t="str">
        <f t="shared" si="42"/>
        <v>excellent</v>
      </c>
      <c r="R912">
        <f t="shared" si="43"/>
        <v>3</v>
      </c>
      <c r="S912" s="6">
        <f t="shared" si="44"/>
        <v>5</v>
      </c>
    </row>
    <row r="913" spans="1:19" x14ac:dyDescent="0.3">
      <c r="A913" s="10">
        <v>45715</v>
      </c>
      <c r="B913" t="s">
        <v>921</v>
      </c>
      <c r="C913" t="s">
        <v>1127</v>
      </c>
      <c r="D913" t="s">
        <v>1134</v>
      </c>
      <c r="E913" t="s">
        <v>1144</v>
      </c>
      <c r="F913" t="s">
        <v>1151</v>
      </c>
      <c r="G913" t="s">
        <v>1157</v>
      </c>
      <c r="H913">
        <v>2</v>
      </c>
      <c r="I913">
        <v>55641</v>
      </c>
      <c r="J913" s="6">
        <v>15</v>
      </c>
      <c r="K913">
        <v>47294.85</v>
      </c>
      <c r="L913">
        <v>94589.7</v>
      </c>
      <c r="M913">
        <v>1000</v>
      </c>
      <c r="N913" t="s">
        <v>1160</v>
      </c>
      <c r="O913" t="s">
        <v>1164</v>
      </c>
      <c r="P913" s="10">
        <v>45724</v>
      </c>
      <c r="Q913" t="str">
        <f t="shared" si="42"/>
        <v>excellent</v>
      </c>
      <c r="R913">
        <f t="shared" si="43"/>
        <v>3</v>
      </c>
      <c r="S913" s="6">
        <f t="shared" si="44"/>
        <v>9</v>
      </c>
    </row>
    <row r="914" spans="1:19" x14ac:dyDescent="0.3">
      <c r="A914" s="10">
        <v>45787</v>
      </c>
      <c r="B914" t="s">
        <v>922</v>
      </c>
      <c r="C914" t="s">
        <v>1130</v>
      </c>
      <c r="D914" t="s">
        <v>1136</v>
      </c>
      <c r="E914" t="s">
        <v>1141</v>
      </c>
      <c r="F914" t="s">
        <v>1151</v>
      </c>
      <c r="G914" t="s">
        <v>1155</v>
      </c>
      <c r="H914">
        <v>1</v>
      </c>
      <c r="I914">
        <v>50203</v>
      </c>
      <c r="J914" s="6">
        <v>5</v>
      </c>
      <c r="K914">
        <v>47692.85</v>
      </c>
      <c r="L914">
        <v>47692.85</v>
      </c>
      <c r="M914">
        <v>2000</v>
      </c>
      <c r="N914" t="s">
        <v>1159</v>
      </c>
      <c r="O914" t="s">
        <v>1162</v>
      </c>
      <c r="Q914" t="str">
        <f t="shared" si="42"/>
        <v>okay</v>
      </c>
      <c r="R914">
        <f t="shared" si="43"/>
        <v>2</v>
      </c>
      <c r="S914" s="6">
        <f t="shared" si="44"/>
        <v>0</v>
      </c>
    </row>
    <row r="915" spans="1:19" x14ac:dyDescent="0.3">
      <c r="A915" s="10">
        <v>45689</v>
      </c>
      <c r="B915" t="s">
        <v>923</v>
      </c>
      <c r="C915" t="s">
        <v>1124</v>
      </c>
      <c r="D915" t="s">
        <v>1135</v>
      </c>
      <c r="E915" t="s">
        <v>1140</v>
      </c>
      <c r="F915" t="s">
        <v>1150</v>
      </c>
      <c r="G915" t="s">
        <v>1154</v>
      </c>
      <c r="H915">
        <v>4</v>
      </c>
      <c r="I915">
        <v>62767</v>
      </c>
      <c r="J915" s="6">
        <v>5</v>
      </c>
      <c r="K915">
        <v>59628.65</v>
      </c>
      <c r="L915">
        <v>238514.6</v>
      </c>
      <c r="M915">
        <v>2000</v>
      </c>
      <c r="N915" t="s">
        <v>1159</v>
      </c>
      <c r="O915" t="s">
        <v>1164</v>
      </c>
      <c r="P915" s="10">
        <v>45694</v>
      </c>
      <c r="Q915" t="str">
        <f t="shared" si="42"/>
        <v>excellent</v>
      </c>
      <c r="R915">
        <f t="shared" si="43"/>
        <v>3</v>
      </c>
      <c r="S915" s="6">
        <f t="shared" si="44"/>
        <v>5</v>
      </c>
    </row>
    <row r="916" spans="1:19" x14ac:dyDescent="0.3">
      <c r="A916" s="10">
        <v>45718</v>
      </c>
      <c r="B916" t="s">
        <v>924</v>
      </c>
      <c r="C916" t="s">
        <v>1118</v>
      </c>
      <c r="D916" t="s">
        <v>1134</v>
      </c>
      <c r="E916" t="s">
        <v>1140</v>
      </c>
      <c r="F916" t="s">
        <v>1150</v>
      </c>
      <c r="G916" t="s">
        <v>1154</v>
      </c>
      <c r="H916">
        <v>1</v>
      </c>
      <c r="I916">
        <v>64804</v>
      </c>
      <c r="J916" s="6">
        <v>10</v>
      </c>
      <c r="K916">
        <v>58323.6</v>
      </c>
      <c r="L916">
        <v>58323.6</v>
      </c>
      <c r="M916">
        <v>1000</v>
      </c>
      <c r="N916" t="s">
        <v>1159</v>
      </c>
      <c r="O916" t="s">
        <v>1162</v>
      </c>
      <c r="Q916" t="str">
        <f t="shared" si="42"/>
        <v>okay</v>
      </c>
      <c r="R916">
        <f t="shared" si="43"/>
        <v>2</v>
      </c>
      <c r="S916" s="6">
        <f t="shared" si="44"/>
        <v>0</v>
      </c>
    </row>
    <row r="917" spans="1:19" x14ac:dyDescent="0.3">
      <c r="A917" s="10">
        <v>45710</v>
      </c>
      <c r="B917" t="s">
        <v>925</v>
      </c>
      <c r="C917" t="s">
        <v>1131</v>
      </c>
      <c r="D917" t="s">
        <v>1136</v>
      </c>
      <c r="E917" t="s">
        <v>1140</v>
      </c>
      <c r="F917" t="s">
        <v>1150</v>
      </c>
      <c r="G917" t="s">
        <v>1154</v>
      </c>
      <c r="H917">
        <v>4</v>
      </c>
      <c r="I917">
        <v>29041</v>
      </c>
      <c r="J917" s="6">
        <v>0</v>
      </c>
      <c r="K917">
        <v>29041</v>
      </c>
      <c r="L917">
        <v>116164</v>
      </c>
      <c r="M917">
        <v>1500</v>
      </c>
      <c r="N917" t="s">
        <v>1159</v>
      </c>
      <c r="O917" t="s">
        <v>1162</v>
      </c>
      <c r="Q917" t="str">
        <f t="shared" si="42"/>
        <v>okay</v>
      </c>
      <c r="R917">
        <f t="shared" si="43"/>
        <v>2</v>
      </c>
      <c r="S917" s="6">
        <f t="shared" si="44"/>
        <v>0</v>
      </c>
    </row>
    <row r="918" spans="1:19" x14ac:dyDescent="0.3">
      <c r="A918" s="10">
        <v>45803</v>
      </c>
      <c r="B918" t="s">
        <v>926</v>
      </c>
      <c r="C918" t="s">
        <v>1129</v>
      </c>
      <c r="D918" t="s">
        <v>1133</v>
      </c>
      <c r="E918" t="s">
        <v>1146</v>
      </c>
      <c r="F918" t="s">
        <v>1151</v>
      </c>
      <c r="G918" t="s">
        <v>1155</v>
      </c>
      <c r="H918">
        <v>4</v>
      </c>
      <c r="I918">
        <v>65407</v>
      </c>
      <c r="J918" s="6">
        <v>10</v>
      </c>
      <c r="K918">
        <v>58866.3</v>
      </c>
      <c r="L918">
        <v>235465.2</v>
      </c>
      <c r="M918">
        <v>2000</v>
      </c>
      <c r="N918" t="s">
        <v>1160</v>
      </c>
      <c r="O918" t="s">
        <v>1164</v>
      </c>
      <c r="P918" s="10">
        <v>45811</v>
      </c>
      <c r="Q918" t="str">
        <f t="shared" si="42"/>
        <v>excellent</v>
      </c>
      <c r="R918">
        <f t="shared" si="43"/>
        <v>3</v>
      </c>
      <c r="S918" s="6">
        <f t="shared" si="44"/>
        <v>8</v>
      </c>
    </row>
    <row r="919" spans="1:19" x14ac:dyDescent="0.3">
      <c r="A919" s="10">
        <v>45710</v>
      </c>
      <c r="B919" t="s">
        <v>927</v>
      </c>
      <c r="C919" t="s">
        <v>1123</v>
      </c>
      <c r="D919" t="s">
        <v>1135</v>
      </c>
      <c r="E919" t="s">
        <v>1146</v>
      </c>
      <c r="F919" t="s">
        <v>1151</v>
      </c>
      <c r="G919" t="s">
        <v>1155</v>
      </c>
      <c r="H919">
        <v>3</v>
      </c>
      <c r="I919">
        <v>56041</v>
      </c>
      <c r="J919" s="6">
        <v>20</v>
      </c>
      <c r="K919">
        <v>44832.800000000003</v>
      </c>
      <c r="L919">
        <v>134498.4</v>
      </c>
      <c r="M919">
        <v>1500</v>
      </c>
      <c r="N919" t="s">
        <v>1159</v>
      </c>
      <c r="O919" t="s">
        <v>1162</v>
      </c>
      <c r="Q919" t="str">
        <f t="shared" si="42"/>
        <v>okay</v>
      </c>
      <c r="R919">
        <f t="shared" si="43"/>
        <v>2</v>
      </c>
      <c r="S919" s="6">
        <f t="shared" si="44"/>
        <v>0</v>
      </c>
    </row>
    <row r="920" spans="1:19" x14ac:dyDescent="0.3">
      <c r="A920" s="10">
        <v>45795</v>
      </c>
      <c r="B920" t="s">
        <v>928</v>
      </c>
      <c r="C920" t="s">
        <v>1124</v>
      </c>
      <c r="D920" t="s">
        <v>1135</v>
      </c>
      <c r="E920" t="s">
        <v>1148</v>
      </c>
      <c r="F920" t="s">
        <v>1149</v>
      </c>
      <c r="G920" t="s">
        <v>1152</v>
      </c>
      <c r="H920">
        <v>3</v>
      </c>
      <c r="I920">
        <v>26352</v>
      </c>
      <c r="J920" s="6">
        <v>20</v>
      </c>
      <c r="K920">
        <v>21081.599999999999</v>
      </c>
      <c r="L920">
        <v>63244.800000000003</v>
      </c>
      <c r="M920">
        <v>1000</v>
      </c>
      <c r="N920" t="s">
        <v>1159</v>
      </c>
      <c r="O920" t="s">
        <v>1163</v>
      </c>
      <c r="Q920" t="str">
        <f t="shared" si="42"/>
        <v>no comment</v>
      </c>
      <c r="R920">
        <f t="shared" si="43"/>
        <v>1</v>
      </c>
      <c r="S920" s="6">
        <f t="shared" si="44"/>
        <v>0</v>
      </c>
    </row>
    <row r="921" spans="1:19" x14ac:dyDescent="0.3">
      <c r="A921" s="10">
        <v>45817</v>
      </c>
      <c r="B921" t="s">
        <v>929</v>
      </c>
      <c r="C921" t="s">
        <v>1125</v>
      </c>
      <c r="D921" t="s">
        <v>1133</v>
      </c>
      <c r="E921" t="s">
        <v>1139</v>
      </c>
      <c r="F921" t="s">
        <v>1150</v>
      </c>
      <c r="G921" t="s">
        <v>1154</v>
      </c>
      <c r="H921">
        <v>3</v>
      </c>
      <c r="I921">
        <v>22364</v>
      </c>
      <c r="J921" s="6">
        <v>10</v>
      </c>
      <c r="K921">
        <v>20127.599999999999</v>
      </c>
      <c r="L921">
        <v>60382.8</v>
      </c>
      <c r="M921">
        <v>2000</v>
      </c>
      <c r="N921" t="s">
        <v>1160</v>
      </c>
      <c r="O921" t="s">
        <v>1164</v>
      </c>
      <c r="P921" s="10">
        <v>45829</v>
      </c>
      <c r="Q921" t="str">
        <f t="shared" si="42"/>
        <v>excellent</v>
      </c>
      <c r="R921">
        <f t="shared" si="43"/>
        <v>3</v>
      </c>
      <c r="S921" s="6">
        <f t="shared" si="44"/>
        <v>12</v>
      </c>
    </row>
    <row r="922" spans="1:19" x14ac:dyDescent="0.3">
      <c r="A922" s="10">
        <v>45783</v>
      </c>
      <c r="B922" t="s">
        <v>930</v>
      </c>
      <c r="C922" t="s">
        <v>1125</v>
      </c>
      <c r="D922" t="s">
        <v>1133</v>
      </c>
      <c r="E922" t="s">
        <v>1139</v>
      </c>
      <c r="F922" t="s">
        <v>1150</v>
      </c>
      <c r="G922" t="s">
        <v>1154</v>
      </c>
      <c r="H922">
        <v>2</v>
      </c>
      <c r="I922">
        <v>63372</v>
      </c>
      <c r="J922" s="6">
        <v>5</v>
      </c>
      <c r="K922">
        <v>60203.4</v>
      </c>
      <c r="L922">
        <v>120406.8</v>
      </c>
      <c r="M922">
        <v>1500</v>
      </c>
      <c r="N922" t="s">
        <v>1159</v>
      </c>
      <c r="O922" t="s">
        <v>1162</v>
      </c>
      <c r="Q922" t="str">
        <f t="shared" si="42"/>
        <v>okay</v>
      </c>
      <c r="R922">
        <f t="shared" si="43"/>
        <v>2</v>
      </c>
      <c r="S922" s="6">
        <f t="shared" si="44"/>
        <v>0</v>
      </c>
    </row>
    <row r="923" spans="1:19" x14ac:dyDescent="0.3">
      <c r="A923" s="10">
        <v>45696</v>
      </c>
      <c r="B923" t="s">
        <v>931</v>
      </c>
      <c r="C923" t="s">
        <v>1132</v>
      </c>
      <c r="D923" t="s">
        <v>1134</v>
      </c>
      <c r="E923" t="s">
        <v>1140</v>
      </c>
      <c r="F923" t="s">
        <v>1150</v>
      </c>
      <c r="G923" t="s">
        <v>1154</v>
      </c>
      <c r="H923">
        <v>1</v>
      </c>
      <c r="I923">
        <v>44353</v>
      </c>
      <c r="J923" s="6">
        <v>5</v>
      </c>
      <c r="K923">
        <v>42135.35</v>
      </c>
      <c r="L923">
        <v>42135.35</v>
      </c>
      <c r="M923">
        <v>1500</v>
      </c>
      <c r="N923" t="s">
        <v>1161</v>
      </c>
      <c r="O923" t="s">
        <v>1164</v>
      </c>
      <c r="P923" s="10">
        <v>45702</v>
      </c>
      <c r="Q923" t="str">
        <f t="shared" si="42"/>
        <v>excellent</v>
      </c>
      <c r="R923">
        <f t="shared" si="43"/>
        <v>3</v>
      </c>
      <c r="S923" s="6">
        <f t="shared" si="44"/>
        <v>6</v>
      </c>
    </row>
    <row r="924" spans="1:19" x14ac:dyDescent="0.3">
      <c r="A924" s="10">
        <v>45697</v>
      </c>
      <c r="B924" t="s">
        <v>932</v>
      </c>
      <c r="C924" t="s">
        <v>1126</v>
      </c>
      <c r="D924" t="s">
        <v>1133</v>
      </c>
      <c r="E924" t="s">
        <v>1146</v>
      </c>
      <c r="F924" t="s">
        <v>1151</v>
      </c>
      <c r="G924" t="s">
        <v>1155</v>
      </c>
      <c r="H924">
        <v>2</v>
      </c>
      <c r="I924">
        <v>27589</v>
      </c>
      <c r="J924" s="6">
        <v>5</v>
      </c>
      <c r="K924">
        <v>26209.55</v>
      </c>
      <c r="L924">
        <v>52419.1</v>
      </c>
      <c r="M924">
        <v>1500</v>
      </c>
      <c r="N924" t="s">
        <v>1161</v>
      </c>
      <c r="O924" t="s">
        <v>1164</v>
      </c>
      <c r="P924" s="10">
        <v>45709</v>
      </c>
      <c r="Q924" t="str">
        <f t="shared" si="42"/>
        <v>excellent</v>
      </c>
      <c r="R924">
        <f t="shared" si="43"/>
        <v>3</v>
      </c>
      <c r="S924" s="6">
        <f t="shared" si="44"/>
        <v>12</v>
      </c>
    </row>
    <row r="925" spans="1:19" x14ac:dyDescent="0.3">
      <c r="A925" s="10">
        <v>45835</v>
      </c>
      <c r="B925" t="s">
        <v>933</v>
      </c>
      <c r="C925" t="s">
        <v>1118</v>
      </c>
      <c r="D925" t="s">
        <v>1134</v>
      </c>
      <c r="E925" t="s">
        <v>1146</v>
      </c>
      <c r="F925" t="s">
        <v>1151</v>
      </c>
      <c r="G925" t="s">
        <v>1155</v>
      </c>
      <c r="H925">
        <v>1</v>
      </c>
      <c r="I925">
        <v>66793</v>
      </c>
      <c r="J925" s="6">
        <v>10</v>
      </c>
      <c r="K925">
        <v>60113.7</v>
      </c>
      <c r="L925">
        <v>60113.7</v>
      </c>
      <c r="M925">
        <v>1500</v>
      </c>
      <c r="N925" t="s">
        <v>1161</v>
      </c>
      <c r="O925" t="s">
        <v>1162</v>
      </c>
      <c r="Q925" t="str">
        <f t="shared" si="42"/>
        <v>okay</v>
      </c>
      <c r="R925">
        <f t="shared" si="43"/>
        <v>2</v>
      </c>
      <c r="S925" s="6">
        <f t="shared" si="44"/>
        <v>0</v>
      </c>
    </row>
    <row r="926" spans="1:19" x14ac:dyDescent="0.3">
      <c r="A926" s="10">
        <v>45806</v>
      </c>
      <c r="B926" t="s">
        <v>934</v>
      </c>
      <c r="C926" t="s">
        <v>1132</v>
      </c>
      <c r="D926" t="s">
        <v>1134</v>
      </c>
      <c r="E926" t="s">
        <v>1140</v>
      </c>
      <c r="F926" t="s">
        <v>1150</v>
      </c>
      <c r="G926" t="s">
        <v>1154</v>
      </c>
      <c r="H926">
        <v>3</v>
      </c>
      <c r="I926">
        <v>52240</v>
      </c>
      <c r="J926" s="6">
        <v>15</v>
      </c>
      <c r="K926">
        <v>44404</v>
      </c>
      <c r="L926">
        <v>133212</v>
      </c>
      <c r="M926">
        <v>2000</v>
      </c>
      <c r="N926" t="s">
        <v>1161</v>
      </c>
      <c r="O926" t="s">
        <v>1164</v>
      </c>
      <c r="P926" s="10">
        <v>45820</v>
      </c>
      <c r="Q926" t="str">
        <f t="shared" si="42"/>
        <v>excellent</v>
      </c>
      <c r="R926">
        <f t="shared" si="43"/>
        <v>3</v>
      </c>
      <c r="S926" s="6">
        <f t="shared" si="44"/>
        <v>14</v>
      </c>
    </row>
    <row r="927" spans="1:19" x14ac:dyDescent="0.3">
      <c r="A927" s="10">
        <v>45818</v>
      </c>
      <c r="B927" t="s">
        <v>935</v>
      </c>
      <c r="C927" t="s">
        <v>1119</v>
      </c>
      <c r="D927" t="s">
        <v>1134</v>
      </c>
      <c r="E927" t="s">
        <v>1147</v>
      </c>
      <c r="F927" t="s">
        <v>1150</v>
      </c>
      <c r="G927" t="s">
        <v>1156</v>
      </c>
      <c r="H927">
        <v>2</v>
      </c>
      <c r="I927">
        <v>7675</v>
      </c>
      <c r="J927" s="6">
        <v>0</v>
      </c>
      <c r="K927">
        <v>7675</v>
      </c>
      <c r="L927">
        <v>15350</v>
      </c>
      <c r="M927">
        <v>2000</v>
      </c>
      <c r="N927" t="s">
        <v>1160</v>
      </c>
      <c r="O927" t="s">
        <v>1162</v>
      </c>
      <c r="Q927" t="str">
        <f t="shared" si="42"/>
        <v>okay</v>
      </c>
      <c r="R927">
        <f t="shared" si="43"/>
        <v>2</v>
      </c>
      <c r="S927" s="6">
        <f t="shared" si="44"/>
        <v>0</v>
      </c>
    </row>
    <row r="928" spans="1:19" x14ac:dyDescent="0.3">
      <c r="A928" s="10">
        <v>45677</v>
      </c>
      <c r="B928" t="s">
        <v>936</v>
      </c>
      <c r="C928" t="s">
        <v>1128</v>
      </c>
      <c r="D928" t="s">
        <v>1135</v>
      </c>
      <c r="E928" t="s">
        <v>1141</v>
      </c>
      <c r="F928" t="s">
        <v>1151</v>
      </c>
      <c r="G928" t="s">
        <v>1155</v>
      </c>
      <c r="H928">
        <v>5</v>
      </c>
      <c r="I928">
        <v>12538</v>
      </c>
      <c r="J928" s="6">
        <v>0</v>
      </c>
      <c r="K928">
        <v>12538</v>
      </c>
      <c r="L928">
        <v>62690</v>
      </c>
      <c r="M928">
        <v>1500</v>
      </c>
      <c r="N928" t="s">
        <v>1161</v>
      </c>
      <c r="O928" t="s">
        <v>1164</v>
      </c>
      <c r="P928" s="10">
        <v>45682</v>
      </c>
      <c r="Q928" t="str">
        <f t="shared" si="42"/>
        <v>excellent</v>
      </c>
      <c r="R928">
        <f t="shared" si="43"/>
        <v>3</v>
      </c>
      <c r="S928" s="6">
        <f t="shared" si="44"/>
        <v>5</v>
      </c>
    </row>
    <row r="929" spans="1:19" x14ac:dyDescent="0.3">
      <c r="A929" s="10">
        <v>45811</v>
      </c>
      <c r="B929" t="s">
        <v>937</v>
      </c>
      <c r="C929" t="s">
        <v>1122</v>
      </c>
      <c r="D929" t="s">
        <v>1136</v>
      </c>
      <c r="E929" t="s">
        <v>1140</v>
      </c>
      <c r="F929" t="s">
        <v>1150</v>
      </c>
      <c r="G929" t="s">
        <v>1154</v>
      </c>
      <c r="H929">
        <v>5</v>
      </c>
      <c r="I929">
        <v>39161</v>
      </c>
      <c r="J929" s="6">
        <v>0</v>
      </c>
      <c r="K929">
        <v>39161</v>
      </c>
      <c r="L929">
        <v>195805</v>
      </c>
      <c r="M929">
        <v>1500</v>
      </c>
      <c r="N929" t="s">
        <v>1159</v>
      </c>
      <c r="O929" t="s">
        <v>1162</v>
      </c>
      <c r="Q929" t="str">
        <f t="shared" si="42"/>
        <v>okay</v>
      </c>
      <c r="R929">
        <f t="shared" si="43"/>
        <v>2</v>
      </c>
      <c r="S929" s="6">
        <f t="shared" si="44"/>
        <v>0</v>
      </c>
    </row>
    <row r="930" spans="1:19" x14ac:dyDescent="0.3">
      <c r="A930" s="10">
        <v>45799</v>
      </c>
      <c r="B930" t="s">
        <v>938</v>
      </c>
      <c r="C930" t="s">
        <v>1123</v>
      </c>
      <c r="D930" t="s">
        <v>1135</v>
      </c>
      <c r="E930" t="s">
        <v>1147</v>
      </c>
      <c r="F930" t="s">
        <v>1150</v>
      </c>
      <c r="G930" t="s">
        <v>1156</v>
      </c>
      <c r="H930">
        <v>4</v>
      </c>
      <c r="I930">
        <v>40732</v>
      </c>
      <c r="J930" s="6">
        <v>20</v>
      </c>
      <c r="K930">
        <v>32585.599999999999</v>
      </c>
      <c r="L930">
        <v>130342.39999999999</v>
      </c>
      <c r="M930">
        <v>2000</v>
      </c>
      <c r="N930" t="s">
        <v>1160</v>
      </c>
      <c r="O930" t="s">
        <v>1162</v>
      </c>
      <c r="Q930" t="str">
        <f t="shared" si="42"/>
        <v>okay</v>
      </c>
      <c r="R930">
        <f t="shared" si="43"/>
        <v>2</v>
      </c>
      <c r="S930" s="6">
        <f t="shared" si="44"/>
        <v>0</v>
      </c>
    </row>
    <row r="931" spans="1:19" x14ac:dyDescent="0.3">
      <c r="A931" s="10">
        <v>45667</v>
      </c>
      <c r="B931" t="s">
        <v>939</v>
      </c>
      <c r="C931" t="s">
        <v>1121</v>
      </c>
      <c r="D931" t="s">
        <v>1136</v>
      </c>
      <c r="E931" t="s">
        <v>1139</v>
      </c>
      <c r="F931" t="s">
        <v>1150</v>
      </c>
      <c r="G931" t="s">
        <v>1154</v>
      </c>
      <c r="H931">
        <v>3</v>
      </c>
      <c r="I931">
        <v>9713</v>
      </c>
      <c r="J931" s="6">
        <v>20</v>
      </c>
      <c r="K931">
        <v>7770.4</v>
      </c>
      <c r="L931">
        <v>23311.200000000001</v>
      </c>
      <c r="M931">
        <v>1500</v>
      </c>
      <c r="N931" t="s">
        <v>1159</v>
      </c>
      <c r="O931" t="s">
        <v>1163</v>
      </c>
      <c r="Q931" t="str">
        <f t="shared" si="42"/>
        <v>no comment</v>
      </c>
      <c r="R931">
        <f t="shared" si="43"/>
        <v>1</v>
      </c>
      <c r="S931" s="6">
        <f t="shared" si="44"/>
        <v>0</v>
      </c>
    </row>
    <row r="932" spans="1:19" x14ac:dyDescent="0.3">
      <c r="A932" s="10">
        <v>45827</v>
      </c>
      <c r="B932" t="s">
        <v>940</v>
      </c>
      <c r="C932" t="s">
        <v>1132</v>
      </c>
      <c r="D932" t="s">
        <v>1134</v>
      </c>
      <c r="E932" t="s">
        <v>1142</v>
      </c>
      <c r="F932" t="s">
        <v>1150</v>
      </c>
      <c r="G932" t="s">
        <v>1156</v>
      </c>
      <c r="H932">
        <v>2</v>
      </c>
      <c r="I932">
        <v>25194</v>
      </c>
      <c r="J932" s="6">
        <v>0</v>
      </c>
      <c r="K932">
        <v>25194</v>
      </c>
      <c r="L932">
        <v>50388</v>
      </c>
      <c r="M932">
        <v>2000</v>
      </c>
      <c r="N932" t="s">
        <v>1160</v>
      </c>
      <c r="O932" t="s">
        <v>1164</v>
      </c>
      <c r="P932" s="10">
        <v>45832</v>
      </c>
      <c r="Q932" t="str">
        <f t="shared" si="42"/>
        <v>excellent</v>
      </c>
      <c r="R932">
        <f t="shared" si="43"/>
        <v>3</v>
      </c>
      <c r="S932" s="6">
        <f t="shared" si="44"/>
        <v>5</v>
      </c>
    </row>
    <row r="933" spans="1:19" x14ac:dyDescent="0.3">
      <c r="A933" s="10">
        <v>45705</v>
      </c>
      <c r="B933" t="s">
        <v>941</v>
      </c>
      <c r="C933" t="s">
        <v>1130</v>
      </c>
      <c r="D933" t="s">
        <v>1136</v>
      </c>
      <c r="E933" t="s">
        <v>1138</v>
      </c>
      <c r="F933" t="s">
        <v>1149</v>
      </c>
      <c r="G933" t="s">
        <v>1153</v>
      </c>
      <c r="H933">
        <v>5</v>
      </c>
      <c r="I933">
        <v>58053</v>
      </c>
      <c r="J933" s="6">
        <v>0</v>
      </c>
      <c r="K933">
        <v>58053</v>
      </c>
      <c r="L933">
        <v>290265</v>
      </c>
      <c r="M933">
        <v>1500</v>
      </c>
      <c r="N933" t="s">
        <v>1159</v>
      </c>
      <c r="O933" t="s">
        <v>1163</v>
      </c>
      <c r="Q933" t="str">
        <f t="shared" si="42"/>
        <v>no comment</v>
      </c>
      <c r="R933">
        <f t="shared" si="43"/>
        <v>1</v>
      </c>
      <c r="S933" s="6">
        <f t="shared" si="44"/>
        <v>0</v>
      </c>
    </row>
    <row r="934" spans="1:19" x14ac:dyDescent="0.3">
      <c r="A934" s="10">
        <v>45836</v>
      </c>
      <c r="B934" t="s">
        <v>942</v>
      </c>
      <c r="C934" t="s">
        <v>1121</v>
      </c>
      <c r="D934" t="s">
        <v>1136</v>
      </c>
      <c r="E934" t="s">
        <v>1148</v>
      </c>
      <c r="F934" t="s">
        <v>1149</v>
      </c>
      <c r="G934" t="s">
        <v>1152</v>
      </c>
      <c r="H934">
        <v>3</v>
      </c>
      <c r="I934">
        <v>58053</v>
      </c>
      <c r="J934" s="6">
        <v>0</v>
      </c>
      <c r="K934">
        <v>58053</v>
      </c>
      <c r="L934">
        <v>174159</v>
      </c>
      <c r="M934">
        <v>2000</v>
      </c>
      <c r="N934" t="s">
        <v>1159</v>
      </c>
      <c r="O934" t="s">
        <v>1164</v>
      </c>
      <c r="P934" s="10">
        <v>45847</v>
      </c>
      <c r="Q934" t="str">
        <f t="shared" si="42"/>
        <v>excellent</v>
      </c>
      <c r="R934">
        <f t="shared" si="43"/>
        <v>3</v>
      </c>
      <c r="S934" s="6">
        <f t="shared" si="44"/>
        <v>11</v>
      </c>
    </row>
    <row r="935" spans="1:19" x14ac:dyDescent="0.3">
      <c r="A935" s="10">
        <v>45667</v>
      </c>
      <c r="B935" t="s">
        <v>943</v>
      </c>
      <c r="C935" t="s">
        <v>1124</v>
      </c>
      <c r="D935" t="s">
        <v>1135</v>
      </c>
      <c r="E935" t="s">
        <v>1148</v>
      </c>
      <c r="F935" t="s">
        <v>1149</v>
      </c>
      <c r="G935" t="s">
        <v>1152</v>
      </c>
      <c r="H935">
        <v>1</v>
      </c>
      <c r="I935">
        <v>1670</v>
      </c>
      <c r="J935" s="6">
        <v>20</v>
      </c>
      <c r="K935">
        <v>1336</v>
      </c>
      <c r="L935">
        <v>1336</v>
      </c>
      <c r="M935">
        <v>1500</v>
      </c>
      <c r="N935" t="s">
        <v>1160</v>
      </c>
      <c r="O935" t="s">
        <v>1163</v>
      </c>
      <c r="Q935" t="str">
        <f t="shared" si="42"/>
        <v>no comment</v>
      </c>
      <c r="R935">
        <f t="shared" si="43"/>
        <v>1</v>
      </c>
      <c r="S935" s="6">
        <f t="shared" si="44"/>
        <v>0</v>
      </c>
    </row>
    <row r="936" spans="1:19" x14ac:dyDescent="0.3">
      <c r="A936" s="10">
        <v>45764</v>
      </c>
      <c r="B936" t="s">
        <v>944</v>
      </c>
      <c r="C936" t="s">
        <v>1122</v>
      </c>
      <c r="D936" t="s">
        <v>1136</v>
      </c>
      <c r="E936" t="s">
        <v>1145</v>
      </c>
      <c r="F936" t="s">
        <v>1149</v>
      </c>
      <c r="G936" t="s">
        <v>1153</v>
      </c>
      <c r="H936">
        <v>2</v>
      </c>
      <c r="I936">
        <v>23128</v>
      </c>
      <c r="J936" s="6">
        <v>15</v>
      </c>
      <c r="K936">
        <v>19658.8</v>
      </c>
      <c r="L936">
        <v>39317.599999999999</v>
      </c>
      <c r="M936">
        <v>2000</v>
      </c>
      <c r="N936" t="s">
        <v>1159</v>
      </c>
      <c r="O936" t="s">
        <v>1162</v>
      </c>
      <c r="Q936" t="str">
        <f t="shared" si="42"/>
        <v>okay</v>
      </c>
      <c r="R936">
        <f t="shared" si="43"/>
        <v>2</v>
      </c>
      <c r="S936" s="6">
        <f t="shared" si="44"/>
        <v>0</v>
      </c>
    </row>
    <row r="937" spans="1:19" x14ac:dyDescent="0.3">
      <c r="A937" s="10">
        <v>45743</v>
      </c>
      <c r="B937" t="s">
        <v>945</v>
      </c>
      <c r="C937" t="s">
        <v>1129</v>
      </c>
      <c r="D937" t="s">
        <v>1133</v>
      </c>
      <c r="E937" t="s">
        <v>1144</v>
      </c>
      <c r="F937" t="s">
        <v>1151</v>
      </c>
      <c r="G937" t="s">
        <v>1157</v>
      </c>
      <c r="H937">
        <v>1</v>
      </c>
      <c r="I937">
        <v>74174</v>
      </c>
      <c r="J937" s="6">
        <v>10</v>
      </c>
      <c r="K937">
        <v>66756.600000000006</v>
      </c>
      <c r="L937">
        <v>66756.600000000006</v>
      </c>
      <c r="M937">
        <v>1500</v>
      </c>
      <c r="N937" t="s">
        <v>1160</v>
      </c>
      <c r="O937" t="s">
        <v>1162</v>
      </c>
      <c r="Q937" t="str">
        <f t="shared" si="42"/>
        <v>okay</v>
      </c>
      <c r="R937">
        <f t="shared" si="43"/>
        <v>2</v>
      </c>
      <c r="S937" s="6">
        <f t="shared" si="44"/>
        <v>0</v>
      </c>
    </row>
    <row r="938" spans="1:19" x14ac:dyDescent="0.3">
      <c r="A938" s="10">
        <v>45678</v>
      </c>
      <c r="B938" t="s">
        <v>946</v>
      </c>
      <c r="C938" t="s">
        <v>1125</v>
      </c>
      <c r="D938" t="s">
        <v>1133</v>
      </c>
      <c r="E938" t="s">
        <v>1139</v>
      </c>
      <c r="F938" t="s">
        <v>1150</v>
      </c>
      <c r="G938" t="s">
        <v>1154</v>
      </c>
      <c r="H938">
        <v>2</v>
      </c>
      <c r="I938">
        <v>38000</v>
      </c>
      <c r="J938" s="6">
        <v>20</v>
      </c>
      <c r="K938">
        <v>30400</v>
      </c>
      <c r="L938">
        <v>60800</v>
      </c>
      <c r="M938">
        <v>1000</v>
      </c>
      <c r="N938" t="s">
        <v>1161</v>
      </c>
      <c r="O938" t="s">
        <v>1163</v>
      </c>
      <c r="Q938" t="str">
        <f t="shared" si="42"/>
        <v>no comment</v>
      </c>
      <c r="R938">
        <f t="shared" si="43"/>
        <v>1</v>
      </c>
      <c r="S938" s="6">
        <f t="shared" si="44"/>
        <v>0</v>
      </c>
    </row>
    <row r="939" spans="1:19" x14ac:dyDescent="0.3">
      <c r="A939" s="10">
        <v>45792</v>
      </c>
      <c r="B939" t="s">
        <v>947</v>
      </c>
      <c r="C939" t="s">
        <v>1125</v>
      </c>
      <c r="D939" t="s">
        <v>1133</v>
      </c>
      <c r="E939" t="s">
        <v>1142</v>
      </c>
      <c r="F939" t="s">
        <v>1150</v>
      </c>
      <c r="G939" t="s">
        <v>1156</v>
      </c>
      <c r="H939">
        <v>1</v>
      </c>
      <c r="I939">
        <v>53554</v>
      </c>
      <c r="J939" s="6">
        <v>15</v>
      </c>
      <c r="K939">
        <v>45520.9</v>
      </c>
      <c r="L939">
        <v>45520.9</v>
      </c>
      <c r="M939">
        <v>2000</v>
      </c>
      <c r="N939" t="s">
        <v>1159</v>
      </c>
      <c r="O939" t="s">
        <v>1164</v>
      </c>
      <c r="P939" s="10">
        <v>45799</v>
      </c>
      <c r="Q939" t="str">
        <f t="shared" si="42"/>
        <v>excellent</v>
      </c>
      <c r="R939">
        <f t="shared" si="43"/>
        <v>3</v>
      </c>
      <c r="S939" s="6">
        <f t="shared" si="44"/>
        <v>7</v>
      </c>
    </row>
    <row r="940" spans="1:19" x14ac:dyDescent="0.3">
      <c r="A940" s="10">
        <v>45707</v>
      </c>
      <c r="B940" t="s">
        <v>948</v>
      </c>
      <c r="C940" t="s">
        <v>1129</v>
      </c>
      <c r="D940" t="s">
        <v>1133</v>
      </c>
      <c r="E940" t="s">
        <v>1147</v>
      </c>
      <c r="F940" t="s">
        <v>1150</v>
      </c>
      <c r="G940" t="s">
        <v>1156</v>
      </c>
      <c r="H940">
        <v>1</v>
      </c>
      <c r="I940">
        <v>73865</v>
      </c>
      <c r="J940" s="6">
        <v>0</v>
      </c>
      <c r="K940">
        <v>73865</v>
      </c>
      <c r="L940">
        <v>73865</v>
      </c>
      <c r="M940">
        <v>1000</v>
      </c>
      <c r="N940" t="s">
        <v>1160</v>
      </c>
      <c r="O940" t="s">
        <v>1163</v>
      </c>
      <c r="Q940" t="str">
        <f t="shared" si="42"/>
        <v>no comment</v>
      </c>
      <c r="R940">
        <f t="shared" si="43"/>
        <v>1</v>
      </c>
      <c r="S940" s="6">
        <f t="shared" si="44"/>
        <v>0</v>
      </c>
    </row>
    <row r="941" spans="1:19" x14ac:dyDescent="0.3">
      <c r="A941" s="10">
        <v>45767</v>
      </c>
      <c r="B941" t="s">
        <v>949</v>
      </c>
      <c r="C941" t="s">
        <v>1131</v>
      </c>
      <c r="D941" t="s">
        <v>1136</v>
      </c>
      <c r="E941" t="s">
        <v>1144</v>
      </c>
      <c r="F941" t="s">
        <v>1151</v>
      </c>
      <c r="G941" t="s">
        <v>1157</v>
      </c>
      <c r="H941">
        <v>3</v>
      </c>
      <c r="I941">
        <v>76760</v>
      </c>
      <c r="J941" s="6">
        <v>10</v>
      </c>
      <c r="K941">
        <v>69084</v>
      </c>
      <c r="L941">
        <v>207252</v>
      </c>
      <c r="M941">
        <v>1000</v>
      </c>
      <c r="N941" t="s">
        <v>1159</v>
      </c>
      <c r="O941" t="s">
        <v>1162</v>
      </c>
      <c r="Q941" t="str">
        <f t="shared" si="42"/>
        <v>okay</v>
      </c>
      <c r="R941">
        <f t="shared" si="43"/>
        <v>2</v>
      </c>
      <c r="S941" s="6">
        <f t="shared" si="44"/>
        <v>0</v>
      </c>
    </row>
    <row r="942" spans="1:19" x14ac:dyDescent="0.3">
      <c r="A942" s="10">
        <v>45680</v>
      </c>
      <c r="B942" t="s">
        <v>950</v>
      </c>
      <c r="C942" t="s">
        <v>1128</v>
      </c>
      <c r="D942" t="s">
        <v>1135</v>
      </c>
      <c r="E942" t="s">
        <v>1139</v>
      </c>
      <c r="F942" t="s">
        <v>1150</v>
      </c>
      <c r="G942" t="s">
        <v>1154</v>
      </c>
      <c r="H942">
        <v>5</v>
      </c>
      <c r="I942">
        <v>75312</v>
      </c>
      <c r="J942" s="6">
        <v>15</v>
      </c>
      <c r="K942">
        <v>64015.199999999997</v>
      </c>
      <c r="L942">
        <v>320076</v>
      </c>
      <c r="M942">
        <v>2000</v>
      </c>
      <c r="N942" t="s">
        <v>1161</v>
      </c>
      <c r="O942" t="s">
        <v>1162</v>
      </c>
      <c r="Q942" t="str">
        <f t="shared" si="42"/>
        <v>okay</v>
      </c>
      <c r="R942">
        <f t="shared" si="43"/>
        <v>2</v>
      </c>
      <c r="S942" s="6">
        <f t="shared" si="44"/>
        <v>0</v>
      </c>
    </row>
    <row r="943" spans="1:19" x14ac:dyDescent="0.3">
      <c r="A943" s="10">
        <v>45810</v>
      </c>
      <c r="B943" t="s">
        <v>951</v>
      </c>
      <c r="C943" t="s">
        <v>1121</v>
      </c>
      <c r="D943" t="s">
        <v>1136</v>
      </c>
      <c r="E943" t="s">
        <v>1138</v>
      </c>
      <c r="F943" t="s">
        <v>1149</v>
      </c>
      <c r="G943" t="s">
        <v>1153</v>
      </c>
      <c r="H943">
        <v>3</v>
      </c>
      <c r="I943">
        <v>9954</v>
      </c>
      <c r="J943" s="6">
        <v>5</v>
      </c>
      <c r="K943">
        <v>9456.2999999999993</v>
      </c>
      <c r="L943">
        <v>28368.9</v>
      </c>
      <c r="M943">
        <v>2000</v>
      </c>
      <c r="N943" t="s">
        <v>1161</v>
      </c>
      <c r="O943" t="s">
        <v>1162</v>
      </c>
      <c r="Q943" t="str">
        <f t="shared" si="42"/>
        <v>okay</v>
      </c>
      <c r="R943">
        <f t="shared" si="43"/>
        <v>2</v>
      </c>
      <c r="S943" s="6">
        <f t="shared" si="44"/>
        <v>0</v>
      </c>
    </row>
    <row r="944" spans="1:19" x14ac:dyDescent="0.3">
      <c r="A944" s="10">
        <v>45721</v>
      </c>
      <c r="B944" t="s">
        <v>952</v>
      </c>
      <c r="C944" t="s">
        <v>1119</v>
      </c>
      <c r="D944" t="s">
        <v>1134</v>
      </c>
      <c r="E944" t="s">
        <v>1148</v>
      </c>
      <c r="F944" t="s">
        <v>1149</v>
      </c>
      <c r="G944" t="s">
        <v>1152</v>
      </c>
      <c r="H944">
        <v>5</v>
      </c>
      <c r="I944">
        <v>1595</v>
      </c>
      <c r="J944" s="6">
        <v>20</v>
      </c>
      <c r="K944">
        <v>1276</v>
      </c>
      <c r="L944">
        <v>6380</v>
      </c>
      <c r="M944">
        <v>2000</v>
      </c>
      <c r="N944" t="s">
        <v>1160</v>
      </c>
      <c r="O944" t="s">
        <v>1163</v>
      </c>
      <c r="Q944" t="str">
        <f t="shared" si="42"/>
        <v>no comment</v>
      </c>
      <c r="R944">
        <f t="shared" si="43"/>
        <v>1</v>
      </c>
      <c r="S944" s="6">
        <f t="shared" si="44"/>
        <v>0</v>
      </c>
    </row>
    <row r="945" spans="1:19" x14ac:dyDescent="0.3">
      <c r="A945" s="10">
        <v>45785</v>
      </c>
      <c r="B945" t="s">
        <v>953</v>
      </c>
      <c r="C945" t="s">
        <v>1125</v>
      </c>
      <c r="D945" t="s">
        <v>1133</v>
      </c>
      <c r="E945" t="s">
        <v>1142</v>
      </c>
      <c r="F945" t="s">
        <v>1150</v>
      </c>
      <c r="G945" t="s">
        <v>1156</v>
      </c>
      <c r="H945">
        <v>4</v>
      </c>
      <c r="I945">
        <v>52236</v>
      </c>
      <c r="J945" s="6">
        <v>0</v>
      </c>
      <c r="K945">
        <v>52236</v>
      </c>
      <c r="L945">
        <v>208944</v>
      </c>
      <c r="M945">
        <v>1000</v>
      </c>
      <c r="N945" t="s">
        <v>1161</v>
      </c>
      <c r="O945" t="s">
        <v>1164</v>
      </c>
      <c r="P945" s="10">
        <v>45791</v>
      </c>
      <c r="Q945" t="str">
        <f t="shared" si="42"/>
        <v>excellent</v>
      </c>
      <c r="R945">
        <f t="shared" si="43"/>
        <v>3</v>
      </c>
      <c r="S945" s="6">
        <f t="shared" si="44"/>
        <v>6</v>
      </c>
    </row>
    <row r="946" spans="1:19" x14ac:dyDescent="0.3">
      <c r="A946" s="10">
        <v>45803</v>
      </c>
      <c r="B946" t="s">
        <v>954</v>
      </c>
      <c r="C946" t="s">
        <v>1122</v>
      </c>
      <c r="D946" t="s">
        <v>1136</v>
      </c>
      <c r="E946" t="s">
        <v>1137</v>
      </c>
      <c r="F946" t="s">
        <v>1149</v>
      </c>
      <c r="G946" t="s">
        <v>1152</v>
      </c>
      <c r="H946">
        <v>2</v>
      </c>
      <c r="I946">
        <v>10321</v>
      </c>
      <c r="J946" s="6">
        <v>20</v>
      </c>
      <c r="K946">
        <v>8256.7999999999993</v>
      </c>
      <c r="L946">
        <v>16513.599999999999</v>
      </c>
      <c r="M946">
        <v>1000</v>
      </c>
      <c r="N946" t="s">
        <v>1159</v>
      </c>
      <c r="O946" t="s">
        <v>1163</v>
      </c>
      <c r="Q946" t="str">
        <f t="shared" si="42"/>
        <v>no comment</v>
      </c>
      <c r="R946">
        <f t="shared" si="43"/>
        <v>1</v>
      </c>
      <c r="S946" s="6">
        <f t="shared" si="44"/>
        <v>0</v>
      </c>
    </row>
    <row r="947" spans="1:19" x14ac:dyDescent="0.3">
      <c r="A947" s="10">
        <v>45782</v>
      </c>
      <c r="B947" t="s">
        <v>955</v>
      </c>
      <c r="C947" t="s">
        <v>1126</v>
      </c>
      <c r="D947" t="s">
        <v>1133</v>
      </c>
      <c r="E947" t="s">
        <v>1148</v>
      </c>
      <c r="F947" t="s">
        <v>1149</v>
      </c>
      <c r="G947" t="s">
        <v>1152</v>
      </c>
      <c r="H947">
        <v>4</v>
      </c>
      <c r="I947">
        <v>40055</v>
      </c>
      <c r="J947" s="6">
        <v>5</v>
      </c>
      <c r="K947">
        <v>38052.25</v>
      </c>
      <c r="L947">
        <v>152209</v>
      </c>
      <c r="M947">
        <v>1500</v>
      </c>
      <c r="N947" t="s">
        <v>1160</v>
      </c>
      <c r="O947" t="s">
        <v>1164</v>
      </c>
      <c r="P947" s="10">
        <v>45792</v>
      </c>
      <c r="Q947" t="str">
        <f t="shared" si="42"/>
        <v>excellent</v>
      </c>
      <c r="R947">
        <f t="shared" si="43"/>
        <v>3</v>
      </c>
      <c r="S947" s="6">
        <f t="shared" si="44"/>
        <v>10</v>
      </c>
    </row>
    <row r="948" spans="1:19" x14ac:dyDescent="0.3">
      <c r="A948" s="10">
        <v>45670</v>
      </c>
      <c r="B948" t="s">
        <v>956</v>
      </c>
      <c r="C948" t="s">
        <v>1128</v>
      </c>
      <c r="D948" t="s">
        <v>1135</v>
      </c>
      <c r="E948" t="s">
        <v>1146</v>
      </c>
      <c r="F948" t="s">
        <v>1151</v>
      </c>
      <c r="G948" t="s">
        <v>1155</v>
      </c>
      <c r="H948">
        <v>1</v>
      </c>
      <c r="I948">
        <v>28717</v>
      </c>
      <c r="J948" s="6">
        <v>15</v>
      </c>
      <c r="K948">
        <v>24409.45</v>
      </c>
      <c r="L948">
        <v>24409.45</v>
      </c>
      <c r="M948">
        <v>1500</v>
      </c>
      <c r="N948" t="s">
        <v>1159</v>
      </c>
      <c r="O948" t="s">
        <v>1163</v>
      </c>
      <c r="Q948" t="str">
        <f t="shared" si="42"/>
        <v>no comment</v>
      </c>
      <c r="R948">
        <f t="shared" si="43"/>
        <v>1</v>
      </c>
      <c r="S948" s="6">
        <f t="shared" si="44"/>
        <v>0</v>
      </c>
    </row>
    <row r="949" spans="1:19" x14ac:dyDescent="0.3">
      <c r="A949" s="10">
        <v>45688</v>
      </c>
      <c r="B949" t="s">
        <v>957</v>
      </c>
      <c r="C949" t="s">
        <v>1120</v>
      </c>
      <c r="D949" t="s">
        <v>1135</v>
      </c>
      <c r="E949" t="s">
        <v>1145</v>
      </c>
      <c r="F949" t="s">
        <v>1149</v>
      </c>
      <c r="G949" t="s">
        <v>1153</v>
      </c>
      <c r="H949">
        <v>4</v>
      </c>
      <c r="I949">
        <v>24190</v>
      </c>
      <c r="J949" s="6">
        <v>20</v>
      </c>
      <c r="K949">
        <v>19352</v>
      </c>
      <c r="L949">
        <v>77408</v>
      </c>
      <c r="M949">
        <v>1500</v>
      </c>
      <c r="N949" t="s">
        <v>1160</v>
      </c>
      <c r="O949" t="s">
        <v>1162</v>
      </c>
      <c r="Q949" t="str">
        <f t="shared" si="42"/>
        <v>okay</v>
      </c>
      <c r="R949">
        <f t="shared" si="43"/>
        <v>2</v>
      </c>
      <c r="S949" s="6">
        <f t="shared" si="44"/>
        <v>0</v>
      </c>
    </row>
    <row r="950" spans="1:19" x14ac:dyDescent="0.3">
      <c r="A950" s="10">
        <v>45763</v>
      </c>
      <c r="B950" t="s">
        <v>958</v>
      </c>
      <c r="C950" t="s">
        <v>1128</v>
      </c>
      <c r="D950" t="s">
        <v>1135</v>
      </c>
      <c r="E950" t="s">
        <v>1144</v>
      </c>
      <c r="F950" t="s">
        <v>1151</v>
      </c>
      <c r="G950" t="s">
        <v>1157</v>
      </c>
      <c r="H950">
        <v>2</v>
      </c>
      <c r="I950">
        <v>63324</v>
      </c>
      <c r="J950" s="6">
        <v>10</v>
      </c>
      <c r="K950">
        <v>56991.6</v>
      </c>
      <c r="L950">
        <v>113983.2</v>
      </c>
      <c r="M950">
        <v>1000</v>
      </c>
      <c r="N950" t="s">
        <v>1160</v>
      </c>
      <c r="O950" t="s">
        <v>1162</v>
      </c>
      <c r="Q950" t="str">
        <f t="shared" si="42"/>
        <v>okay</v>
      </c>
      <c r="R950">
        <f t="shared" si="43"/>
        <v>2</v>
      </c>
      <c r="S950" s="6">
        <f t="shared" si="44"/>
        <v>0</v>
      </c>
    </row>
    <row r="951" spans="1:19" x14ac:dyDescent="0.3">
      <c r="A951" s="10">
        <v>45687</v>
      </c>
      <c r="B951" t="s">
        <v>959</v>
      </c>
      <c r="C951" t="s">
        <v>1132</v>
      </c>
      <c r="D951" t="s">
        <v>1134</v>
      </c>
      <c r="E951" t="s">
        <v>1144</v>
      </c>
      <c r="F951" t="s">
        <v>1151</v>
      </c>
      <c r="G951" t="s">
        <v>1157</v>
      </c>
      <c r="H951">
        <v>2</v>
      </c>
      <c r="I951">
        <v>45297</v>
      </c>
      <c r="J951" s="6">
        <v>20</v>
      </c>
      <c r="K951">
        <v>36237.599999999999</v>
      </c>
      <c r="L951">
        <v>72475.199999999997</v>
      </c>
      <c r="M951">
        <v>1500</v>
      </c>
      <c r="N951" t="s">
        <v>1160</v>
      </c>
      <c r="O951" t="s">
        <v>1163</v>
      </c>
      <c r="Q951" t="str">
        <f t="shared" si="42"/>
        <v>no comment</v>
      </c>
      <c r="R951">
        <f t="shared" si="43"/>
        <v>1</v>
      </c>
      <c r="S951" s="6">
        <f t="shared" si="44"/>
        <v>0</v>
      </c>
    </row>
    <row r="952" spans="1:19" x14ac:dyDescent="0.3">
      <c r="A952" s="10">
        <v>45773</v>
      </c>
      <c r="B952" t="s">
        <v>960</v>
      </c>
      <c r="C952" t="s">
        <v>1131</v>
      </c>
      <c r="D952" t="s">
        <v>1136</v>
      </c>
      <c r="E952" t="s">
        <v>1138</v>
      </c>
      <c r="F952" t="s">
        <v>1149</v>
      </c>
      <c r="G952" t="s">
        <v>1153</v>
      </c>
      <c r="H952">
        <v>1</v>
      </c>
      <c r="I952">
        <v>43225</v>
      </c>
      <c r="J952" s="6">
        <v>0</v>
      </c>
      <c r="K952">
        <v>43225</v>
      </c>
      <c r="L952">
        <v>43225</v>
      </c>
      <c r="M952">
        <v>1500</v>
      </c>
      <c r="N952" t="s">
        <v>1160</v>
      </c>
      <c r="O952" t="s">
        <v>1164</v>
      </c>
      <c r="P952" s="10">
        <v>45776</v>
      </c>
      <c r="Q952" t="str">
        <f t="shared" si="42"/>
        <v>excellent</v>
      </c>
      <c r="R952">
        <f t="shared" si="43"/>
        <v>3</v>
      </c>
      <c r="S952" s="6">
        <f t="shared" si="44"/>
        <v>3</v>
      </c>
    </row>
    <row r="953" spans="1:19" x14ac:dyDescent="0.3">
      <c r="A953" s="10">
        <v>45723</v>
      </c>
      <c r="B953" t="s">
        <v>961</v>
      </c>
      <c r="C953" t="s">
        <v>1123</v>
      </c>
      <c r="D953" t="s">
        <v>1135</v>
      </c>
      <c r="E953" t="s">
        <v>1143</v>
      </c>
      <c r="F953" t="s">
        <v>1151</v>
      </c>
      <c r="G953" t="s">
        <v>1157</v>
      </c>
      <c r="H953">
        <v>1</v>
      </c>
      <c r="I953">
        <v>18806</v>
      </c>
      <c r="J953" s="6">
        <v>0</v>
      </c>
      <c r="K953">
        <v>18806</v>
      </c>
      <c r="L953">
        <v>18806</v>
      </c>
      <c r="M953">
        <v>1000</v>
      </c>
      <c r="N953" t="s">
        <v>1159</v>
      </c>
      <c r="O953" t="s">
        <v>1163</v>
      </c>
      <c r="Q953" t="str">
        <f t="shared" si="42"/>
        <v>no comment</v>
      </c>
      <c r="R953">
        <f t="shared" si="43"/>
        <v>1</v>
      </c>
      <c r="S953" s="6">
        <f t="shared" si="44"/>
        <v>0</v>
      </c>
    </row>
    <row r="954" spans="1:19" x14ac:dyDescent="0.3">
      <c r="A954" s="10">
        <v>45782</v>
      </c>
      <c r="B954" t="s">
        <v>962</v>
      </c>
      <c r="C954" t="s">
        <v>1131</v>
      </c>
      <c r="D954" t="s">
        <v>1136</v>
      </c>
      <c r="E954" t="s">
        <v>1147</v>
      </c>
      <c r="F954" t="s">
        <v>1150</v>
      </c>
      <c r="G954" t="s">
        <v>1156</v>
      </c>
      <c r="H954">
        <v>5</v>
      </c>
      <c r="I954">
        <v>34727</v>
      </c>
      <c r="J954" s="6">
        <v>5</v>
      </c>
      <c r="K954">
        <v>32990.65</v>
      </c>
      <c r="L954">
        <v>164953.25</v>
      </c>
      <c r="M954">
        <v>1000</v>
      </c>
      <c r="N954" t="s">
        <v>1161</v>
      </c>
      <c r="O954" t="s">
        <v>1163</v>
      </c>
      <c r="Q954" t="str">
        <f t="shared" si="42"/>
        <v>no comment</v>
      </c>
      <c r="R954">
        <f t="shared" si="43"/>
        <v>1</v>
      </c>
      <c r="S954" s="6">
        <f t="shared" si="44"/>
        <v>0</v>
      </c>
    </row>
    <row r="955" spans="1:19" x14ac:dyDescent="0.3">
      <c r="A955" s="10">
        <v>45766</v>
      </c>
      <c r="B955" t="s">
        <v>963</v>
      </c>
      <c r="C955" t="s">
        <v>1117</v>
      </c>
      <c r="D955" t="s">
        <v>1133</v>
      </c>
      <c r="E955" t="s">
        <v>1140</v>
      </c>
      <c r="F955" t="s">
        <v>1150</v>
      </c>
      <c r="G955" t="s">
        <v>1154</v>
      </c>
      <c r="H955">
        <v>3</v>
      </c>
      <c r="I955">
        <v>21765</v>
      </c>
      <c r="J955" s="6">
        <v>20</v>
      </c>
      <c r="K955">
        <v>17412</v>
      </c>
      <c r="L955">
        <v>52236</v>
      </c>
      <c r="M955">
        <v>2000</v>
      </c>
      <c r="N955" t="s">
        <v>1159</v>
      </c>
      <c r="O955" t="s">
        <v>1163</v>
      </c>
      <c r="Q955" t="str">
        <f t="shared" si="42"/>
        <v>no comment</v>
      </c>
      <c r="R955">
        <f t="shared" si="43"/>
        <v>1</v>
      </c>
      <c r="S955" s="6">
        <f t="shared" si="44"/>
        <v>0</v>
      </c>
    </row>
    <row r="956" spans="1:19" x14ac:dyDescent="0.3">
      <c r="A956" s="10">
        <v>45705</v>
      </c>
      <c r="B956" t="s">
        <v>964</v>
      </c>
      <c r="C956" t="s">
        <v>1129</v>
      </c>
      <c r="D956" t="s">
        <v>1133</v>
      </c>
      <c r="E956" t="s">
        <v>1139</v>
      </c>
      <c r="F956" t="s">
        <v>1150</v>
      </c>
      <c r="G956" t="s">
        <v>1154</v>
      </c>
      <c r="H956">
        <v>1</v>
      </c>
      <c r="I956">
        <v>22352</v>
      </c>
      <c r="J956" s="6">
        <v>10</v>
      </c>
      <c r="K956">
        <v>20116.8</v>
      </c>
      <c r="L956">
        <v>20116.8</v>
      </c>
      <c r="M956">
        <v>1500</v>
      </c>
      <c r="N956" t="s">
        <v>1161</v>
      </c>
      <c r="O956" t="s">
        <v>1162</v>
      </c>
      <c r="Q956" t="str">
        <f t="shared" si="42"/>
        <v>okay</v>
      </c>
      <c r="R956">
        <f t="shared" si="43"/>
        <v>2</v>
      </c>
      <c r="S956" s="6">
        <f t="shared" si="44"/>
        <v>0</v>
      </c>
    </row>
    <row r="957" spans="1:19" x14ac:dyDescent="0.3">
      <c r="A957" s="10">
        <v>45692</v>
      </c>
      <c r="B957" t="s">
        <v>965</v>
      </c>
      <c r="C957" t="s">
        <v>1129</v>
      </c>
      <c r="D957" t="s">
        <v>1133</v>
      </c>
      <c r="E957" t="s">
        <v>1137</v>
      </c>
      <c r="F957" t="s">
        <v>1149</v>
      </c>
      <c r="G957" t="s">
        <v>1152</v>
      </c>
      <c r="H957">
        <v>3</v>
      </c>
      <c r="I957">
        <v>66090</v>
      </c>
      <c r="J957" s="6">
        <v>10</v>
      </c>
      <c r="K957">
        <v>59481</v>
      </c>
      <c r="L957">
        <v>178443</v>
      </c>
      <c r="M957">
        <v>1000</v>
      </c>
      <c r="N957" t="s">
        <v>1161</v>
      </c>
      <c r="O957" t="s">
        <v>1164</v>
      </c>
      <c r="P957" s="10">
        <v>45703</v>
      </c>
      <c r="Q957" t="str">
        <f t="shared" si="42"/>
        <v>excellent</v>
      </c>
      <c r="R957">
        <f t="shared" si="43"/>
        <v>3</v>
      </c>
      <c r="S957" s="6">
        <f t="shared" si="44"/>
        <v>11</v>
      </c>
    </row>
    <row r="958" spans="1:19" x14ac:dyDescent="0.3">
      <c r="A958" s="10">
        <v>45689</v>
      </c>
      <c r="B958" t="s">
        <v>966</v>
      </c>
      <c r="C958" t="s">
        <v>1130</v>
      </c>
      <c r="D958" t="s">
        <v>1136</v>
      </c>
      <c r="E958" t="s">
        <v>1147</v>
      </c>
      <c r="F958" t="s">
        <v>1150</v>
      </c>
      <c r="G958" t="s">
        <v>1156</v>
      </c>
      <c r="H958">
        <v>4</v>
      </c>
      <c r="I958">
        <v>38316</v>
      </c>
      <c r="J958" s="6">
        <v>10</v>
      </c>
      <c r="K958">
        <v>34484.400000000001</v>
      </c>
      <c r="L958">
        <v>137937.60000000001</v>
      </c>
      <c r="M958">
        <v>2000</v>
      </c>
      <c r="N958" t="s">
        <v>1160</v>
      </c>
      <c r="O958" t="s">
        <v>1164</v>
      </c>
      <c r="P958" s="10">
        <v>45696</v>
      </c>
      <c r="Q958" t="str">
        <f t="shared" si="42"/>
        <v>excellent</v>
      </c>
      <c r="R958">
        <f t="shared" si="43"/>
        <v>3</v>
      </c>
      <c r="S958" s="6">
        <f t="shared" si="44"/>
        <v>7</v>
      </c>
    </row>
    <row r="959" spans="1:19" x14ac:dyDescent="0.3">
      <c r="A959" s="10">
        <v>45710</v>
      </c>
      <c r="B959" t="s">
        <v>967</v>
      </c>
      <c r="C959" t="s">
        <v>1121</v>
      </c>
      <c r="D959" t="s">
        <v>1136</v>
      </c>
      <c r="E959" t="s">
        <v>1141</v>
      </c>
      <c r="F959" t="s">
        <v>1151</v>
      </c>
      <c r="G959" t="s">
        <v>1155</v>
      </c>
      <c r="H959">
        <v>2</v>
      </c>
      <c r="I959">
        <v>55245</v>
      </c>
      <c r="J959" s="6">
        <v>10</v>
      </c>
      <c r="K959">
        <v>49720.5</v>
      </c>
      <c r="L959">
        <v>99441</v>
      </c>
      <c r="M959">
        <v>2000</v>
      </c>
      <c r="N959" t="s">
        <v>1159</v>
      </c>
      <c r="O959" t="s">
        <v>1162</v>
      </c>
      <c r="Q959" t="str">
        <f t="shared" si="42"/>
        <v>okay</v>
      </c>
      <c r="R959">
        <f t="shared" si="43"/>
        <v>2</v>
      </c>
      <c r="S959" s="6">
        <f t="shared" si="44"/>
        <v>0</v>
      </c>
    </row>
    <row r="960" spans="1:19" x14ac:dyDescent="0.3">
      <c r="A960" s="10">
        <v>45828</v>
      </c>
      <c r="B960" t="s">
        <v>968</v>
      </c>
      <c r="C960" t="s">
        <v>1132</v>
      </c>
      <c r="D960" t="s">
        <v>1134</v>
      </c>
      <c r="E960" t="s">
        <v>1139</v>
      </c>
      <c r="F960" t="s">
        <v>1150</v>
      </c>
      <c r="G960" t="s">
        <v>1154</v>
      </c>
      <c r="H960">
        <v>3</v>
      </c>
      <c r="I960">
        <v>9940</v>
      </c>
      <c r="J960" s="6">
        <v>0</v>
      </c>
      <c r="K960">
        <v>9940</v>
      </c>
      <c r="L960">
        <v>29820</v>
      </c>
      <c r="M960">
        <v>1000</v>
      </c>
      <c r="N960" t="s">
        <v>1160</v>
      </c>
      <c r="O960" t="s">
        <v>1162</v>
      </c>
      <c r="Q960" t="str">
        <f t="shared" si="42"/>
        <v>okay</v>
      </c>
      <c r="R960">
        <f t="shared" si="43"/>
        <v>2</v>
      </c>
      <c r="S960" s="6">
        <f t="shared" si="44"/>
        <v>0</v>
      </c>
    </row>
    <row r="961" spans="1:19" x14ac:dyDescent="0.3">
      <c r="A961" s="10">
        <v>45757</v>
      </c>
      <c r="B961" t="s">
        <v>969</v>
      </c>
      <c r="C961" t="s">
        <v>1120</v>
      </c>
      <c r="D961" t="s">
        <v>1135</v>
      </c>
      <c r="E961" t="s">
        <v>1138</v>
      </c>
      <c r="F961" t="s">
        <v>1149</v>
      </c>
      <c r="G961" t="s">
        <v>1153</v>
      </c>
      <c r="H961">
        <v>4</v>
      </c>
      <c r="I961">
        <v>28583</v>
      </c>
      <c r="J961" s="6">
        <v>10</v>
      </c>
      <c r="K961">
        <v>22866.400000000001</v>
      </c>
      <c r="L961">
        <v>91465.600000000006</v>
      </c>
      <c r="M961">
        <v>2000</v>
      </c>
      <c r="N961" t="s">
        <v>1161</v>
      </c>
      <c r="O961" t="s">
        <v>1162</v>
      </c>
      <c r="Q961" t="str">
        <f t="shared" si="42"/>
        <v>okay</v>
      </c>
      <c r="R961">
        <f t="shared" si="43"/>
        <v>2</v>
      </c>
      <c r="S961" s="6">
        <f t="shared" si="44"/>
        <v>0</v>
      </c>
    </row>
    <row r="962" spans="1:19" x14ac:dyDescent="0.3">
      <c r="A962" s="10">
        <v>45831</v>
      </c>
      <c r="B962" t="s">
        <v>970</v>
      </c>
      <c r="C962" t="s">
        <v>1122</v>
      </c>
      <c r="D962" t="s">
        <v>1136</v>
      </c>
      <c r="E962" t="s">
        <v>1139</v>
      </c>
      <c r="F962" t="s">
        <v>1150</v>
      </c>
      <c r="G962" t="s">
        <v>1154</v>
      </c>
      <c r="H962">
        <v>1</v>
      </c>
      <c r="I962">
        <v>24054</v>
      </c>
      <c r="J962" s="6">
        <v>20</v>
      </c>
      <c r="K962">
        <v>19243.2</v>
      </c>
      <c r="L962">
        <v>19243.2</v>
      </c>
      <c r="M962">
        <v>1500</v>
      </c>
      <c r="N962" t="s">
        <v>1161</v>
      </c>
      <c r="O962" t="s">
        <v>1164</v>
      </c>
      <c r="P962" s="10">
        <v>45845</v>
      </c>
      <c r="Q962" t="str">
        <f t="shared" ref="Q962:Q1025" si="45">IF(O962="delivered","excellent",IF(O962="in transit","okay",IF(O962="failed","no comment")))</f>
        <v>excellent</v>
      </c>
      <c r="R962">
        <f t="shared" si="43"/>
        <v>3</v>
      </c>
      <c r="S962" s="6">
        <f t="shared" si="44"/>
        <v>14</v>
      </c>
    </row>
    <row r="963" spans="1:19" x14ac:dyDescent="0.3">
      <c r="A963" s="10">
        <v>45781</v>
      </c>
      <c r="B963" t="s">
        <v>971</v>
      </c>
      <c r="C963" t="s">
        <v>1128</v>
      </c>
      <c r="D963" t="s">
        <v>1135</v>
      </c>
      <c r="E963" t="s">
        <v>1137</v>
      </c>
      <c r="F963" t="s">
        <v>1149</v>
      </c>
      <c r="G963" t="s">
        <v>1152</v>
      </c>
      <c r="H963">
        <v>2</v>
      </c>
      <c r="I963">
        <v>56593</v>
      </c>
      <c r="J963" s="6">
        <v>0</v>
      </c>
      <c r="K963">
        <v>56593</v>
      </c>
      <c r="L963">
        <v>113186</v>
      </c>
      <c r="M963">
        <v>2000</v>
      </c>
      <c r="N963" t="s">
        <v>1160</v>
      </c>
      <c r="O963" t="s">
        <v>1164</v>
      </c>
      <c r="P963" s="10">
        <v>45786</v>
      </c>
      <c r="Q963" t="str">
        <f t="shared" si="45"/>
        <v>excellent</v>
      </c>
      <c r="R963">
        <f t="shared" ref="R963:R1026" si="46">IF(Q963="excellent",3,IF(Q963="no comment",1,IF(Q963="okay",2)))</f>
        <v>3</v>
      </c>
      <c r="S963" s="6">
        <f t="shared" ref="S963:S1026" si="47">(IFERROR(DATEDIF(A963,P963,"d"),0))</f>
        <v>5</v>
      </c>
    </row>
    <row r="964" spans="1:19" x14ac:dyDescent="0.3">
      <c r="A964" s="10">
        <v>45767</v>
      </c>
      <c r="B964" t="s">
        <v>972</v>
      </c>
      <c r="C964" t="s">
        <v>1129</v>
      </c>
      <c r="D964" t="s">
        <v>1133</v>
      </c>
      <c r="E964" t="s">
        <v>1143</v>
      </c>
      <c r="F964" t="s">
        <v>1151</v>
      </c>
      <c r="G964" t="s">
        <v>1157</v>
      </c>
      <c r="H964">
        <v>5</v>
      </c>
      <c r="I964">
        <v>52683</v>
      </c>
      <c r="J964" s="6">
        <v>0</v>
      </c>
      <c r="K964">
        <v>52683</v>
      </c>
      <c r="L964">
        <v>263415</v>
      </c>
      <c r="M964">
        <v>1000</v>
      </c>
      <c r="N964" t="s">
        <v>1161</v>
      </c>
      <c r="O964" t="s">
        <v>1163</v>
      </c>
      <c r="Q964" t="str">
        <f t="shared" si="45"/>
        <v>no comment</v>
      </c>
      <c r="R964">
        <f t="shared" si="46"/>
        <v>1</v>
      </c>
      <c r="S964" s="6">
        <f t="shared" si="47"/>
        <v>0</v>
      </c>
    </row>
    <row r="965" spans="1:19" x14ac:dyDescent="0.3">
      <c r="A965" s="10">
        <v>45724</v>
      </c>
      <c r="B965" t="s">
        <v>973</v>
      </c>
      <c r="C965" t="s">
        <v>1131</v>
      </c>
      <c r="D965" t="s">
        <v>1136</v>
      </c>
      <c r="E965" t="s">
        <v>1147</v>
      </c>
      <c r="F965" t="s">
        <v>1150</v>
      </c>
      <c r="G965" t="s">
        <v>1156</v>
      </c>
      <c r="H965">
        <v>3</v>
      </c>
      <c r="I965">
        <v>39980</v>
      </c>
      <c r="J965" s="6">
        <v>0</v>
      </c>
      <c r="K965">
        <v>39980</v>
      </c>
      <c r="L965">
        <v>119940</v>
      </c>
      <c r="M965">
        <v>1000</v>
      </c>
      <c r="N965" t="s">
        <v>1160</v>
      </c>
      <c r="O965" t="s">
        <v>1163</v>
      </c>
      <c r="Q965" t="str">
        <f t="shared" si="45"/>
        <v>no comment</v>
      </c>
      <c r="R965">
        <f t="shared" si="46"/>
        <v>1</v>
      </c>
      <c r="S965" s="6">
        <f t="shared" si="47"/>
        <v>0</v>
      </c>
    </row>
    <row r="966" spans="1:19" x14ac:dyDescent="0.3">
      <c r="A966" s="10">
        <v>45700</v>
      </c>
      <c r="B966" t="s">
        <v>974</v>
      </c>
      <c r="C966" t="s">
        <v>1130</v>
      </c>
      <c r="D966" t="s">
        <v>1136</v>
      </c>
      <c r="E966" t="s">
        <v>1145</v>
      </c>
      <c r="F966" t="s">
        <v>1149</v>
      </c>
      <c r="G966" t="s">
        <v>1153</v>
      </c>
      <c r="H966">
        <v>1</v>
      </c>
      <c r="I966">
        <v>30665</v>
      </c>
      <c r="J966" s="6">
        <v>10</v>
      </c>
      <c r="K966">
        <v>27598.5</v>
      </c>
      <c r="L966">
        <v>27598.5</v>
      </c>
      <c r="M966">
        <v>1000</v>
      </c>
      <c r="N966" t="s">
        <v>1161</v>
      </c>
      <c r="O966" t="s">
        <v>1162</v>
      </c>
      <c r="Q966" t="str">
        <f t="shared" si="45"/>
        <v>okay</v>
      </c>
      <c r="R966">
        <f t="shared" si="46"/>
        <v>2</v>
      </c>
      <c r="S966" s="6">
        <f t="shared" si="47"/>
        <v>0</v>
      </c>
    </row>
    <row r="967" spans="1:19" x14ac:dyDescent="0.3">
      <c r="A967" s="10">
        <v>45772</v>
      </c>
      <c r="B967" t="s">
        <v>975</v>
      </c>
      <c r="C967" t="s">
        <v>1130</v>
      </c>
      <c r="D967" t="s">
        <v>1136</v>
      </c>
      <c r="E967" t="s">
        <v>1137</v>
      </c>
      <c r="F967" t="s">
        <v>1149</v>
      </c>
      <c r="G967" t="s">
        <v>1152</v>
      </c>
      <c r="H967">
        <v>2</v>
      </c>
      <c r="I967">
        <v>32194</v>
      </c>
      <c r="J967" s="6">
        <v>5</v>
      </c>
      <c r="K967">
        <v>30584.3</v>
      </c>
      <c r="L967">
        <v>61168.6</v>
      </c>
      <c r="M967">
        <v>2000</v>
      </c>
      <c r="N967" t="s">
        <v>1159</v>
      </c>
      <c r="O967" t="s">
        <v>1163</v>
      </c>
      <c r="Q967" t="str">
        <f t="shared" si="45"/>
        <v>no comment</v>
      </c>
      <c r="R967">
        <f t="shared" si="46"/>
        <v>1</v>
      </c>
      <c r="S967" s="6">
        <f t="shared" si="47"/>
        <v>0</v>
      </c>
    </row>
    <row r="968" spans="1:19" x14ac:dyDescent="0.3">
      <c r="A968" s="10">
        <v>45785</v>
      </c>
      <c r="B968" t="s">
        <v>976</v>
      </c>
      <c r="C968" t="s">
        <v>1132</v>
      </c>
      <c r="D968" t="s">
        <v>1134</v>
      </c>
      <c r="E968" t="s">
        <v>1140</v>
      </c>
      <c r="F968" t="s">
        <v>1150</v>
      </c>
      <c r="G968" t="s">
        <v>1154</v>
      </c>
      <c r="H968">
        <v>3</v>
      </c>
      <c r="I968">
        <v>26220</v>
      </c>
      <c r="J968" s="6">
        <v>10</v>
      </c>
      <c r="K968">
        <v>23598</v>
      </c>
      <c r="L968">
        <v>70794</v>
      </c>
      <c r="M968">
        <v>1500</v>
      </c>
      <c r="N968" t="s">
        <v>1161</v>
      </c>
      <c r="O968" t="s">
        <v>1162</v>
      </c>
      <c r="Q968" t="str">
        <f t="shared" si="45"/>
        <v>okay</v>
      </c>
      <c r="R968">
        <f t="shared" si="46"/>
        <v>2</v>
      </c>
      <c r="S968" s="6">
        <f t="shared" si="47"/>
        <v>0</v>
      </c>
    </row>
    <row r="969" spans="1:19" x14ac:dyDescent="0.3">
      <c r="A969" s="10">
        <v>45721</v>
      </c>
      <c r="B969" t="s">
        <v>977</v>
      </c>
      <c r="C969" t="s">
        <v>1124</v>
      </c>
      <c r="D969" t="s">
        <v>1135</v>
      </c>
      <c r="E969" t="s">
        <v>1141</v>
      </c>
      <c r="F969" t="s">
        <v>1151</v>
      </c>
      <c r="G969" t="s">
        <v>1155</v>
      </c>
      <c r="H969">
        <v>3</v>
      </c>
      <c r="I969">
        <v>23364</v>
      </c>
      <c r="J969" s="6">
        <v>10</v>
      </c>
      <c r="K969">
        <v>21027.599999999999</v>
      </c>
      <c r="L969">
        <v>63082.8</v>
      </c>
      <c r="M969">
        <v>2000</v>
      </c>
      <c r="N969" t="s">
        <v>1159</v>
      </c>
      <c r="O969" t="s">
        <v>1162</v>
      </c>
      <c r="Q969" t="str">
        <f t="shared" si="45"/>
        <v>okay</v>
      </c>
      <c r="R969">
        <f t="shared" si="46"/>
        <v>2</v>
      </c>
      <c r="S969" s="6">
        <f t="shared" si="47"/>
        <v>0</v>
      </c>
    </row>
    <row r="970" spans="1:19" x14ac:dyDescent="0.3">
      <c r="A970" s="10">
        <v>45824</v>
      </c>
      <c r="B970" t="s">
        <v>978</v>
      </c>
      <c r="C970" t="s">
        <v>1126</v>
      </c>
      <c r="D970" t="s">
        <v>1133</v>
      </c>
      <c r="E970" t="s">
        <v>1137</v>
      </c>
      <c r="F970" t="s">
        <v>1149</v>
      </c>
      <c r="G970" t="s">
        <v>1152</v>
      </c>
      <c r="H970">
        <v>3</v>
      </c>
      <c r="I970">
        <v>78995</v>
      </c>
      <c r="J970" s="6">
        <v>0</v>
      </c>
      <c r="K970">
        <v>78995</v>
      </c>
      <c r="L970">
        <v>236985</v>
      </c>
      <c r="M970">
        <v>2000</v>
      </c>
      <c r="N970" t="s">
        <v>1159</v>
      </c>
      <c r="O970" t="s">
        <v>1162</v>
      </c>
      <c r="Q970" t="str">
        <f t="shared" si="45"/>
        <v>okay</v>
      </c>
      <c r="R970">
        <f t="shared" si="46"/>
        <v>2</v>
      </c>
      <c r="S970" s="6">
        <f t="shared" si="47"/>
        <v>0</v>
      </c>
    </row>
    <row r="971" spans="1:19" x14ac:dyDescent="0.3">
      <c r="A971" s="10">
        <v>45747</v>
      </c>
      <c r="B971" t="s">
        <v>979</v>
      </c>
      <c r="C971" t="s">
        <v>1124</v>
      </c>
      <c r="D971" t="s">
        <v>1135</v>
      </c>
      <c r="E971" t="s">
        <v>1148</v>
      </c>
      <c r="F971" t="s">
        <v>1149</v>
      </c>
      <c r="G971" t="s">
        <v>1152</v>
      </c>
      <c r="H971">
        <v>5</v>
      </c>
      <c r="I971">
        <v>48805</v>
      </c>
      <c r="J971" s="6">
        <v>10</v>
      </c>
      <c r="K971">
        <v>43924.5</v>
      </c>
      <c r="L971">
        <v>219622.5</v>
      </c>
      <c r="M971">
        <v>1500</v>
      </c>
      <c r="N971" t="s">
        <v>1161</v>
      </c>
      <c r="O971" t="s">
        <v>1164</v>
      </c>
      <c r="P971" s="10">
        <v>45752</v>
      </c>
      <c r="Q971" t="str">
        <f t="shared" si="45"/>
        <v>excellent</v>
      </c>
      <c r="R971">
        <f t="shared" si="46"/>
        <v>3</v>
      </c>
      <c r="S971" s="6">
        <f t="shared" si="47"/>
        <v>5</v>
      </c>
    </row>
    <row r="972" spans="1:19" x14ac:dyDescent="0.3">
      <c r="A972" s="10">
        <v>45763</v>
      </c>
      <c r="B972" t="s">
        <v>980</v>
      </c>
      <c r="C972" t="s">
        <v>1122</v>
      </c>
      <c r="D972" t="s">
        <v>1136</v>
      </c>
      <c r="E972" t="s">
        <v>1143</v>
      </c>
      <c r="F972" t="s">
        <v>1151</v>
      </c>
      <c r="G972" t="s">
        <v>1157</v>
      </c>
      <c r="H972">
        <v>2</v>
      </c>
      <c r="I972">
        <v>43168</v>
      </c>
      <c r="J972" s="6">
        <v>5</v>
      </c>
      <c r="K972">
        <v>41009.599999999999</v>
      </c>
      <c r="L972">
        <v>82019.199999999997</v>
      </c>
      <c r="M972">
        <v>1000</v>
      </c>
      <c r="N972" t="s">
        <v>1161</v>
      </c>
      <c r="O972" t="s">
        <v>1162</v>
      </c>
      <c r="Q972" t="str">
        <f t="shared" si="45"/>
        <v>okay</v>
      </c>
      <c r="R972">
        <f t="shared" si="46"/>
        <v>2</v>
      </c>
      <c r="S972" s="6">
        <f t="shared" si="47"/>
        <v>0</v>
      </c>
    </row>
    <row r="973" spans="1:19" x14ac:dyDescent="0.3">
      <c r="A973" s="10">
        <v>45739</v>
      </c>
      <c r="B973" t="s">
        <v>981</v>
      </c>
      <c r="C973" t="s">
        <v>1120</v>
      </c>
      <c r="D973" t="s">
        <v>1135</v>
      </c>
      <c r="E973" t="s">
        <v>1147</v>
      </c>
      <c r="F973" t="s">
        <v>1150</v>
      </c>
      <c r="G973" t="s">
        <v>1156</v>
      </c>
      <c r="H973">
        <v>4</v>
      </c>
      <c r="I973">
        <v>35244</v>
      </c>
      <c r="J973" s="6">
        <v>10</v>
      </c>
      <c r="K973">
        <v>31719.599999999999</v>
      </c>
      <c r="L973">
        <v>126878.39999999999</v>
      </c>
      <c r="M973">
        <v>1000</v>
      </c>
      <c r="N973" t="s">
        <v>1159</v>
      </c>
      <c r="O973" t="s">
        <v>1162</v>
      </c>
      <c r="Q973" t="str">
        <f t="shared" si="45"/>
        <v>okay</v>
      </c>
      <c r="R973">
        <f t="shared" si="46"/>
        <v>2</v>
      </c>
      <c r="S973" s="6">
        <f t="shared" si="47"/>
        <v>0</v>
      </c>
    </row>
    <row r="974" spans="1:19" x14ac:dyDescent="0.3">
      <c r="A974" s="10">
        <v>45681</v>
      </c>
      <c r="B974" t="s">
        <v>982</v>
      </c>
      <c r="C974" t="s">
        <v>1128</v>
      </c>
      <c r="D974" t="s">
        <v>1135</v>
      </c>
      <c r="E974" t="s">
        <v>1147</v>
      </c>
      <c r="F974" t="s">
        <v>1150</v>
      </c>
      <c r="G974" t="s">
        <v>1156</v>
      </c>
      <c r="H974">
        <v>1</v>
      </c>
      <c r="I974">
        <v>24294</v>
      </c>
      <c r="J974" s="6">
        <v>15</v>
      </c>
      <c r="K974">
        <v>20649.900000000001</v>
      </c>
      <c r="L974">
        <v>20649.900000000001</v>
      </c>
      <c r="M974">
        <v>2000</v>
      </c>
      <c r="N974" t="s">
        <v>1161</v>
      </c>
      <c r="O974" t="s">
        <v>1162</v>
      </c>
      <c r="Q974" t="str">
        <f t="shared" si="45"/>
        <v>okay</v>
      </c>
      <c r="R974">
        <f t="shared" si="46"/>
        <v>2</v>
      </c>
      <c r="S974" s="6">
        <f t="shared" si="47"/>
        <v>0</v>
      </c>
    </row>
    <row r="975" spans="1:19" x14ac:dyDescent="0.3">
      <c r="A975" s="10">
        <v>45688</v>
      </c>
      <c r="B975" t="s">
        <v>983</v>
      </c>
      <c r="C975" t="s">
        <v>1124</v>
      </c>
      <c r="D975" t="s">
        <v>1135</v>
      </c>
      <c r="E975" t="s">
        <v>1139</v>
      </c>
      <c r="F975" t="s">
        <v>1150</v>
      </c>
      <c r="G975" t="s">
        <v>1154</v>
      </c>
      <c r="H975">
        <v>5</v>
      </c>
      <c r="I975">
        <v>62547</v>
      </c>
      <c r="J975" s="6">
        <v>20</v>
      </c>
      <c r="K975">
        <v>50037.599999999999</v>
      </c>
      <c r="L975">
        <v>250188</v>
      </c>
      <c r="M975">
        <v>1000</v>
      </c>
      <c r="N975" t="s">
        <v>1161</v>
      </c>
      <c r="O975" t="s">
        <v>1163</v>
      </c>
      <c r="Q975" t="str">
        <f t="shared" si="45"/>
        <v>no comment</v>
      </c>
      <c r="R975">
        <f t="shared" si="46"/>
        <v>1</v>
      </c>
      <c r="S975" s="6">
        <f t="shared" si="47"/>
        <v>0</v>
      </c>
    </row>
    <row r="976" spans="1:19" x14ac:dyDescent="0.3">
      <c r="A976" s="10">
        <v>45678</v>
      </c>
      <c r="B976" t="s">
        <v>984</v>
      </c>
      <c r="C976" t="s">
        <v>1121</v>
      </c>
      <c r="D976" t="s">
        <v>1136</v>
      </c>
      <c r="E976" t="s">
        <v>1148</v>
      </c>
      <c r="F976" t="s">
        <v>1149</v>
      </c>
      <c r="G976" t="s">
        <v>1152</v>
      </c>
      <c r="H976">
        <v>3</v>
      </c>
      <c r="I976">
        <v>54197</v>
      </c>
      <c r="J976" s="6">
        <v>0</v>
      </c>
      <c r="K976">
        <v>54197</v>
      </c>
      <c r="L976">
        <v>162591</v>
      </c>
      <c r="M976">
        <v>1500</v>
      </c>
      <c r="N976" t="s">
        <v>1161</v>
      </c>
      <c r="O976" t="s">
        <v>1163</v>
      </c>
      <c r="Q976" t="str">
        <f t="shared" si="45"/>
        <v>no comment</v>
      </c>
      <c r="R976">
        <f t="shared" si="46"/>
        <v>1</v>
      </c>
      <c r="S976" s="6">
        <f t="shared" si="47"/>
        <v>0</v>
      </c>
    </row>
    <row r="977" spans="1:19" x14ac:dyDescent="0.3">
      <c r="A977" s="10">
        <v>45824</v>
      </c>
      <c r="B977" t="s">
        <v>985</v>
      </c>
      <c r="C977" t="s">
        <v>1129</v>
      </c>
      <c r="D977" t="s">
        <v>1133</v>
      </c>
      <c r="E977" t="s">
        <v>1144</v>
      </c>
      <c r="F977" t="s">
        <v>1151</v>
      </c>
      <c r="G977" t="s">
        <v>1157</v>
      </c>
      <c r="H977">
        <v>4</v>
      </c>
      <c r="I977">
        <v>57552</v>
      </c>
      <c r="J977" s="6">
        <v>20</v>
      </c>
      <c r="K977">
        <v>46041.599999999999</v>
      </c>
      <c r="L977">
        <v>184166.39999999999</v>
      </c>
      <c r="M977">
        <v>2000</v>
      </c>
      <c r="N977" t="s">
        <v>1160</v>
      </c>
      <c r="O977" t="s">
        <v>1163</v>
      </c>
      <c r="Q977" t="str">
        <f t="shared" si="45"/>
        <v>no comment</v>
      </c>
      <c r="R977">
        <f t="shared" si="46"/>
        <v>1</v>
      </c>
      <c r="S977" s="6">
        <f t="shared" si="47"/>
        <v>0</v>
      </c>
    </row>
    <row r="978" spans="1:19" x14ac:dyDescent="0.3">
      <c r="A978" s="10">
        <v>45671</v>
      </c>
      <c r="B978" t="s">
        <v>986</v>
      </c>
      <c r="C978" t="s">
        <v>1129</v>
      </c>
      <c r="D978" t="s">
        <v>1133</v>
      </c>
      <c r="E978" t="s">
        <v>1145</v>
      </c>
      <c r="F978" t="s">
        <v>1149</v>
      </c>
      <c r="G978" t="s">
        <v>1153</v>
      </c>
      <c r="H978">
        <v>4</v>
      </c>
      <c r="I978">
        <v>76370</v>
      </c>
      <c r="J978" s="6">
        <v>15</v>
      </c>
      <c r="K978">
        <v>64914.5</v>
      </c>
      <c r="L978">
        <v>259658</v>
      </c>
      <c r="M978">
        <v>1500</v>
      </c>
      <c r="N978" t="s">
        <v>1160</v>
      </c>
      <c r="O978" t="s">
        <v>1164</v>
      </c>
      <c r="P978" s="10">
        <v>45676</v>
      </c>
      <c r="Q978" t="str">
        <f t="shared" si="45"/>
        <v>excellent</v>
      </c>
      <c r="R978">
        <f t="shared" si="46"/>
        <v>3</v>
      </c>
      <c r="S978" s="6">
        <f t="shared" si="47"/>
        <v>5</v>
      </c>
    </row>
    <row r="979" spans="1:19" x14ac:dyDescent="0.3">
      <c r="A979" s="10">
        <v>45792</v>
      </c>
      <c r="B979" t="s">
        <v>987</v>
      </c>
      <c r="C979" t="s">
        <v>1117</v>
      </c>
      <c r="D979" t="s">
        <v>1133</v>
      </c>
      <c r="E979" t="s">
        <v>1146</v>
      </c>
      <c r="F979" t="s">
        <v>1151</v>
      </c>
      <c r="G979" t="s">
        <v>1155</v>
      </c>
      <c r="H979">
        <v>4</v>
      </c>
      <c r="I979">
        <v>79446</v>
      </c>
      <c r="J979" s="6">
        <v>0</v>
      </c>
      <c r="K979">
        <v>79446</v>
      </c>
      <c r="L979">
        <v>317784</v>
      </c>
      <c r="M979">
        <v>1000</v>
      </c>
      <c r="N979" t="s">
        <v>1159</v>
      </c>
      <c r="O979" t="s">
        <v>1164</v>
      </c>
      <c r="P979" s="10">
        <v>45798</v>
      </c>
      <c r="Q979" t="str">
        <f t="shared" si="45"/>
        <v>excellent</v>
      </c>
      <c r="R979">
        <f t="shared" si="46"/>
        <v>3</v>
      </c>
      <c r="S979" s="6">
        <f t="shared" si="47"/>
        <v>6</v>
      </c>
    </row>
    <row r="980" spans="1:19" x14ac:dyDescent="0.3">
      <c r="A980" s="10">
        <v>45708</v>
      </c>
      <c r="B980" t="s">
        <v>988</v>
      </c>
      <c r="C980" t="s">
        <v>1126</v>
      </c>
      <c r="D980" t="s">
        <v>1133</v>
      </c>
      <c r="E980" t="s">
        <v>1148</v>
      </c>
      <c r="F980" t="s">
        <v>1149</v>
      </c>
      <c r="G980" t="s">
        <v>1152</v>
      </c>
      <c r="H980">
        <v>3</v>
      </c>
      <c r="I980">
        <v>14636</v>
      </c>
      <c r="J980" s="6">
        <v>15</v>
      </c>
      <c r="K980">
        <v>12440.6</v>
      </c>
      <c r="L980">
        <v>37321.800000000003</v>
      </c>
      <c r="M980">
        <v>2000</v>
      </c>
      <c r="N980" t="s">
        <v>1160</v>
      </c>
      <c r="O980" t="s">
        <v>1163</v>
      </c>
      <c r="Q980" t="str">
        <f t="shared" si="45"/>
        <v>no comment</v>
      </c>
      <c r="R980">
        <f t="shared" si="46"/>
        <v>1</v>
      </c>
      <c r="S980" s="6">
        <f t="shared" si="47"/>
        <v>0</v>
      </c>
    </row>
    <row r="981" spans="1:19" x14ac:dyDescent="0.3">
      <c r="A981" s="10">
        <v>45834</v>
      </c>
      <c r="B981" t="s">
        <v>989</v>
      </c>
      <c r="C981" t="s">
        <v>1125</v>
      </c>
      <c r="D981" t="s">
        <v>1133</v>
      </c>
      <c r="E981" t="s">
        <v>1147</v>
      </c>
      <c r="F981" t="s">
        <v>1150</v>
      </c>
      <c r="G981" t="s">
        <v>1156</v>
      </c>
      <c r="H981">
        <v>2</v>
      </c>
      <c r="I981">
        <v>71260</v>
      </c>
      <c r="J981" s="6">
        <v>20</v>
      </c>
      <c r="K981">
        <v>57008</v>
      </c>
      <c r="L981">
        <v>114016</v>
      </c>
      <c r="M981">
        <v>1000</v>
      </c>
      <c r="N981" t="s">
        <v>1160</v>
      </c>
      <c r="O981" t="s">
        <v>1162</v>
      </c>
      <c r="Q981" t="str">
        <f t="shared" si="45"/>
        <v>okay</v>
      </c>
      <c r="R981">
        <f t="shared" si="46"/>
        <v>2</v>
      </c>
      <c r="S981" s="6">
        <f t="shared" si="47"/>
        <v>0</v>
      </c>
    </row>
    <row r="982" spans="1:19" x14ac:dyDescent="0.3">
      <c r="A982" s="10">
        <v>45687</v>
      </c>
      <c r="B982" t="s">
        <v>990</v>
      </c>
      <c r="C982" t="s">
        <v>1131</v>
      </c>
      <c r="D982" t="s">
        <v>1136</v>
      </c>
      <c r="E982" t="s">
        <v>1140</v>
      </c>
      <c r="F982" t="s">
        <v>1150</v>
      </c>
      <c r="G982" t="s">
        <v>1154</v>
      </c>
      <c r="H982">
        <v>1</v>
      </c>
      <c r="I982">
        <v>52791</v>
      </c>
      <c r="J982" s="6">
        <v>5</v>
      </c>
      <c r="K982">
        <v>50151.45</v>
      </c>
      <c r="L982">
        <v>50151.45</v>
      </c>
      <c r="M982">
        <v>1000</v>
      </c>
      <c r="N982" t="s">
        <v>1159</v>
      </c>
      <c r="O982" t="s">
        <v>1164</v>
      </c>
      <c r="P982" s="10">
        <v>45691</v>
      </c>
      <c r="Q982" t="str">
        <f t="shared" si="45"/>
        <v>excellent</v>
      </c>
      <c r="R982">
        <f t="shared" si="46"/>
        <v>3</v>
      </c>
      <c r="S982" s="6">
        <f t="shared" si="47"/>
        <v>4</v>
      </c>
    </row>
    <row r="983" spans="1:19" x14ac:dyDescent="0.3">
      <c r="A983" s="10">
        <v>45756</v>
      </c>
      <c r="B983" t="s">
        <v>991</v>
      </c>
      <c r="C983" t="s">
        <v>1130</v>
      </c>
      <c r="D983" t="s">
        <v>1136</v>
      </c>
      <c r="E983" t="s">
        <v>1143</v>
      </c>
      <c r="F983" t="s">
        <v>1151</v>
      </c>
      <c r="G983" t="s">
        <v>1157</v>
      </c>
      <c r="H983">
        <v>5</v>
      </c>
      <c r="I983">
        <v>1565</v>
      </c>
      <c r="J983" s="6">
        <v>20</v>
      </c>
      <c r="K983">
        <v>1252</v>
      </c>
      <c r="L983">
        <v>6260</v>
      </c>
      <c r="M983">
        <v>1000</v>
      </c>
      <c r="N983" t="s">
        <v>1160</v>
      </c>
      <c r="O983" t="s">
        <v>1163</v>
      </c>
      <c r="Q983" t="str">
        <f t="shared" si="45"/>
        <v>no comment</v>
      </c>
      <c r="R983">
        <f t="shared" si="46"/>
        <v>1</v>
      </c>
      <c r="S983" s="6">
        <f t="shared" si="47"/>
        <v>0</v>
      </c>
    </row>
    <row r="984" spans="1:19" x14ac:dyDescent="0.3">
      <c r="A984" s="10">
        <v>45683</v>
      </c>
      <c r="B984" t="s">
        <v>992</v>
      </c>
      <c r="C984" t="s">
        <v>1124</v>
      </c>
      <c r="D984" t="s">
        <v>1135</v>
      </c>
      <c r="E984" t="s">
        <v>1144</v>
      </c>
      <c r="F984" t="s">
        <v>1151</v>
      </c>
      <c r="G984" t="s">
        <v>1157</v>
      </c>
      <c r="H984">
        <v>3</v>
      </c>
      <c r="I984">
        <v>73503</v>
      </c>
      <c r="J984" s="6">
        <v>0</v>
      </c>
      <c r="K984">
        <v>73503</v>
      </c>
      <c r="L984">
        <v>220509</v>
      </c>
      <c r="M984">
        <v>2000</v>
      </c>
      <c r="N984" t="s">
        <v>1161</v>
      </c>
      <c r="O984" t="s">
        <v>1163</v>
      </c>
      <c r="Q984" t="str">
        <f t="shared" si="45"/>
        <v>no comment</v>
      </c>
      <c r="R984">
        <f t="shared" si="46"/>
        <v>1</v>
      </c>
      <c r="S984" s="6">
        <f t="shared" si="47"/>
        <v>0</v>
      </c>
    </row>
    <row r="985" spans="1:19" x14ac:dyDescent="0.3">
      <c r="A985" s="10">
        <v>45814</v>
      </c>
      <c r="B985" t="s">
        <v>993</v>
      </c>
      <c r="C985" t="s">
        <v>1118</v>
      </c>
      <c r="D985" t="s">
        <v>1134</v>
      </c>
      <c r="E985" t="s">
        <v>1139</v>
      </c>
      <c r="F985" t="s">
        <v>1150</v>
      </c>
      <c r="G985" t="s">
        <v>1154</v>
      </c>
      <c r="H985">
        <v>1</v>
      </c>
      <c r="I985">
        <v>69662</v>
      </c>
      <c r="J985" s="6">
        <v>0</v>
      </c>
      <c r="K985">
        <v>69662</v>
      </c>
      <c r="L985">
        <v>69662</v>
      </c>
      <c r="M985">
        <v>1500</v>
      </c>
      <c r="N985" t="s">
        <v>1159</v>
      </c>
      <c r="O985" t="s">
        <v>1163</v>
      </c>
      <c r="Q985" t="str">
        <f t="shared" si="45"/>
        <v>no comment</v>
      </c>
      <c r="R985">
        <f t="shared" si="46"/>
        <v>1</v>
      </c>
      <c r="S985" s="6">
        <f t="shared" si="47"/>
        <v>0</v>
      </c>
    </row>
    <row r="986" spans="1:19" x14ac:dyDescent="0.3">
      <c r="A986" s="10">
        <v>45777</v>
      </c>
      <c r="B986" t="s">
        <v>994</v>
      </c>
      <c r="C986" t="s">
        <v>1127</v>
      </c>
      <c r="D986" t="s">
        <v>1134</v>
      </c>
      <c r="E986" t="s">
        <v>1141</v>
      </c>
      <c r="F986" t="s">
        <v>1151</v>
      </c>
      <c r="G986" t="s">
        <v>1155</v>
      </c>
      <c r="H986">
        <v>2</v>
      </c>
      <c r="I986">
        <v>36751</v>
      </c>
      <c r="J986" s="6">
        <v>0</v>
      </c>
      <c r="K986">
        <v>36751</v>
      </c>
      <c r="L986">
        <v>73502</v>
      </c>
      <c r="M986">
        <v>2000</v>
      </c>
      <c r="N986" t="s">
        <v>1159</v>
      </c>
      <c r="O986" t="s">
        <v>1162</v>
      </c>
      <c r="Q986" t="str">
        <f t="shared" si="45"/>
        <v>okay</v>
      </c>
      <c r="R986">
        <f t="shared" si="46"/>
        <v>2</v>
      </c>
      <c r="S986" s="6">
        <f t="shared" si="47"/>
        <v>0</v>
      </c>
    </row>
    <row r="987" spans="1:19" x14ac:dyDescent="0.3">
      <c r="A987" s="10">
        <v>45689</v>
      </c>
      <c r="B987" t="s">
        <v>140</v>
      </c>
      <c r="C987" t="s">
        <v>1126</v>
      </c>
      <c r="D987" t="s">
        <v>1133</v>
      </c>
      <c r="E987" t="s">
        <v>1138</v>
      </c>
      <c r="F987" t="s">
        <v>1149</v>
      </c>
      <c r="G987" t="s">
        <v>1153</v>
      </c>
      <c r="H987">
        <v>2</v>
      </c>
      <c r="I987">
        <v>60648</v>
      </c>
      <c r="J987" s="6">
        <v>10</v>
      </c>
      <c r="K987">
        <v>54583.199999999997</v>
      </c>
      <c r="L987">
        <v>109166.39999999999</v>
      </c>
      <c r="M987">
        <v>1500</v>
      </c>
      <c r="N987" t="s">
        <v>1160</v>
      </c>
      <c r="O987" t="s">
        <v>1163</v>
      </c>
      <c r="Q987" t="str">
        <f t="shared" si="45"/>
        <v>no comment</v>
      </c>
      <c r="R987">
        <f t="shared" si="46"/>
        <v>1</v>
      </c>
      <c r="S987" s="6">
        <f t="shared" si="47"/>
        <v>0</v>
      </c>
    </row>
    <row r="988" spans="1:19" x14ac:dyDescent="0.3">
      <c r="A988" s="10">
        <v>45697</v>
      </c>
      <c r="B988" t="s">
        <v>995</v>
      </c>
      <c r="C988" t="s">
        <v>1124</v>
      </c>
      <c r="D988" t="s">
        <v>1135</v>
      </c>
      <c r="E988" t="s">
        <v>1144</v>
      </c>
      <c r="F988" t="s">
        <v>1151</v>
      </c>
      <c r="G988" t="s">
        <v>1157</v>
      </c>
      <c r="H988">
        <v>5</v>
      </c>
      <c r="I988">
        <v>47796</v>
      </c>
      <c r="J988" s="6">
        <v>0</v>
      </c>
      <c r="K988">
        <v>47796</v>
      </c>
      <c r="L988">
        <v>238980</v>
      </c>
      <c r="M988">
        <v>1500</v>
      </c>
      <c r="N988" t="s">
        <v>1159</v>
      </c>
      <c r="O988" t="s">
        <v>1162</v>
      </c>
      <c r="Q988" t="str">
        <f t="shared" si="45"/>
        <v>okay</v>
      </c>
      <c r="R988">
        <f t="shared" si="46"/>
        <v>2</v>
      </c>
      <c r="S988" s="6">
        <f t="shared" si="47"/>
        <v>0</v>
      </c>
    </row>
    <row r="989" spans="1:19" x14ac:dyDescent="0.3">
      <c r="A989" s="10">
        <v>45813</v>
      </c>
      <c r="B989" t="s">
        <v>996</v>
      </c>
      <c r="C989" t="s">
        <v>1129</v>
      </c>
      <c r="D989" t="s">
        <v>1133</v>
      </c>
      <c r="E989" t="s">
        <v>1146</v>
      </c>
      <c r="F989" t="s">
        <v>1151</v>
      </c>
      <c r="G989" t="s">
        <v>1155</v>
      </c>
      <c r="H989">
        <v>4</v>
      </c>
      <c r="I989">
        <v>44644</v>
      </c>
      <c r="J989" s="6">
        <v>15</v>
      </c>
      <c r="K989">
        <v>37947.4</v>
      </c>
      <c r="L989">
        <v>151789.6</v>
      </c>
      <c r="M989">
        <v>1500</v>
      </c>
      <c r="N989" t="s">
        <v>1160</v>
      </c>
      <c r="O989" t="s">
        <v>1164</v>
      </c>
      <c r="P989" s="10">
        <v>45823</v>
      </c>
      <c r="Q989" t="str">
        <f t="shared" si="45"/>
        <v>excellent</v>
      </c>
      <c r="R989">
        <f t="shared" si="46"/>
        <v>3</v>
      </c>
      <c r="S989" s="6">
        <f t="shared" si="47"/>
        <v>10</v>
      </c>
    </row>
    <row r="990" spans="1:19" x14ac:dyDescent="0.3">
      <c r="A990" s="10">
        <v>45786</v>
      </c>
      <c r="B990" t="s">
        <v>997</v>
      </c>
      <c r="C990" t="s">
        <v>1120</v>
      </c>
      <c r="D990" t="s">
        <v>1135</v>
      </c>
      <c r="E990" t="s">
        <v>1145</v>
      </c>
      <c r="F990" t="s">
        <v>1149</v>
      </c>
      <c r="G990" t="s">
        <v>1153</v>
      </c>
      <c r="H990">
        <v>1</v>
      </c>
      <c r="I990">
        <v>39756</v>
      </c>
      <c r="J990" s="6">
        <v>15</v>
      </c>
      <c r="K990">
        <v>33792.6</v>
      </c>
      <c r="L990">
        <v>33792.6</v>
      </c>
      <c r="M990">
        <v>1000</v>
      </c>
      <c r="N990" t="s">
        <v>1159</v>
      </c>
      <c r="O990" t="s">
        <v>1163</v>
      </c>
      <c r="Q990" t="str">
        <f t="shared" si="45"/>
        <v>no comment</v>
      </c>
      <c r="R990">
        <f t="shared" si="46"/>
        <v>1</v>
      </c>
      <c r="S990" s="6">
        <f t="shared" si="47"/>
        <v>0</v>
      </c>
    </row>
    <row r="991" spans="1:19" x14ac:dyDescent="0.3">
      <c r="A991" s="10">
        <v>45801</v>
      </c>
      <c r="B991" t="s">
        <v>998</v>
      </c>
      <c r="C991" t="s">
        <v>1131</v>
      </c>
      <c r="D991" t="s">
        <v>1136</v>
      </c>
      <c r="E991" t="s">
        <v>1139</v>
      </c>
      <c r="F991" t="s">
        <v>1150</v>
      </c>
      <c r="G991" t="s">
        <v>1154</v>
      </c>
      <c r="H991">
        <v>3</v>
      </c>
      <c r="I991">
        <v>48419</v>
      </c>
      <c r="J991" s="6">
        <v>15</v>
      </c>
      <c r="K991">
        <v>41156.15</v>
      </c>
      <c r="L991">
        <v>123468.45</v>
      </c>
      <c r="M991">
        <v>1000</v>
      </c>
      <c r="N991" t="s">
        <v>1160</v>
      </c>
      <c r="O991" t="s">
        <v>1162</v>
      </c>
      <c r="Q991" t="str">
        <f t="shared" si="45"/>
        <v>okay</v>
      </c>
      <c r="R991">
        <f t="shared" si="46"/>
        <v>2</v>
      </c>
      <c r="S991" s="6">
        <f t="shared" si="47"/>
        <v>0</v>
      </c>
    </row>
    <row r="992" spans="1:19" x14ac:dyDescent="0.3">
      <c r="A992" s="10">
        <v>45752</v>
      </c>
      <c r="B992" t="s">
        <v>999</v>
      </c>
      <c r="C992" t="s">
        <v>1124</v>
      </c>
      <c r="D992" t="s">
        <v>1135</v>
      </c>
      <c r="E992" t="s">
        <v>1145</v>
      </c>
      <c r="F992" t="s">
        <v>1149</v>
      </c>
      <c r="G992" t="s">
        <v>1153</v>
      </c>
      <c r="H992">
        <v>1</v>
      </c>
      <c r="I992">
        <v>76706</v>
      </c>
      <c r="J992" s="6">
        <v>10</v>
      </c>
      <c r="K992">
        <v>69035.399999999994</v>
      </c>
      <c r="L992">
        <v>69035.399999999994</v>
      </c>
      <c r="M992">
        <v>2000</v>
      </c>
      <c r="N992" t="s">
        <v>1160</v>
      </c>
      <c r="O992" t="s">
        <v>1162</v>
      </c>
      <c r="Q992" t="str">
        <f t="shared" si="45"/>
        <v>okay</v>
      </c>
      <c r="R992">
        <f t="shared" si="46"/>
        <v>2</v>
      </c>
      <c r="S992" s="6">
        <f t="shared" si="47"/>
        <v>0</v>
      </c>
    </row>
    <row r="993" spans="1:19" x14ac:dyDescent="0.3">
      <c r="A993" s="10">
        <v>45798</v>
      </c>
      <c r="B993" t="s">
        <v>1000</v>
      </c>
      <c r="C993" t="s">
        <v>1126</v>
      </c>
      <c r="D993" t="s">
        <v>1133</v>
      </c>
      <c r="E993" t="s">
        <v>1139</v>
      </c>
      <c r="F993" t="s">
        <v>1150</v>
      </c>
      <c r="G993" t="s">
        <v>1154</v>
      </c>
      <c r="H993">
        <v>4</v>
      </c>
      <c r="I993">
        <v>29001</v>
      </c>
      <c r="J993" s="6">
        <v>20</v>
      </c>
      <c r="K993">
        <v>23200.799999999999</v>
      </c>
      <c r="L993">
        <v>92803.199999999997</v>
      </c>
      <c r="M993">
        <v>1500</v>
      </c>
      <c r="N993" t="s">
        <v>1160</v>
      </c>
      <c r="O993" t="s">
        <v>1162</v>
      </c>
      <c r="Q993" t="str">
        <f t="shared" si="45"/>
        <v>okay</v>
      </c>
      <c r="R993">
        <f t="shared" si="46"/>
        <v>2</v>
      </c>
      <c r="S993" s="6">
        <f t="shared" si="47"/>
        <v>0</v>
      </c>
    </row>
    <row r="994" spans="1:19" x14ac:dyDescent="0.3">
      <c r="A994" s="10">
        <v>45803</v>
      </c>
      <c r="B994" t="s">
        <v>1001</v>
      </c>
      <c r="C994" t="s">
        <v>1126</v>
      </c>
      <c r="D994" t="s">
        <v>1133</v>
      </c>
      <c r="E994" t="s">
        <v>1146</v>
      </c>
      <c r="F994" t="s">
        <v>1151</v>
      </c>
      <c r="G994" t="s">
        <v>1155</v>
      </c>
      <c r="H994">
        <v>2</v>
      </c>
      <c r="I994">
        <v>59798</v>
      </c>
      <c r="J994" s="6">
        <v>20</v>
      </c>
      <c r="K994">
        <v>47838.400000000001</v>
      </c>
      <c r="L994">
        <v>95676.800000000003</v>
      </c>
      <c r="M994">
        <v>2000</v>
      </c>
      <c r="N994" t="s">
        <v>1160</v>
      </c>
      <c r="O994" t="s">
        <v>1163</v>
      </c>
      <c r="Q994" t="str">
        <f t="shared" si="45"/>
        <v>no comment</v>
      </c>
      <c r="R994">
        <f t="shared" si="46"/>
        <v>1</v>
      </c>
      <c r="S994" s="6">
        <f t="shared" si="47"/>
        <v>0</v>
      </c>
    </row>
    <row r="995" spans="1:19" x14ac:dyDescent="0.3">
      <c r="A995" s="10">
        <v>45766</v>
      </c>
      <c r="B995" t="s">
        <v>1002</v>
      </c>
      <c r="C995" t="s">
        <v>1121</v>
      </c>
      <c r="D995" t="s">
        <v>1136</v>
      </c>
      <c r="E995" t="s">
        <v>1137</v>
      </c>
      <c r="F995" t="s">
        <v>1149</v>
      </c>
      <c r="G995" t="s">
        <v>1152</v>
      </c>
      <c r="H995">
        <v>1</v>
      </c>
      <c r="I995">
        <v>51300</v>
      </c>
      <c r="J995" s="6">
        <v>0</v>
      </c>
      <c r="K995">
        <v>51300</v>
      </c>
      <c r="L995">
        <v>51300</v>
      </c>
      <c r="M995">
        <v>1000</v>
      </c>
      <c r="N995" t="s">
        <v>1160</v>
      </c>
      <c r="O995" t="s">
        <v>1162</v>
      </c>
      <c r="Q995" t="str">
        <f t="shared" si="45"/>
        <v>okay</v>
      </c>
      <c r="R995">
        <f t="shared" si="46"/>
        <v>2</v>
      </c>
      <c r="S995" s="6">
        <f t="shared" si="47"/>
        <v>0</v>
      </c>
    </row>
    <row r="996" spans="1:19" x14ac:dyDescent="0.3">
      <c r="A996" s="10">
        <v>45827</v>
      </c>
      <c r="B996" t="s">
        <v>1003</v>
      </c>
      <c r="C996" t="s">
        <v>1132</v>
      </c>
      <c r="D996" t="s">
        <v>1134</v>
      </c>
      <c r="E996" t="s">
        <v>1147</v>
      </c>
      <c r="F996" t="s">
        <v>1150</v>
      </c>
      <c r="G996" t="s">
        <v>1156</v>
      </c>
      <c r="H996">
        <v>1</v>
      </c>
      <c r="I996">
        <v>61065</v>
      </c>
      <c r="J996" s="6">
        <v>0</v>
      </c>
      <c r="K996">
        <v>61065</v>
      </c>
      <c r="L996">
        <v>61065</v>
      </c>
      <c r="M996">
        <v>1500</v>
      </c>
      <c r="N996" t="s">
        <v>1159</v>
      </c>
      <c r="O996" t="s">
        <v>1162</v>
      </c>
      <c r="Q996" t="str">
        <f t="shared" si="45"/>
        <v>okay</v>
      </c>
      <c r="R996">
        <f t="shared" si="46"/>
        <v>2</v>
      </c>
      <c r="S996" s="6">
        <f t="shared" si="47"/>
        <v>0</v>
      </c>
    </row>
    <row r="997" spans="1:19" x14ac:dyDescent="0.3">
      <c r="A997" s="10">
        <v>45708</v>
      </c>
      <c r="B997" t="s">
        <v>1004</v>
      </c>
      <c r="C997" t="s">
        <v>1129</v>
      </c>
      <c r="D997" t="s">
        <v>1133</v>
      </c>
      <c r="E997" t="s">
        <v>1139</v>
      </c>
      <c r="F997" t="s">
        <v>1150</v>
      </c>
      <c r="G997" t="s">
        <v>1154</v>
      </c>
      <c r="H997">
        <v>3</v>
      </c>
      <c r="I997">
        <v>23286</v>
      </c>
      <c r="J997" s="6">
        <v>10</v>
      </c>
      <c r="K997">
        <v>20957.400000000001</v>
      </c>
      <c r="L997">
        <v>62872.2</v>
      </c>
      <c r="M997">
        <v>2000</v>
      </c>
      <c r="N997" t="s">
        <v>1159</v>
      </c>
      <c r="O997" t="s">
        <v>1162</v>
      </c>
      <c r="Q997" t="str">
        <f t="shared" si="45"/>
        <v>okay</v>
      </c>
      <c r="R997">
        <f t="shared" si="46"/>
        <v>2</v>
      </c>
      <c r="S997" s="6">
        <f t="shared" si="47"/>
        <v>0</v>
      </c>
    </row>
    <row r="998" spans="1:19" x14ac:dyDescent="0.3">
      <c r="A998" s="10">
        <v>45749</v>
      </c>
      <c r="B998" t="s">
        <v>1005</v>
      </c>
      <c r="C998" t="s">
        <v>1130</v>
      </c>
      <c r="D998" t="s">
        <v>1136</v>
      </c>
      <c r="E998" t="s">
        <v>1147</v>
      </c>
      <c r="F998" t="s">
        <v>1150</v>
      </c>
      <c r="G998" t="s">
        <v>1156</v>
      </c>
      <c r="H998">
        <v>4</v>
      </c>
      <c r="I998">
        <v>6947</v>
      </c>
      <c r="J998" s="6">
        <v>15</v>
      </c>
      <c r="K998">
        <v>5904.95</v>
      </c>
      <c r="L998">
        <v>23619.8</v>
      </c>
      <c r="M998">
        <v>1000</v>
      </c>
      <c r="N998" t="s">
        <v>1159</v>
      </c>
      <c r="O998" t="s">
        <v>1164</v>
      </c>
      <c r="P998" s="10">
        <v>45757</v>
      </c>
      <c r="Q998" t="str">
        <f t="shared" si="45"/>
        <v>excellent</v>
      </c>
      <c r="R998">
        <f t="shared" si="46"/>
        <v>3</v>
      </c>
      <c r="S998" s="6">
        <f t="shared" si="47"/>
        <v>8</v>
      </c>
    </row>
    <row r="999" spans="1:19" x14ac:dyDescent="0.3">
      <c r="A999" s="10">
        <v>45758</v>
      </c>
      <c r="B999" t="s">
        <v>1006</v>
      </c>
      <c r="C999" t="s">
        <v>1120</v>
      </c>
      <c r="D999" t="s">
        <v>1135</v>
      </c>
      <c r="E999" t="s">
        <v>1144</v>
      </c>
      <c r="F999" t="s">
        <v>1151</v>
      </c>
      <c r="G999" t="s">
        <v>1157</v>
      </c>
      <c r="H999">
        <v>2</v>
      </c>
      <c r="I999">
        <v>23876</v>
      </c>
      <c r="J999" s="6">
        <v>15</v>
      </c>
      <c r="K999">
        <v>20294.599999999999</v>
      </c>
      <c r="L999">
        <v>40589.199999999997</v>
      </c>
      <c r="M999">
        <v>1000</v>
      </c>
      <c r="N999" t="s">
        <v>1159</v>
      </c>
      <c r="O999" t="s">
        <v>1162</v>
      </c>
      <c r="Q999" t="str">
        <f t="shared" si="45"/>
        <v>okay</v>
      </c>
      <c r="R999">
        <f t="shared" si="46"/>
        <v>2</v>
      </c>
      <c r="S999" s="6">
        <f t="shared" si="47"/>
        <v>0</v>
      </c>
    </row>
    <row r="1000" spans="1:19" x14ac:dyDescent="0.3">
      <c r="A1000" s="10">
        <v>45694</v>
      </c>
      <c r="B1000" t="s">
        <v>1007</v>
      </c>
      <c r="C1000" t="s">
        <v>1123</v>
      </c>
      <c r="D1000" t="s">
        <v>1135</v>
      </c>
      <c r="E1000" t="s">
        <v>1138</v>
      </c>
      <c r="F1000" t="s">
        <v>1149</v>
      </c>
      <c r="G1000" t="s">
        <v>1153</v>
      </c>
      <c r="H1000">
        <v>4</v>
      </c>
      <c r="I1000">
        <v>74440</v>
      </c>
      <c r="J1000" s="6">
        <v>10</v>
      </c>
      <c r="K1000">
        <v>66996</v>
      </c>
      <c r="L1000">
        <v>267984</v>
      </c>
      <c r="M1000">
        <v>1500</v>
      </c>
      <c r="N1000" t="s">
        <v>1161</v>
      </c>
      <c r="O1000" t="s">
        <v>1162</v>
      </c>
      <c r="Q1000" t="str">
        <f t="shared" si="45"/>
        <v>okay</v>
      </c>
      <c r="R1000">
        <f t="shared" si="46"/>
        <v>2</v>
      </c>
      <c r="S1000" s="6">
        <f t="shared" si="47"/>
        <v>0</v>
      </c>
    </row>
    <row r="1001" spans="1:19" x14ac:dyDescent="0.3">
      <c r="A1001" s="10">
        <v>45709</v>
      </c>
      <c r="B1001" t="s">
        <v>1008</v>
      </c>
      <c r="C1001" t="s">
        <v>1123</v>
      </c>
      <c r="D1001" t="s">
        <v>1135</v>
      </c>
      <c r="E1001" t="s">
        <v>1148</v>
      </c>
      <c r="F1001" t="s">
        <v>1149</v>
      </c>
      <c r="G1001" t="s">
        <v>1152</v>
      </c>
      <c r="H1001">
        <v>5</v>
      </c>
      <c r="I1001">
        <v>21900</v>
      </c>
      <c r="J1001" s="6">
        <v>20</v>
      </c>
      <c r="K1001">
        <v>17520</v>
      </c>
      <c r="L1001">
        <v>87600</v>
      </c>
      <c r="M1001">
        <v>2000</v>
      </c>
      <c r="N1001" t="s">
        <v>1159</v>
      </c>
      <c r="O1001" t="s">
        <v>1164</v>
      </c>
      <c r="P1001" s="10">
        <v>45714</v>
      </c>
      <c r="Q1001" t="str">
        <f t="shared" si="45"/>
        <v>excellent</v>
      </c>
      <c r="R1001">
        <f t="shared" si="46"/>
        <v>3</v>
      </c>
      <c r="S1001" s="6">
        <f t="shared" si="47"/>
        <v>5</v>
      </c>
    </row>
    <row r="1002" spans="1:19" x14ac:dyDescent="0.3">
      <c r="A1002" s="10">
        <v>45816</v>
      </c>
      <c r="B1002" t="s">
        <v>1009</v>
      </c>
      <c r="C1002" t="s">
        <v>1129</v>
      </c>
      <c r="D1002" t="s">
        <v>1133</v>
      </c>
      <c r="E1002" t="s">
        <v>1145</v>
      </c>
      <c r="F1002" t="s">
        <v>1149</v>
      </c>
      <c r="G1002" t="s">
        <v>1153</v>
      </c>
      <c r="H1002">
        <v>5</v>
      </c>
      <c r="I1002">
        <v>61902</v>
      </c>
      <c r="J1002" s="6">
        <v>20</v>
      </c>
      <c r="K1002">
        <v>49521.599999999999</v>
      </c>
      <c r="L1002">
        <v>247608</v>
      </c>
      <c r="M1002">
        <v>2000</v>
      </c>
      <c r="N1002" t="s">
        <v>1161</v>
      </c>
      <c r="O1002" t="s">
        <v>1164</v>
      </c>
      <c r="P1002" s="10">
        <v>45819</v>
      </c>
      <c r="Q1002" t="str">
        <f t="shared" si="45"/>
        <v>excellent</v>
      </c>
      <c r="R1002">
        <f t="shared" si="46"/>
        <v>3</v>
      </c>
      <c r="S1002" s="6">
        <f t="shared" si="47"/>
        <v>3</v>
      </c>
    </row>
    <row r="1003" spans="1:19" x14ac:dyDescent="0.3">
      <c r="A1003" s="10">
        <v>45713</v>
      </c>
      <c r="B1003" t="s">
        <v>1010</v>
      </c>
      <c r="C1003" t="s">
        <v>1118</v>
      </c>
      <c r="D1003" t="s">
        <v>1134</v>
      </c>
      <c r="E1003" t="s">
        <v>1145</v>
      </c>
      <c r="F1003" t="s">
        <v>1149</v>
      </c>
      <c r="G1003" t="s">
        <v>1153</v>
      </c>
      <c r="H1003">
        <v>5</v>
      </c>
      <c r="I1003">
        <v>55832</v>
      </c>
      <c r="J1003" s="6">
        <v>20</v>
      </c>
      <c r="K1003">
        <v>44665.599999999999</v>
      </c>
      <c r="L1003">
        <v>223328</v>
      </c>
      <c r="M1003">
        <v>2000</v>
      </c>
      <c r="N1003" t="s">
        <v>1160</v>
      </c>
      <c r="O1003" t="s">
        <v>1164</v>
      </c>
      <c r="P1003" s="10">
        <v>45716</v>
      </c>
      <c r="Q1003" t="str">
        <f t="shared" si="45"/>
        <v>excellent</v>
      </c>
      <c r="R1003">
        <f t="shared" si="46"/>
        <v>3</v>
      </c>
      <c r="S1003" s="6">
        <f t="shared" si="47"/>
        <v>3</v>
      </c>
    </row>
    <row r="1004" spans="1:19" x14ac:dyDescent="0.3">
      <c r="A1004" s="10">
        <v>45827</v>
      </c>
      <c r="B1004" t="s">
        <v>1011</v>
      </c>
      <c r="C1004" t="s">
        <v>1131</v>
      </c>
      <c r="D1004" t="s">
        <v>1136</v>
      </c>
      <c r="E1004" t="s">
        <v>1137</v>
      </c>
      <c r="F1004" t="s">
        <v>1149</v>
      </c>
      <c r="G1004" t="s">
        <v>1152</v>
      </c>
      <c r="H1004">
        <v>2</v>
      </c>
      <c r="I1004">
        <v>26533</v>
      </c>
      <c r="J1004" s="6">
        <v>10</v>
      </c>
      <c r="K1004">
        <v>23879.7</v>
      </c>
      <c r="L1004">
        <v>47759.4</v>
      </c>
      <c r="M1004">
        <v>1500</v>
      </c>
      <c r="N1004" t="s">
        <v>1160</v>
      </c>
      <c r="O1004" t="s">
        <v>1162</v>
      </c>
      <c r="Q1004" t="str">
        <f t="shared" si="45"/>
        <v>okay</v>
      </c>
      <c r="R1004">
        <f t="shared" si="46"/>
        <v>2</v>
      </c>
      <c r="S1004" s="6">
        <f t="shared" si="47"/>
        <v>0</v>
      </c>
    </row>
    <row r="1005" spans="1:19" x14ac:dyDescent="0.3">
      <c r="A1005" s="10">
        <v>45770</v>
      </c>
      <c r="B1005" t="s">
        <v>1012</v>
      </c>
      <c r="C1005" t="s">
        <v>1125</v>
      </c>
      <c r="D1005" t="s">
        <v>1133</v>
      </c>
      <c r="E1005" t="s">
        <v>1143</v>
      </c>
      <c r="F1005" t="s">
        <v>1151</v>
      </c>
      <c r="G1005" t="s">
        <v>1157</v>
      </c>
      <c r="H1005">
        <v>4</v>
      </c>
      <c r="I1005">
        <v>61051</v>
      </c>
      <c r="J1005" s="6">
        <v>10</v>
      </c>
      <c r="K1005">
        <v>54945.9</v>
      </c>
      <c r="L1005">
        <v>219783.6</v>
      </c>
      <c r="M1005">
        <v>2000</v>
      </c>
      <c r="N1005" t="s">
        <v>1161</v>
      </c>
      <c r="O1005" t="s">
        <v>1164</v>
      </c>
      <c r="P1005" s="10">
        <v>45781</v>
      </c>
      <c r="Q1005" t="str">
        <f t="shared" si="45"/>
        <v>excellent</v>
      </c>
      <c r="R1005">
        <f t="shared" si="46"/>
        <v>3</v>
      </c>
      <c r="S1005" s="6">
        <f t="shared" si="47"/>
        <v>11</v>
      </c>
    </row>
    <row r="1006" spans="1:19" x14ac:dyDescent="0.3">
      <c r="A1006" s="10">
        <v>45690</v>
      </c>
      <c r="B1006" t="s">
        <v>1013</v>
      </c>
      <c r="C1006" t="s">
        <v>1132</v>
      </c>
      <c r="D1006" t="s">
        <v>1134</v>
      </c>
      <c r="E1006" t="s">
        <v>1145</v>
      </c>
      <c r="F1006" t="s">
        <v>1149</v>
      </c>
      <c r="G1006" t="s">
        <v>1153</v>
      </c>
      <c r="H1006">
        <v>4</v>
      </c>
      <c r="I1006">
        <v>10412</v>
      </c>
      <c r="J1006" s="6">
        <v>15</v>
      </c>
      <c r="K1006">
        <v>8850.2000000000007</v>
      </c>
      <c r="L1006">
        <v>35400.800000000003</v>
      </c>
      <c r="M1006">
        <v>1500</v>
      </c>
      <c r="N1006" t="s">
        <v>1159</v>
      </c>
      <c r="O1006" t="s">
        <v>1162</v>
      </c>
      <c r="Q1006" t="str">
        <f t="shared" si="45"/>
        <v>okay</v>
      </c>
      <c r="R1006">
        <f t="shared" si="46"/>
        <v>2</v>
      </c>
      <c r="S1006" s="6">
        <f t="shared" si="47"/>
        <v>0</v>
      </c>
    </row>
    <row r="1007" spans="1:19" x14ac:dyDescent="0.3">
      <c r="A1007" s="10">
        <v>45780</v>
      </c>
      <c r="B1007" t="s">
        <v>1014</v>
      </c>
      <c r="C1007" t="s">
        <v>1119</v>
      </c>
      <c r="D1007" t="s">
        <v>1134</v>
      </c>
      <c r="E1007" t="s">
        <v>1139</v>
      </c>
      <c r="F1007" t="s">
        <v>1150</v>
      </c>
      <c r="G1007" t="s">
        <v>1154</v>
      </c>
      <c r="H1007">
        <v>4</v>
      </c>
      <c r="I1007">
        <v>34895</v>
      </c>
      <c r="J1007" s="6">
        <v>0</v>
      </c>
      <c r="K1007">
        <v>34895</v>
      </c>
      <c r="L1007">
        <v>139580</v>
      </c>
      <c r="M1007">
        <v>2000</v>
      </c>
      <c r="N1007" t="s">
        <v>1161</v>
      </c>
      <c r="O1007" t="s">
        <v>1164</v>
      </c>
      <c r="P1007" s="10">
        <v>45786</v>
      </c>
      <c r="Q1007" t="str">
        <f t="shared" si="45"/>
        <v>excellent</v>
      </c>
      <c r="R1007">
        <f t="shared" si="46"/>
        <v>3</v>
      </c>
      <c r="S1007" s="6">
        <f t="shared" si="47"/>
        <v>6</v>
      </c>
    </row>
    <row r="1008" spans="1:19" x14ac:dyDescent="0.3">
      <c r="A1008" s="10">
        <v>45699</v>
      </c>
      <c r="B1008" t="s">
        <v>1015</v>
      </c>
      <c r="C1008" t="s">
        <v>1120</v>
      </c>
      <c r="D1008" t="s">
        <v>1135</v>
      </c>
      <c r="E1008" t="s">
        <v>1137</v>
      </c>
      <c r="F1008" t="s">
        <v>1149</v>
      </c>
      <c r="G1008" t="s">
        <v>1152</v>
      </c>
      <c r="H1008">
        <v>3</v>
      </c>
      <c r="I1008">
        <v>41957</v>
      </c>
      <c r="J1008" s="6">
        <v>5</v>
      </c>
      <c r="K1008">
        <v>39859.15</v>
      </c>
      <c r="L1008">
        <v>119577.45</v>
      </c>
      <c r="M1008">
        <v>1000</v>
      </c>
      <c r="N1008" t="s">
        <v>1161</v>
      </c>
      <c r="O1008" t="s">
        <v>1164</v>
      </c>
      <c r="P1008" s="10">
        <v>45710</v>
      </c>
      <c r="Q1008" t="str">
        <f t="shared" si="45"/>
        <v>excellent</v>
      </c>
      <c r="R1008">
        <f t="shared" si="46"/>
        <v>3</v>
      </c>
      <c r="S1008" s="6">
        <f t="shared" si="47"/>
        <v>11</v>
      </c>
    </row>
    <row r="1009" spans="1:19" x14ac:dyDescent="0.3">
      <c r="A1009" s="10">
        <v>45674</v>
      </c>
      <c r="B1009" t="s">
        <v>1016</v>
      </c>
      <c r="C1009" t="s">
        <v>1123</v>
      </c>
      <c r="D1009" t="s">
        <v>1135</v>
      </c>
      <c r="E1009" t="s">
        <v>1142</v>
      </c>
      <c r="F1009" t="s">
        <v>1150</v>
      </c>
      <c r="G1009" t="s">
        <v>1156</v>
      </c>
      <c r="H1009">
        <v>5</v>
      </c>
      <c r="I1009">
        <v>12801</v>
      </c>
      <c r="J1009" s="6">
        <v>5</v>
      </c>
      <c r="K1009">
        <v>12160.95</v>
      </c>
      <c r="L1009">
        <v>60804.75</v>
      </c>
      <c r="M1009">
        <v>1500</v>
      </c>
      <c r="N1009" t="s">
        <v>1159</v>
      </c>
      <c r="O1009" t="s">
        <v>1164</v>
      </c>
      <c r="P1009" s="10">
        <v>45685</v>
      </c>
      <c r="Q1009" t="str">
        <f t="shared" si="45"/>
        <v>excellent</v>
      </c>
      <c r="R1009">
        <f t="shared" si="46"/>
        <v>3</v>
      </c>
      <c r="S1009" s="6">
        <f t="shared" si="47"/>
        <v>11</v>
      </c>
    </row>
    <row r="1010" spans="1:19" x14ac:dyDescent="0.3">
      <c r="A1010" s="10">
        <v>45689</v>
      </c>
      <c r="B1010" t="s">
        <v>1017</v>
      </c>
      <c r="C1010" t="s">
        <v>1117</v>
      </c>
      <c r="D1010" t="s">
        <v>1133</v>
      </c>
      <c r="E1010" t="s">
        <v>1143</v>
      </c>
      <c r="F1010" t="s">
        <v>1151</v>
      </c>
      <c r="G1010" t="s">
        <v>1157</v>
      </c>
      <c r="H1010">
        <v>4</v>
      </c>
      <c r="I1010">
        <v>16719</v>
      </c>
      <c r="J1010" s="6">
        <v>20</v>
      </c>
      <c r="K1010">
        <v>13375.2</v>
      </c>
      <c r="L1010">
        <v>53500.800000000003</v>
      </c>
      <c r="M1010">
        <v>1000</v>
      </c>
      <c r="N1010" t="s">
        <v>1161</v>
      </c>
      <c r="O1010" t="s">
        <v>1163</v>
      </c>
      <c r="Q1010" t="str">
        <f t="shared" si="45"/>
        <v>no comment</v>
      </c>
      <c r="R1010">
        <f t="shared" si="46"/>
        <v>1</v>
      </c>
      <c r="S1010" s="6">
        <f t="shared" si="47"/>
        <v>0</v>
      </c>
    </row>
    <row r="1011" spans="1:19" x14ac:dyDescent="0.3">
      <c r="A1011" s="10">
        <v>45685</v>
      </c>
      <c r="B1011" t="s">
        <v>1018</v>
      </c>
      <c r="C1011" t="s">
        <v>1118</v>
      </c>
      <c r="D1011" t="s">
        <v>1134</v>
      </c>
      <c r="E1011" t="s">
        <v>1145</v>
      </c>
      <c r="F1011" t="s">
        <v>1149</v>
      </c>
      <c r="G1011" t="s">
        <v>1153</v>
      </c>
      <c r="H1011">
        <v>2</v>
      </c>
      <c r="I1011">
        <v>27137</v>
      </c>
      <c r="J1011" s="6">
        <v>0</v>
      </c>
      <c r="K1011">
        <v>27137</v>
      </c>
      <c r="L1011">
        <v>54274</v>
      </c>
      <c r="M1011">
        <v>2000</v>
      </c>
      <c r="N1011" t="s">
        <v>1160</v>
      </c>
      <c r="O1011" t="s">
        <v>1164</v>
      </c>
      <c r="P1011" s="10">
        <v>45691</v>
      </c>
      <c r="Q1011" t="str">
        <f t="shared" si="45"/>
        <v>excellent</v>
      </c>
      <c r="R1011">
        <f t="shared" si="46"/>
        <v>3</v>
      </c>
      <c r="S1011" s="6">
        <f t="shared" si="47"/>
        <v>6</v>
      </c>
    </row>
    <row r="1012" spans="1:19" x14ac:dyDescent="0.3">
      <c r="A1012" s="10">
        <v>45686</v>
      </c>
      <c r="B1012" t="s">
        <v>1019</v>
      </c>
      <c r="C1012" t="s">
        <v>1122</v>
      </c>
      <c r="D1012" t="s">
        <v>1136</v>
      </c>
      <c r="E1012" t="s">
        <v>1147</v>
      </c>
      <c r="F1012" t="s">
        <v>1150</v>
      </c>
      <c r="G1012" t="s">
        <v>1156</v>
      </c>
      <c r="H1012">
        <v>3</v>
      </c>
      <c r="I1012">
        <v>25596</v>
      </c>
      <c r="J1012" s="6">
        <v>15</v>
      </c>
      <c r="K1012">
        <v>21756.6</v>
      </c>
      <c r="L1012">
        <v>65269.8</v>
      </c>
      <c r="M1012">
        <v>2000</v>
      </c>
      <c r="N1012" t="s">
        <v>1159</v>
      </c>
      <c r="O1012" t="s">
        <v>1162</v>
      </c>
      <c r="Q1012" t="str">
        <f t="shared" si="45"/>
        <v>okay</v>
      </c>
      <c r="R1012">
        <f t="shared" si="46"/>
        <v>2</v>
      </c>
      <c r="S1012" s="6">
        <f t="shared" si="47"/>
        <v>0</v>
      </c>
    </row>
    <row r="1013" spans="1:19" x14ac:dyDescent="0.3">
      <c r="A1013" s="10">
        <v>45745</v>
      </c>
      <c r="B1013" t="s">
        <v>1020</v>
      </c>
      <c r="C1013" t="s">
        <v>1127</v>
      </c>
      <c r="D1013" t="s">
        <v>1134</v>
      </c>
      <c r="E1013" t="s">
        <v>1141</v>
      </c>
      <c r="F1013" t="s">
        <v>1151</v>
      </c>
      <c r="G1013" t="s">
        <v>1155</v>
      </c>
      <c r="H1013">
        <v>3</v>
      </c>
      <c r="I1013">
        <v>56883</v>
      </c>
      <c r="J1013" s="6">
        <v>5</v>
      </c>
      <c r="K1013">
        <v>54038.85</v>
      </c>
      <c r="L1013">
        <v>162116.54999999999</v>
      </c>
      <c r="M1013">
        <v>1500</v>
      </c>
      <c r="N1013" t="s">
        <v>1159</v>
      </c>
      <c r="O1013" t="s">
        <v>1163</v>
      </c>
      <c r="Q1013" t="str">
        <f t="shared" si="45"/>
        <v>no comment</v>
      </c>
      <c r="R1013">
        <f t="shared" si="46"/>
        <v>1</v>
      </c>
      <c r="S1013" s="6">
        <f t="shared" si="47"/>
        <v>0</v>
      </c>
    </row>
    <row r="1014" spans="1:19" x14ac:dyDescent="0.3">
      <c r="A1014" s="10">
        <v>45752</v>
      </c>
      <c r="B1014" t="s">
        <v>1021</v>
      </c>
      <c r="C1014" t="s">
        <v>1126</v>
      </c>
      <c r="D1014" t="s">
        <v>1133</v>
      </c>
      <c r="E1014" t="s">
        <v>1145</v>
      </c>
      <c r="F1014" t="s">
        <v>1149</v>
      </c>
      <c r="G1014" t="s">
        <v>1153</v>
      </c>
      <c r="H1014">
        <v>3</v>
      </c>
      <c r="I1014">
        <v>12992</v>
      </c>
      <c r="J1014" s="6">
        <v>5</v>
      </c>
      <c r="K1014">
        <v>12342.4</v>
      </c>
      <c r="L1014">
        <v>37027.199999999997</v>
      </c>
      <c r="M1014">
        <v>2000</v>
      </c>
      <c r="N1014" t="s">
        <v>1159</v>
      </c>
      <c r="O1014" t="s">
        <v>1164</v>
      </c>
      <c r="P1014" s="10">
        <v>45756</v>
      </c>
      <c r="Q1014" t="str">
        <f t="shared" si="45"/>
        <v>excellent</v>
      </c>
      <c r="R1014">
        <f t="shared" si="46"/>
        <v>3</v>
      </c>
      <c r="S1014" s="6">
        <f t="shared" si="47"/>
        <v>4</v>
      </c>
    </row>
    <row r="1015" spans="1:19" x14ac:dyDescent="0.3">
      <c r="A1015" s="10">
        <v>45825</v>
      </c>
      <c r="B1015" t="s">
        <v>1022</v>
      </c>
      <c r="C1015" t="s">
        <v>1119</v>
      </c>
      <c r="D1015" t="s">
        <v>1134</v>
      </c>
      <c r="E1015" t="s">
        <v>1137</v>
      </c>
      <c r="F1015" t="s">
        <v>1149</v>
      </c>
      <c r="G1015" t="s">
        <v>1152</v>
      </c>
      <c r="H1015">
        <v>2</v>
      </c>
      <c r="I1015">
        <v>51812</v>
      </c>
      <c r="J1015" s="6">
        <v>0</v>
      </c>
      <c r="K1015">
        <v>51812</v>
      </c>
      <c r="L1015">
        <v>103624</v>
      </c>
      <c r="M1015">
        <v>2000</v>
      </c>
      <c r="N1015" t="s">
        <v>1159</v>
      </c>
      <c r="O1015" t="s">
        <v>1163</v>
      </c>
      <c r="Q1015" t="str">
        <f t="shared" si="45"/>
        <v>no comment</v>
      </c>
      <c r="R1015">
        <f t="shared" si="46"/>
        <v>1</v>
      </c>
      <c r="S1015" s="6">
        <f t="shared" si="47"/>
        <v>0</v>
      </c>
    </row>
    <row r="1016" spans="1:19" x14ac:dyDescent="0.3">
      <c r="A1016" s="10">
        <v>45668</v>
      </c>
      <c r="B1016" t="s">
        <v>1023</v>
      </c>
      <c r="C1016" t="s">
        <v>1127</v>
      </c>
      <c r="D1016" t="s">
        <v>1134</v>
      </c>
      <c r="E1016" t="s">
        <v>1144</v>
      </c>
      <c r="F1016" t="s">
        <v>1151</v>
      </c>
      <c r="G1016" t="s">
        <v>1157</v>
      </c>
      <c r="H1016">
        <v>4</v>
      </c>
      <c r="I1016">
        <v>48092</v>
      </c>
      <c r="J1016" s="6">
        <v>0</v>
      </c>
      <c r="K1016">
        <v>48092</v>
      </c>
      <c r="L1016">
        <v>192368</v>
      </c>
      <c r="M1016">
        <v>2000</v>
      </c>
      <c r="N1016" t="s">
        <v>1159</v>
      </c>
      <c r="O1016" t="s">
        <v>1163</v>
      </c>
      <c r="Q1016" t="str">
        <f t="shared" si="45"/>
        <v>no comment</v>
      </c>
      <c r="R1016">
        <f t="shared" si="46"/>
        <v>1</v>
      </c>
      <c r="S1016" s="6">
        <f t="shared" si="47"/>
        <v>0</v>
      </c>
    </row>
    <row r="1017" spans="1:19" x14ac:dyDescent="0.3">
      <c r="A1017" s="10">
        <v>45831</v>
      </c>
      <c r="B1017" t="s">
        <v>1024</v>
      </c>
      <c r="C1017" t="s">
        <v>1122</v>
      </c>
      <c r="D1017" t="s">
        <v>1136</v>
      </c>
      <c r="E1017" t="s">
        <v>1141</v>
      </c>
      <c r="F1017" t="s">
        <v>1151</v>
      </c>
      <c r="G1017" t="s">
        <v>1155</v>
      </c>
      <c r="H1017">
        <v>5</v>
      </c>
      <c r="I1017">
        <v>14497</v>
      </c>
      <c r="J1017" s="6">
        <v>5</v>
      </c>
      <c r="K1017">
        <v>13772.15</v>
      </c>
      <c r="L1017">
        <v>68860.75</v>
      </c>
      <c r="M1017">
        <v>1000</v>
      </c>
      <c r="N1017" t="s">
        <v>1160</v>
      </c>
      <c r="O1017" t="s">
        <v>1162</v>
      </c>
      <c r="Q1017" t="str">
        <f t="shared" si="45"/>
        <v>okay</v>
      </c>
      <c r="R1017">
        <f t="shared" si="46"/>
        <v>2</v>
      </c>
      <c r="S1017" s="6">
        <f t="shared" si="47"/>
        <v>0</v>
      </c>
    </row>
    <row r="1018" spans="1:19" x14ac:dyDescent="0.3">
      <c r="A1018" s="10">
        <v>45745</v>
      </c>
      <c r="B1018" t="s">
        <v>1025</v>
      </c>
      <c r="C1018" t="s">
        <v>1123</v>
      </c>
      <c r="D1018" t="s">
        <v>1135</v>
      </c>
      <c r="E1018" t="s">
        <v>1148</v>
      </c>
      <c r="F1018" t="s">
        <v>1149</v>
      </c>
      <c r="G1018" t="s">
        <v>1152</v>
      </c>
      <c r="H1018">
        <v>5</v>
      </c>
      <c r="I1018">
        <v>61758</v>
      </c>
      <c r="J1018" s="6">
        <v>20</v>
      </c>
      <c r="K1018">
        <v>49406.400000000001</v>
      </c>
      <c r="L1018">
        <v>247032</v>
      </c>
      <c r="M1018">
        <v>1000</v>
      </c>
      <c r="N1018" t="s">
        <v>1159</v>
      </c>
      <c r="O1018" t="s">
        <v>1163</v>
      </c>
      <c r="Q1018" t="str">
        <f t="shared" si="45"/>
        <v>no comment</v>
      </c>
      <c r="R1018">
        <f t="shared" si="46"/>
        <v>1</v>
      </c>
      <c r="S1018" s="6">
        <f t="shared" si="47"/>
        <v>0</v>
      </c>
    </row>
    <row r="1019" spans="1:19" x14ac:dyDescent="0.3">
      <c r="A1019" s="10">
        <v>45663</v>
      </c>
      <c r="B1019" t="s">
        <v>1026</v>
      </c>
      <c r="C1019" t="s">
        <v>1118</v>
      </c>
      <c r="D1019" t="s">
        <v>1134</v>
      </c>
      <c r="E1019" t="s">
        <v>1142</v>
      </c>
      <c r="F1019" t="s">
        <v>1150</v>
      </c>
      <c r="G1019" t="s">
        <v>1156</v>
      </c>
      <c r="H1019">
        <v>3</v>
      </c>
      <c r="I1019">
        <v>70942</v>
      </c>
      <c r="J1019" s="6">
        <v>5</v>
      </c>
      <c r="K1019">
        <v>67394.899999999994</v>
      </c>
      <c r="L1019">
        <v>202184.7</v>
      </c>
      <c r="M1019">
        <v>2000</v>
      </c>
      <c r="N1019" t="s">
        <v>1160</v>
      </c>
      <c r="O1019" t="s">
        <v>1162</v>
      </c>
      <c r="Q1019" t="str">
        <f t="shared" si="45"/>
        <v>okay</v>
      </c>
      <c r="R1019">
        <f t="shared" si="46"/>
        <v>2</v>
      </c>
      <c r="S1019" s="6">
        <f t="shared" si="47"/>
        <v>0</v>
      </c>
    </row>
    <row r="1020" spans="1:19" x14ac:dyDescent="0.3">
      <c r="A1020" s="10">
        <v>45688</v>
      </c>
      <c r="B1020" t="s">
        <v>1027</v>
      </c>
      <c r="C1020" t="s">
        <v>1128</v>
      </c>
      <c r="D1020" t="s">
        <v>1135</v>
      </c>
      <c r="E1020" t="s">
        <v>1146</v>
      </c>
      <c r="F1020" t="s">
        <v>1151</v>
      </c>
      <c r="G1020" t="s">
        <v>1155</v>
      </c>
      <c r="H1020">
        <v>1</v>
      </c>
      <c r="I1020">
        <v>35540</v>
      </c>
      <c r="J1020" s="6">
        <v>0</v>
      </c>
      <c r="K1020">
        <v>35540</v>
      </c>
      <c r="L1020">
        <v>35540</v>
      </c>
      <c r="M1020">
        <v>1500</v>
      </c>
      <c r="N1020" t="s">
        <v>1159</v>
      </c>
      <c r="O1020" t="s">
        <v>1163</v>
      </c>
      <c r="Q1020" t="str">
        <f t="shared" si="45"/>
        <v>no comment</v>
      </c>
      <c r="R1020">
        <f t="shared" si="46"/>
        <v>1</v>
      </c>
      <c r="S1020" s="6">
        <f t="shared" si="47"/>
        <v>0</v>
      </c>
    </row>
    <row r="1021" spans="1:19" x14ac:dyDescent="0.3">
      <c r="A1021" s="10">
        <v>45728</v>
      </c>
      <c r="B1021" t="s">
        <v>1028</v>
      </c>
      <c r="C1021" t="s">
        <v>1124</v>
      </c>
      <c r="D1021" t="s">
        <v>1135</v>
      </c>
      <c r="E1021" t="s">
        <v>1138</v>
      </c>
      <c r="F1021" t="s">
        <v>1149</v>
      </c>
      <c r="G1021" t="s">
        <v>1153</v>
      </c>
      <c r="H1021">
        <v>3</v>
      </c>
      <c r="I1021">
        <v>35702</v>
      </c>
      <c r="J1021" s="6">
        <v>15</v>
      </c>
      <c r="K1021">
        <v>30346.7</v>
      </c>
      <c r="L1021">
        <v>91040.1</v>
      </c>
      <c r="M1021">
        <v>1500</v>
      </c>
      <c r="N1021" t="s">
        <v>1160</v>
      </c>
      <c r="O1021" t="s">
        <v>1164</v>
      </c>
      <c r="P1021" s="10">
        <v>45740</v>
      </c>
      <c r="Q1021" t="str">
        <f t="shared" si="45"/>
        <v>excellent</v>
      </c>
      <c r="R1021">
        <f t="shared" si="46"/>
        <v>3</v>
      </c>
      <c r="S1021" s="6">
        <f t="shared" si="47"/>
        <v>12</v>
      </c>
    </row>
    <row r="1022" spans="1:19" x14ac:dyDescent="0.3">
      <c r="A1022" s="10">
        <v>45736</v>
      </c>
      <c r="B1022" t="s">
        <v>1029</v>
      </c>
      <c r="C1022" t="s">
        <v>1120</v>
      </c>
      <c r="D1022" t="s">
        <v>1135</v>
      </c>
      <c r="E1022" t="s">
        <v>1140</v>
      </c>
      <c r="F1022" t="s">
        <v>1150</v>
      </c>
      <c r="G1022" t="s">
        <v>1154</v>
      </c>
      <c r="H1022">
        <v>2</v>
      </c>
      <c r="I1022">
        <v>35033</v>
      </c>
      <c r="J1022" s="6">
        <v>5</v>
      </c>
      <c r="K1022">
        <v>33281.35</v>
      </c>
      <c r="L1022">
        <v>66562.7</v>
      </c>
      <c r="M1022">
        <v>1000</v>
      </c>
      <c r="N1022" t="s">
        <v>1159</v>
      </c>
      <c r="O1022" t="s">
        <v>1163</v>
      </c>
      <c r="Q1022" t="str">
        <f t="shared" si="45"/>
        <v>no comment</v>
      </c>
      <c r="R1022">
        <f t="shared" si="46"/>
        <v>1</v>
      </c>
      <c r="S1022" s="6">
        <f t="shared" si="47"/>
        <v>0</v>
      </c>
    </row>
    <row r="1023" spans="1:19" x14ac:dyDescent="0.3">
      <c r="A1023" s="10">
        <v>45744</v>
      </c>
      <c r="B1023" t="s">
        <v>1030</v>
      </c>
      <c r="C1023" t="s">
        <v>1124</v>
      </c>
      <c r="D1023" t="s">
        <v>1135</v>
      </c>
      <c r="E1023" t="s">
        <v>1141</v>
      </c>
      <c r="F1023" t="s">
        <v>1151</v>
      </c>
      <c r="G1023" t="s">
        <v>1155</v>
      </c>
      <c r="H1023">
        <v>2</v>
      </c>
      <c r="I1023">
        <v>73412</v>
      </c>
      <c r="J1023" s="6">
        <v>10</v>
      </c>
      <c r="K1023">
        <v>66070.8</v>
      </c>
      <c r="L1023">
        <v>132141.6</v>
      </c>
      <c r="M1023">
        <v>2000</v>
      </c>
      <c r="N1023" t="s">
        <v>1159</v>
      </c>
      <c r="O1023" t="s">
        <v>1164</v>
      </c>
      <c r="P1023" s="10">
        <v>45750</v>
      </c>
      <c r="Q1023" t="str">
        <f t="shared" si="45"/>
        <v>excellent</v>
      </c>
      <c r="R1023">
        <f t="shared" si="46"/>
        <v>3</v>
      </c>
      <c r="S1023" s="6">
        <f t="shared" si="47"/>
        <v>6</v>
      </c>
    </row>
    <row r="1024" spans="1:19" x14ac:dyDescent="0.3">
      <c r="A1024" s="10">
        <v>45737</v>
      </c>
      <c r="B1024" t="s">
        <v>1031</v>
      </c>
      <c r="C1024" t="s">
        <v>1131</v>
      </c>
      <c r="D1024" t="s">
        <v>1136</v>
      </c>
      <c r="E1024" t="s">
        <v>1138</v>
      </c>
      <c r="F1024" t="s">
        <v>1149</v>
      </c>
      <c r="G1024" t="s">
        <v>1153</v>
      </c>
      <c r="H1024">
        <v>4</v>
      </c>
      <c r="I1024">
        <v>23100</v>
      </c>
      <c r="J1024" s="6">
        <v>20</v>
      </c>
      <c r="K1024">
        <v>18480</v>
      </c>
      <c r="L1024">
        <v>73920</v>
      </c>
      <c r="M1024">
        <v>2000</v>
      </c>
      <c r="N1024" t="s">
        <v>1159</v>
      </c>
      <c r="O1024" t="s">
        <v>1163</v>
      </c>
      <c r="Q1024" t="str">
        <f t="shared" si="45"/>
        <v>no comment</v>
      </c>
      <c r="R1024">
        <f t="shared" si="46"/>
        <v>1</v>
      </c>
      <c r="S1024" s="6">
        <f t="shared" si="47"/>
        <v>0</v>
      </c>
    </row>
    <row r="1025" spans="1:19" x14ac:dyDescent="0.3">
      <c r="A1025" s="10">
        <v>45804</v>
      </c>
      <c r="B1025" t="s">
        <v>1032</v>
      </c>
      <c r="C1025" t="s">
        <v>1124</v>
      </c>
      <c r="D1025" t="s">
        <v>1135</v>
      </c>
      <c r="E1025" t="s">
        <v>1142</v>
      </c>
      <c r="F1025" t="s">
        <v>1150</v>
      </c>
      <c r="G1025" t="s">
        <v>1156</v>
      </c>
      <c r="H1025">
        <v>2</v>
      </c>
      <c r="I1025">
        <v>78169</v>
      </c>
      <c r="J1025" s="6">
        <v>5</v>
      </c>
      <c r="K1025">
        <v>74260.55</v>
      </c>
      <c r="L1025">
        <v>148521.1</v>
      </c>
      <c r="M1025">
        <v>1500</v>
      </c>
      <c r="N1025" t="s">
        <v>1160</v>
      </c>
      <c r="O1025" t="s">
        <v>1162</v>
      </c>
      <c r="Q1025" t="str">
        <f t="shared" si="45"/>
        <v>okay</v>
      </c>
      <c r="R1025">
        <f t="shared" si="46"/>
        <v>2</v>
      </c>
      <c r="S1025" s="6">
        <f t="shared" si="47"/>
        <v>0</v>
      </c>
    </row>
    <row r="1026" spans="1:19" x14ac:dyDescent="0.3">
      <c r="A1026" s="10">
        <v>45813</v>
      </c>
      <c r="B1026" t="s">
        <v>1033</v>
      </c>
      <c r="C1026" t="s">
        <v>1117</v>
      </c>
      <c r="D1026" t="s">
        <v>1133</v>
      </c>
      <c r="E1026" t="s">
        <v>1148</v>
      </c>
      <c r="F1026" t="s">
        <v>1149</v>
      </c>
      <c r="G1026" t="s">
        <v>1152</v>
      </c>
      <c r="H1026">
        <v>1</v>
      </c>
      <c r="I1026">
        <v>61401</v>
      </c>
      <c r="J1026" s="6">
        <v>15</v>
      </c>
      <c r="K1026">
        <v>52190.85</v>
      </c>
      <c r="L1026">
        <v>52190.85</v>
      </c>
      <c r="M1026">
        <v>2000</v>
      </c>
      <c r="N1026" t="s">
        <v>1159</v>
      </c>
      <c r="O1026" t="s">
        <v>1163</v>
      </c>
      <c r="Q1026" t="str">
        <f t="shared" ref="Q1026:Q1089" si="48">IF(O1026="delivered","excellent",IF(O1026="in transit","okay",IF(O1026="failed","no comment")))</f>
        <v>no comment</v>
      </c>
      <c r="R1026">
        <f t="shared" si="46"/>
        <v>1</v>
      </c>
      <c r="S1026" s="6">
        <f t="shared" si="47"/>
        <v>0</v>
      </c>
    </row>
    <row r="1027" spans="1:19" x14ac:dyDescent="0.3">
      <c r="A1027" s="10">
        <v>45804</v>
      </c>
      <c r="B1027" t="s">
        <v>1034</v>
      </c>
      <c r="C1027" t="s">
        <v>1121</v>
      </c>
      <c r="D1027" t="s">
        <v>1136</v>
      </c>
      <c r="E1027" t="s">
        <v>1143</v>
      </c>
      <c r="F1027" t="s">
        <v>1151</v>
      </c>
      <c r="G1027" t="s">
        <v>1157</v>
      </c>
      <c r="H1027">
        <v>3</v>
      </c>
      <c r="I1027">
        <v>7344</v>
      </c>
      <c r="J1027" s="6">
        <v>0</v>
      </c>
      <c r="K1027">
        <v>7344</v>
      </c>
      <c r="L1027">
        <v>22032</v>
      </c>
      <c r="M1027">
        <v>2000</v>
      </c>
      <c r="N1027" t="s">
        <v>1160</v>
      </c>
      <c r="O1027" t="s">
        <v>1164</v>
      </c>
      <c r="P1027" s="10">
        <v>45810</v>
      </c>
      <c r="Q1027" t="str">
        <f t="shared" si="48"/>
        <v>excellent</v>
      </c>
      <c r="R1027">
        <f t="shared" ref="R1027:R1090" si="49">IF(Q1027="excellent",3,IF(Q1027="no comment",1,IF(Q1027="okay",2)))</f>
        <v>3</v>
      </c>
      <c r="S1027" s="6">
        <f t="shared" ref="S1027:S1090" si="50">(IFERROR(DATEDIF(A1027,P1027,"d"),0))</f>
        <v>6</v>
      </c>
    </row>
    <row r="1028" spans="1:19" x14ac:dyDescent="0.3">
      <c r="A1028" s="10">
        <v>45763</v>
      </c>
      <c r="B1028" t="s">
        <v>1035</v>
      </c>
      <c r="C1028" t="s">
        <v>1123</v>
      </c>
      <c r="D1028" t="s">
        <v>1135</v>
      </c>
      <c r="E1028" t="s">
        <v>1145</v>
      </c>
      <c r="F1028" t="s">
        <v>1149</v>
      </c>
      <c r="G1028" t="s">
        <v>1153</v>
      </c>
      <c r="H1028">
        <v>5</v>
      </c>
      <c r="I1028">
        <v>6742</v>
      </c>
      <c r="J1028" s="6">
        <v>10</v>
      </c>
      <c r="K1028">
        <v>6067.8</v>
      </c>
      <c r="L1028">
        <v>30339</v>
      </c>
      <c r="M1028">
        <v>2000</v>
      </c>
      <c r="N1028" t="s">
        <v>1161</v>
      </c>
      <c r="O1028" t="s">
        <v>1162</v>
      </c>
      <c r="Q1028" t="str">
        <f t="shared" si="48"/>
        <v>okay</v>
      </c>
      <c r="R1028">
        <f t="shared" si="49"/>
        <v>2</v>
      </c>
      <c r="S1028" s="6">
        <f t="shared" si="50"/>
        <v>0</v>
      </c>
    </row>
    <row r="1029" spans="1:19" x14ac:dyDescent="0.3">
      <c r="A1029" s="10">
        <v>45676</v>
      </c>
      <c r="B1029" t="s">
        <v>1036</v>
      </c>
      <c r="C1029" t="s">
        <v>1124</v>
      </c>
      <c r="D1029" t="s">
        <v>1135</v>
      </c>
      <c r="E1029" t="s">
        <v>1145</v>
      </c>
      <c r="F1029" t="s">
        <v>1149</v>
      </c>
      <c r="G1029" t="s">
        <v>1153</v>
      </c>
      <c r="H1029">
        <v>1</v>
      </c>
      <c r="I1029">
        <v>72873</v>
      </c>
      <c r="J1029" s="6">
        <v>0</v>
      </c>
      <c r="K1029">
        <v>72873</v>
      </c>
      <c r="L1029">
        <v>72873</v>
      </c>
      <c r="M1029">
        <v>2000</v>
      </c>
      <c r="N1029" t="s">
        <v>1160</v>
      </c>
      <c r="O1029" t="s">
        <v>1163</v>
      </c>
      <c r="Q1029" t="str">
        <f t="shared" si="48"/>
        <v>no comment</v>
      </c>
      <c r="R1029">
        <f t="shared" si="49"/>
        <v>1</v>
      </c>
      <c r="S1029" s="6">
        <f t="shared" si="50"/>
        <v>0</v>
      </c>
    </row>
    <row r="1030" spans="1:19" x14ac:dyDescent="0.3">
      <c r="A1030" s="10">
        <v>45824</v>
      </c>
      <c r="B1030" t="s">
        <v>1037</v>
      </c>
      <c r="C1030" t="s">
        <v>1129</v>
      </c>
      <c r="D1030" t="s">
        <v>1133</v>
      </c>
      <c r="E1030" t="s">
        <v>1145</v>
      </c>
      <c r="F1030" t="s">
        <v>1149</v>
      </c>
      <c r="G1030" t="s">
        <v>1153</v>
      </c>
      <c r="H1030">
        <v>4</v>
      </c>
      <c r="I1030">
        <v>8141</v>
      </c>
      <c r="J1030" s="6">
        <v>10</v>
      </c>
      <c r="K1030">
        <v>6512.8</v>
      </c>
      <c r="L1030">
        <v>26051.200000000001</v>
      </c>
      <c r="M1030">
        <v>1500</v>
      </c>
      <c r="N1030" t="s">
        <v>1160</v>
      </c>
      <c r="O1030" t="s">
        <v>1163</v>
      </c>
      <c r="Q1030" t="str">
        <f t="shared" si="48"/>
        <v>no comment</v>
      </c>
      <c r="R1030">
        <f t="shared" si="49"/>
        <v>1</v>
      </c>
      <c r="S1030" s="6">
        <f t="shared" si="50"/>
        <v>0</v>
      </c>
    </row>
    <row r="1031" spans="1:19" x14ac:dyDescent="0.3">
      <c r="A1031" s="10">
        <v>45792</v>
      </c>
      <c r="B1031" t="s">
        <v>1038</v>
      </c>
      <c r="C1031" t="s">
        <v>1122</v>
      </c>
      <c r="D1031" t="s">
        <v>1136</v>
      </c>
      <c r="E1031" t="s">
        <v>1143</v>
      </c>
      <c r="F1031" t="s">
        <v>1151</v>
      </c>
      <c r="G1031" t="s">
        <v>1157</v>
      </c>
      <c r="H1031">
        <v>1</v>
      </c>
      <c r="I1031">
        <v>14743</v>
      </c>
      <c r="J1031" s="6">
        <v>0</v>
      </c>
      <c r="K1031">
        <v>14743</v>
      </c>
      <c r="L1031">
        <v>14743</v>
      </c>
      <c r="M1031">
        <v>1500</v>
      </c>
      <c r="N1031" t="s">
        <v>1161</v>
      </c>
      <c r="O1031" t="s">
        <v>1162</v>
      </c>
      <c r="Q1031" t="str">
        <f t="shared" si="48"/>
        <v>okay</v>
      </c>
      <c r="R1031">
        <f t="shared" si="49"/>
        <v>2</v>
      </c>
      <c r="S1031" s="6">
        <f t="shared" si="50"/>
        <v>0</v>
      </c>
    </row>
    <row r="1032" spans="1:19" x14ac:dyDescent="0.3">
      <c r="A1032" s="10">
        <v>45812</v>
      </c>
      <c r="B1032" t="s">
        <v>1039</v>
      </c>
      <c r="C1032" t="s">
        <v>1118</v>
      </c>
      <c r="D1032" t="s">
        <v>1134</v>
      </c>
      <c r="E1032" t="s">
        <v>1143</v>
      </c>
      <c r="F1032" t="s">
        <v>1151</v>
      </c>
      <c r="G1032" t="s">
        <v>1157</v>
      </c>
      <c r="H1032">
        <v>4</v>
      </c>
      <c r="I1032">
        <v>77486</v>
      </c>
      <c r="J1032" s="6">
        <v>5</v>
      </c>
      <c r="K1032">
        <v>73611.7</v>
      </c>
      <c r="L1032">
        <v>294446.8</v>
      </c>
      <c r="M1032">
        <v>2000</v>
      </c>
      <c r="N1032" t="s">
        <v>1159</v>
      </c>
      <c r="O1032" t="s">
        <v>1164</v>
      </c>
      <c r="P1032" s="10">
        <v>45825</v>
      </c>
      <c r="Q1032" t="str">
        <f t="shared" si="48"/>
        <v>excellent</v>
      </c>
      <c r="R1032">
        <f t="shared" si="49"/>
        <v>3</v>
      </c>
      <c r="S1032" s="6">
        <f t="shared" si="50"/>
        <v>13</v>
      </c>
    </row>
    <row r="1033" spans="1:19" x14ac:dyDescent="0.3">
      <c r="A1033" s="10">
        <v>45795</v>
      </c>
      <c r="B1033" t="s">
        <v>1040</v>
      </c>
      <c r="C1033" t="s">
        <v>1117</v>
      </c>
      <c r="D1033" t="s">
        <v>1133</v>
      </c>
      <c r="E1033" t="s">
        <v>1147</v>
      </c>
      <c r="F1033" t="s">
        <v>1150</v>
      </c>
      <c r="G1033" t="s">
        <v>1156</v>
      </c>
      <c r="H1033">
        <v>4</v>
      </c>
      <c r="I1033">
        <v>20325</v>
      </c>
      <c r="J1033" s="6">
        <v>0</v>
      </c>
      <c r="K1033">
        <v>20325</v>
      </c>
      <c r="L1033">
        <v>81300</v>
      </c>
      <c r="M1033">
        <v>2000</v>
      </c>
      <c r="N1033" t="s">
        <v>1159</v>
      </c>
      <c r="O1033" t="s">
        <v>1162</v>
      </c>
      <c r="Q1033" t="str">
        <f t="shared" si="48"/>
        <v>okay</v>
      </c>
      <c r="R1033">
        <f t="shared" si="49"/>
        <v>2</v>
      </c>
      <c r="S1033" s="6">
        <f t="shared" si="50"/>
        <v>0</v>
      </c>
    </row>
    <row r="1034" spans="1:19" x14ac:dyDescent="0.3">
      <c r="A1034" s="10">
        <v>45742</v>
      </c>
      <c r="B1034" t="s">
        <v>1041</v>
      </c>
      <c r="C1034" t="s">
        <v>1121</v>
      </c>
      <c r="D1034" t="s">
        <v>1136</v>
      </c>
      <c r="E1034" t="s">
        <v>1138</v>
      </c>
      <c r="F1034" t="s">
        <v>1149</v>
      </c>
      <c r="G1034" t="s">
        <v>1153</v>
      </c>
      <c r="H1034">
        <v>4</v>
      </c>
      <c r="I1034">
        <v>16010</v>
      </c>
      <c r="J1034" s="6">
        <v>20</v>
      </c>
      <c r="K1034">
        <v>12808</v>
      </c>
      <c r="L1034">
        <v>51232</v>
      </c>
      <c r="M1034">
        <v>2000</v>
      </c>
      <c r="N1034" t="s">
        <v>1159</v>
      </c>
      <c r="O1034" t="s">
        <v>1163</v>
      </c>
      <c r="Q1034" t="str">
        <f t="shared" si="48"/>
        <v>no comment</v>
      </c>
      <c r="R1034">
        <f t="shared" si="49"/>
        <v>1</v>
      </c>
      <c r="S1034" s="6">
        <f t="shared" si="50"/>
        <v>0</v>
      </c>
    </row>
    <row r="1035" spans="1:19" x14ac:dyDescent="0.3">
      <c r="A1035" s="10">
        <v>45809</v>
      </c>
      <c r="B1035" t="s">
        <v>1042</v>
      </c>
      <c r="C1035" t="s">
        <v>1122</v>
      </c>
      <c r="D1035" t="s">
        <v>1136</v>
      </c>
      <c r="E1035" t="s">
        <v>1143</v>
      </c>
      <c r="F1035" t="s">
        <v>1151</v>
      </c>
      <c r="G1035" t="s">
        <v>1157</v>
      </c>
      <c r="H1035">
        <v>3</v>
      </c>
      <c r="I1035">
        <v>48413</v>
      </c>
      <c r="J1035" s="6">
        <v>15</v>
      </c>
      <c r="K1035">
        <v>41151.050000000003</v>
      </c>
      <c r="L1035">
        <v>123453.15</v>
      </c>
      <c r="M1035">
        <v>1000</v>
      </c>
      <c r="N1035" t="s">
        <v>1159</v>
      </c>
      <c r="O1035" t="s">
        <v>1164</v>
      </c>
      <c r="P1035" s="10">
        <v>45811</v>
      </c>
      <c r="Q1035" t="str">
        <f t="shared" si="48"/>
        <v>excellent</v>
      </c>
      <c r="R1035">
        <f t="shared" si="49"/>
        <v>3</v>
      </c>
      <c r="S1035" s="6">
        <f t="shared" si="50"/>
        <v>2</v>
      </c>
    </row>
    <row r="1036" spans="1:19" x14ac:dyDescent="0.3">
      <c r="A1036" s="10">
        <v>45818</v>
      </c>
      <c r="B1036" t="s">
        <v>1043</v>
      </c>
      <c r="C1036" t="s">
        <v>1122</v>
      </c>
      <c r="D1036" t="s">
        <v>1136</v>
      </c>
      <c r="E1036" t="s">
        <v>1145</v>
      </c>
      <c r="F1036" t="s">
        <v>1149</v>
      </c>
      <c r="G1036" t="s">
        <v>1153</v>
      </c>
      <c r="H1036">
        <v>2</v>
      </c>
      <c r="I1036">
        <v>14918</v>
      </c>
      <c r="J1036" s="6">
        <v>0</v>
      </c>
      <c r="K1036">
        <v>14918</v>
      </c>
      <c r="L1036">
        <v>29836</v>
      </c>
      <c r="M1036">
        <v>2000</v>
      </c>
      <c r="N1036" t="s">
        <v>1159</v>
      </c>
      <c r="O1036" t="s">
        <v>1162</v>
      </c>
      <c r="Q1036" t="str">
        <f t="shared" si="48"/>
        <v>okay</v>
      </c>
      <c r="R1036">
        <f t="shared" si="49"/>
        <v>2</v>
      </c>
      <c r="S1036" s="6">
        <f t="shared" si="50"/>
        <v>0</v>
      </c>
    </row>
    <row r="1037" spans="1:19" x14ac:dyDescent="0.3">
      <c r="A1037" s="10">
        <v>45785</v>
      </c>
      <c r="B1037" t="s">
        <v>1044</v>
      </c>
      <c r="C1037" t="s">
        <v>1117</v>
      </c>
      <c r="D1037" t="s">
        <v>1133</v>
      </c>
      <c r="E1037" t="s">
        <v>1142</v>
      </c>
      <c r="F1037" t="s">
        <v>1150</v>
      </c>
      <c r="G1037" t="s">
        <v>1156</v>
      </c>
      <c r="H1037">
        <v>1</v>
      </c>
      <c r="I1037">
        <v>19683</v>
      </c>
      <c r="J1037" s="6">
        <v>10</v>
      </c>
      <c r="K1037">
        <v>17714.7</v>
      </c>
      <c r="L1037">
        <v>17714.7</v>
      </c>
      <c r="M1037">
        <v>2000</v>
      </c>
      <c r="N1037" t="s">
        <v>1159</v>
      </c>
      <c r="O1037" t="s">
        <v>1162</v>
      </c>
      <c r="Q1037" t="str">
        <f t="shared" si="48"/>
        <v>okay</v>
      </c>
      <c r="R1037">
        <f t="shared" si="49"/>
        <v>2</v>
      </c>
      <c r="S1037" s="6">
        <f t="shared" si="50"/>
        <v>0</v>
      </c>
    </row>
    <row r="1038" spans="1:19" x14ac:dyDescent="0.3">
      <c r="A1038" s="10">
        <v>45745</v>
      </c>
      <c r="B1038" t="s">
        <v>1045</v>
      </c>
      <c r="C1038" t="s">
        <v>1130</v>
      </c>
      <c r="D1038" t="s">
        <v>1136</v>
      </c>
      <c r="E1038" t="s">
        <v>1139</v>
      </c>
      <c r="F1038" t="s">
        <v>1150</v>
      </c>
      <c r="G1038" t="s">
        <v>1154</v>
      </c>
      <c r="H1038">
        <v>3</v>
      </c>
      <c r="I1038">
        <v>50661</v>
      </c>
      <c r="J1038" s="6">
        <v>15</v>
      </c>
      <c r="K1038">
        <v>43061.85</v>
      </c>
      <c r="L1038">
        <v>129185.55</v>
      </c>
      <c r="M1038">
        <v>2000</v>
      </c>
      <c r="N1038" t="s">
        <v>1159</v>
      </c>
      <c r="O1038" t="s">
        <v>1164</v>
      </c>
      <c r="P1038" s="10">
        <v>45749</v>
      </c>
      <c r="Q1038" t="str">
        <f t="shared" si="48"/>
        <v>excellent</v>
      </c>
      <c r="R1038">
        <f t="shared" si="49"/>
        <v>3</v>
      </c>
      <c r="S1038" s="6">
        <f t="shared" si="50"/>
        <v>4</v>
      </c>
    </row>
    <row r="1039" spans="1:19" x14ac:dyDescent="0.3">
      <c r="A1039" s="10">
        <v>45676</v>
      </c>
      <c r="B1039" t="s">
        <v>1046</v>
      </c>
      <c r="C1039" t="s">
        <v>1125</v>
      </c>
      <c r="D1039" t="s">
        <v>1133</v>
      </c>
      <c r="E1039" t="s">
        <v>1140</v>
      </c>
      <c r="F1039" t="s">
        <v>1150</v>
      </c>
      <c r="G1039" t="s">
        <v>1154</v>
      </c>
      <c r="H1039">
        <v>1</v>
      </c>
      <c r="I1039">
        <v>16418</v>
      </c>
      <c r="J1039" s="6">
        <v>10</v>
      </c>
      <c r="K1039">
        <v>14776.2</v>
      </c>
      <c r="L1039">
        <v>14776.2</v>
      </c>
      <c r="M1039">
        <v>1000</v>
      </c>
      <c r="N1039" t="s">
        <v>1161</v>
      </c>
      <c r="O1039" t="s">
        <v>1162</v>
      </c>
      <c r="Q1039" t="str">
        <f t="shared" si="48"/>
        <v>okay</v>
      </c>
      <c r="R1039">
        <f t="shared" si="49"/>
        <v>2</v>
      </c>
      <c r="S1039" s="6">
        <f t="shared" si="50"/>
        <v>0</v>
      </c>
    </row>
    <row r="1040" spans="1:19" x14ac:dyDescent="0.3">
      <c r="A1040" s="10">
        <v>45770</v>
      </c>
      <c r="B1040" t="s">
        <v>1047</v>
      </c>
      <c r="C1040" t="s">
        <v>1118</v>
      </c>
      <c r="D1040" t="s">
        <v>1134</v>
      </c>
      <c r="E1040" t="s">
        <v>1142</v>
      </c>
      <c r="F1040" t="s">
        <v>1150</v>
      </c>
      <c r="G1040" t="s">
        <v>1156</v>
      </c>
      <c r="H1040">
        <v>2</v>
      </c>
      <c r="I1040">
        <v>64205</v>
      </c>
      <c r="J1040" s="6">
        <v>10</v>
      </c>
      <c r="K1040">
        <v>57784.5</v>
      </c>
      <c r="L1040">
        <v>115569</v>
      </c>
      <c r="M1040">
        <v>2000</v>
      </c>
      <c r="N1040" t="s">
        <v>1161</v>
      </c>
      <c r="O1040" t="s">
        <v>1164</v>
      </c>
      <c r="P1040" s="10">
        <v>45784</v>
      </c>
      <c r="Q1040" t="str">
        <f t="shared" si="48"/>
        <v>excellent</v>
      </c>
      <c r="R1040">
        <f t="shared" si="49"/>
        <v>3</v>
      </c>
      <c r="S1040" s="6">
        <f t="shared" si="50"/>
        <v>14</v>
      </c>
    </row>
    <row r="1041" spans="1:19" x14ac:dyDescent="0.3">
      <c r="A1041" s="10">
        <v>45660</v>
      </c>
      <c r="B1041" t="s">
        <v>1048</v>
      </c>
      <c r="C1041" t="s">
        <v>1120</v>
      </c>
      <c r="D1041" t="s">
        <v>1135</v>
      </c>
      <c r="E1041" t="s">
        <v>1138</v>
      </c>
      <c r="F1041" t="s">
        <v>1149</v>
      </c>
      <c r="G1041" t="s">
        <v>1153</v>
      </c>
      <c r="H1041">
        <v>2</v>
      </c>
      <c r="I1041">
        <v>9457</v>
      </c>
      <c r="J1041" s="6">
        <v>15</v>
      </c>
      <c r="K1041">
        <v>8038.45</v>
      </c>
      <c r="L1041">
        <v>16076.9</v>
      </c>
      <c r="M1041">
        <v>1500</v>
      </c>
      <c r="N1041" t="s">
        <v>1161</v>
      </c>
      <c r="O1041" t="s">
        <v>1164</v>
      </c>
      <c r="P1041" s="10">
        <v>45669</v>
      </c>
      <c r="Q1041" t="str">
        <f t="shared" si="48"/>
        <v>excellent</v>
      </c>
      <c r="R1041">
        <f t="shared" si="49"/>
        <v>3</v>
      </c>
      <c r="S1041" s="6">
        <f t="shared" si="50"/>
        <v>9</v>
      </c>
    </row>
    <row r="1042" spans="1:19" x14ac:dyDescent="0.3">
      <c r="A1042" s="10">
        <v>45821</v>
      </c>
      <c r="B1042" t="s">
        <v>1049</v>
      </c>
      <c r="C1042" t="s">
        <v>1131</v>
      </c>
      <c r="D1042" t="s">
        <v>1136</v>
      </c>
      <c r="E1042" t="s">
        <v>1141</v>
      </c>
      <c r="F1042" t="s">
        <v>1151</v>
      </c>
      <c r="G1042" t="s">
        <v>1155</v>
      </c>
      <c r="H1042">
        <v>3</v>
      </c>
      <c r="I1042">
        <v>31882</v>
      </c>
      <c r="J1042" s="6">
        <v>0</v>
      </c>
      <c r="K1042">
        <v>31882</v>
      </c>
      <c r="L1042">
        <v>95646</v>
      </c>
      <c r="M1042">
        <v>1000</v>
      </c>
      <c r="N1042" t="s">
        <v>1161</v>
      </c>
      <c r="O1042" t="s">
        <v>1163</v>
      </c>
      <c r="Q1042" t="str">
        <f t="shared" si="48"/>
        <v>no comment</v>
      </c>
      <c r="R1042">
        <f t="shared" si="49"/>
        <v>1</v>
      </c>
      <c r="S1042" s="6">
        <f t="shared" si="50"/>
        <v>0</v>
      </c>
    </row>
    <row r="1043" spans="1:19" x14ac:dyDescent="0.3">
      <c r="A1043" s="10">
        <v>45746</v>
      </c>
      <c r="B1043" t="s">
        <v>1050</v>
      </c>
      <c r="C1043" t="s">
        <v>1122</v>
      </c>
      <c r="D1043" t="s">
        <v>1136</v>
      </c>
      <c r="E1043" t="s">
        <v>1144</v>
      </c>
      <c r="F1043" t="s">
        <v>1151</v>
      </c>
      <c r="G1043" t="s">
        <v>1157</v>
      </c>
      <c r="H1043">
        <v>3</v>
      </c>
      <c r="I1043">
        <v>44362</v>
      </c>
      <c r="J1043" s="6">
        <v>0</v>
      </c>
      <c r="K1043">
        <v>44362</v>
      </c>
      <c r="L1043">
        <v>133086</v>
      </c>
      <c r="M1043">
        <v>1000</v>
      </c>
      <c r="N1043" t="s">
        <v>1160</v>
      </c>
      <c r="O1043" t="s">
        <v>1164</v>
      </c>
      <c r="P1043" s="10">
        <v>45760</v>
      </c>
      <c r="Q1043" t="str">
        <f t="shared" si="48"/>
        <v>excellent</v>
      </c>
      <c r="R1043">
        <f t="shared" si="49"/>
        <v>3</v>
      </c>
      <c r="S1043" s="6">
        <f t="shared" si="50"/>
        <v>14</v>
      </c>
    </row>
    <row r="1044" spans="1:19" x14ac:dyDescent="0.3">
      <c r="A1044" s="10">
        <v>45682</v>
      </c>
      <c r="B1044" t="s">
        <v>1051</v>
      </c>
      <c r="C1044" t="s">
        <v>1121</v>
      </c>
      <c r="D1044" t="s">
        <v>1136</v>
      </c>
      <c r="E1044" t="s">
        <v>1145</v>
      </c>
      <c r="F1044" t="s">
        <v>1149</v>
      </c>
      <c r="G1044" t="s">
        <v>1153</v>
      </c>
      <c r="H1044">
        <v>1</v>
      </c>
      <c r="I1044">
        <v>20446</v>
      </c>
      <c r="J1044" s="6">
        <v>20</v>
      </c>
      <c r="K1044">
        <v>16356.8</v>
      </c>
      <c r="L1044">
        <v>16356.8</v>
      </c>
      <c r="M1044">
        <v>1500</v>
      </c>
      <c r="N1044" t="s">
        <v>1159</v>
      </c>
      <c r="O1044" t="s">
        <v>1164</v>
      </c>
      <c r="P1044" s="10">
        <v>45689</v>
      </c>
      <c r="Q1044" t="str">
        <f t="shared" si="48"/>
        <v>excellent</v>
      </c>
      <c r="R1044">
        <f t="shared" si="49"/>
        <v>3</v>
      </c>
      <c r="S1044" s="6">
        <f t="shared" si="50"/>
        <v>7</v>
      </c>
    </row>
    <row r="1045" spans="1:19" x14ac:dyDescent="0.3">
      <c r="A1045" s="10">
        <v>45679</v>
      </c>
      <c r="B1045" t="s">
        <v>1052</v>
      </c>
      <c r="C1045" t="s">
        <v>1120</v>
      </c>
      <c r="D1045" t="s">
        <v>1135</v>
      </c>
      <c r="E1045" t="s">
        <v>1147</v>
      </c>
      <c r="F1045" t="s">
        <v>1150</v>
      </c>
      <c r="G1045" t="s">
        <v>1156</v>
      </c>
      <c r="H1045">
        <v>4</v>
      </c>
      <c r="I1045">
        <v>62962</v>
      </c>
      <c r="J1045" s="6">
        <v>5</v>
      </c>
      <c r="K1045">
        <v>59813.9</v>
      </c>
      <c r="L1045">
        <v>239255.6</v>
      </c>
      <c r="M1045">
        <v>1000</v>
      </c>
      <c r="N1045" t="s">
        <v>1160</v>
      </c>
      <c r="O1045" t="s">
        <v>1162</v>
      </c>
      <c r="Q1045" t="str">
        <f t="shared" si="48"/>
        <v>okay</v>
      </c>
      <c r="R1045">
        <f t="shared" si="49"/>
        <v>2</v>
      </c>
      <c r="S1045" s="6">
        <f t="shared" si="50"/>
        <v>0</v>
      </c>
    </row>
    <row r="1046" spans="1:19" x14ac:dyDescent="0.3">
      <c r="A1046" s="10">
        <v>45750</v>
      </c>
      <c r="B1046" t="s">
        <v>1053</v>
      </c>
      <c r="C1046" t="s">
        <v>1121</v>
      </c>
      <c r="D1046" t="s">
        <v>1136</v>
      </c>
      <c r="E1046" t="s">
        <v>1148</v>
      </c>
      <c r="F1046" t="s">
        <v>1149</v>
      </c>
      <c r="G1046" t="s">
        <v>1152</v>
      </c>
      <c r="H1046">
        <v>3</v>
      </c>
      <c r="I1046">
        <v>18950</v>
      </c>
      <c r="J1046" s="6">
        <v>10</v>
      </c>
      <c r="K1046">
        <v>17055</v>
      </c>
      <c r="L1046">
        <v>51165</v>
      </c>
      <c r="M1046">
        <v>1500</v>
      </c>
      <c r="N1046" t="s">
        <v>1160</v>
      </c>
      <c r="O1046" t="s">
        <v>1164</v>
      </c>
      <c r="P1046" s="10">
        <v>45760</v>
      </c>
      <c r="Q1046" t="str">
        <f t="shared" si="48"/>
        <v>excellent</v>
      </c>
      <c r="R1046">
        <f t="shared" si="49"/>
        <v>3</v>
      </c>
      <c r="S1046" s="6">
        <f t="shared" si="50"/>
        <v>10</v>
      </c>
    </row>
    <row r="1047" spans="1:19" x14ac:dyDescent="0.3">
      <c r="A1047" s="10">
        <v>45736</v>
      </c>
      <c r="B1047" t="s">
        <v>1054</v>
      </c>
      <c r="C1047" t="s">
        <v>1120</v>
      </c>
      <c r="D1047" t="s">
        <v>1135</v>
      </c>
      <c r="E1047" t="s">
        <v>1142</v>
      </c>
      <c r="F1047" t="s">
        <v>1150</v>
      </c>
      <c r="G1047" t="s">
        <v>1156</v>
      </c>
      <c r="H1047">
        <v>5</v>
      </c>
      <c r="I1047">
        <v>20521</v>
      </c>
      <c r="J1047" s="6">
        <v>15</v>
      </c>
      <c r="K1047">
        <v>17442.849999999999</v>
      </c>
      <c r="L1047">
        <v>87214.25</v>
      </c>
      <c r="M1047">
        <v>2000</v>
      </c>
      <c r="N1047" t="s">
        <v>1161</v>
      </c>
      <c r="O1047" t="s">
        <v>1162</v>
      </c>
      <c r="Q1047" t="str">
        <f t="shared" si="48"/>
        <v>okay</v>
      </c>
      <c r="R1047">
        <f t="shared" si="49"/>
        <v>2</v>
      </c>
      <c r="S1047" s="6">
        <f t="shared" si="50"/>
        <v>0</v>
      </c>
    </row>
    <row r="1048" spans="1:19" x14ac:dyDescent="0.3">
      <c r="A1048" s="10">
        <v>45711</v>
      </c>
      <c r="B1048" t="s">
        <v>1055</v>
      </c>
      <c r="C1048" t="s">
        <v>1126</v>
      </c>
      <c r="D1048" t="s">
        <v>1133</v>
      </c>
      <c r="E1048" t="s">
        <v>1143</v>
      </c>
      <c r="F1048" t="s">
        <v>1151</v>
      </c>
      <c r="G1048" t="s">
        <v>1157</v>
      </c>
      <c r="H1048">
        <v>5</v>
      </c>
      <c r="I1048">
        <v>52557</v>
      </c>
      <c r="J1048" s="6">
        <v>0</v>
      </c>
      <c r="K1048">
        <v>52557</v>
      </c>
      <c r="L1048">
        <v>262785</v>
      </c>
      <c r="M1048">
        <v>2000</v>
      </c>
      <c r="N1048" t="s">
        <v>1159</v>
      </c>
      <c r="O1048" t="s">
        <v>1163</v>
      </c>
      <c r="Q1048" t="str">
        <f t="shared" si="48"/>
        <v>no comment</v>
      </c>
      <c r="R1048">
        <f t="shared" si="49"/>
        <v>1</v>
      </c>
      <c r="S1048" s="6">
        <f t="shared" si="50"/>
        <v>0</v>
      </c>
    </row>
    <row r="1049" spans="1:19" x14ac:dyDescent="0.3">
      <c r="A1049" s="10">
        <v>45690</v>
      </c>
      <c r="B1049" t="s">
        <v>1056</v>
      </c>
      <c r="C1049" t="s">
        <v>1117</v>
      </c>
      <c r="D1049" t="s">
        <v>1133</v>
      </c>
      <c r="E1049" t="s">
        <v>1142</v>
      </c>
      <c r="F1049" t="s">
        <v>1150</v>
      </c>
      <c r="G1049" t="s">
        <v>1156</v>
      </c>
      <c r="H1049">
        <v>2</v>
      </c>
      <c r="I1049">
        <v>67896</v>
      </c>
      <c r="J1049" s="6">
        <v>0</v>
      </c>
      <c r="K1049">
        <v>67896</v>
      </c>
      <c r="L1049">
        <v>135792</v>
      </c>
      <c r="M1049">
        <v>1000</v>
      </c>
      <c r="N1049" t="s">
        <v>1160</v>
      </c>
      <c r="O1049" t="s">
        <v>1164</v>
      </c>
      <c r="P1049" s="10">
        <v>45692</v>
      </c>
      <c r="Q1049" t="str">
        <f t="shared" si="48"/>
        <v>excellent</v>
      </c>
      <c r="R1049">
        <f t="shared" si="49"/>
        <v>3</v>
      </c>
      <c r="S1049" s="6">
        <f t="shared" si="50"/>
        <v>2</v>
      </c>
    </row>
    <row r="1050" spans="1:19" x14ac:dyDescent="0.3">
      <c r="A1050" s="10">
        <v>45793</v>
      </c>
      <c r="B1050" t="s">
        <v>1057</v>
      </c>
      <c r="C1050" t="s">
        <v>1118</v>
      </c>
      <c r="D1050" t="s">
        <v>1134</v>
      </c>
      <c r="E1050" t="s">
        <v>1140</v>
      </c>
      <c r="F1050" t="s">
        <v>1150</v>
      </c>
      <c r="G1050" t="s">
        <v>1154</v>
      </c>
      <c r="H1050">
        <v>5</v>
      </c>
      <c r="I1050">
        <v>25557</v>
      </c>
      <c r="J1050" s="6">
        <v>0</v>
      </c>
      <c r="K1050">
        <v>25557</v>
      </c>
      <c r="L1050">
        <v>127785</v>
      </c>
      <c r="M1050">
        <v>1500</v>
      </c>
      <c r="N1050" t="s">
        <v>1161</v>
      </c>
      <c r="O1050" t="s">
        <v>1162</v>
      </c>
      <c r="Q1050" t="str">
        <f t="shared" si="48"/>
        <v>okay</v>
      </c>
      <c r="R1050">
        <f t="shared" si="49"/>
        <v>2</v>
      </c>
      <c r="S1050" s="6">
        <f t="shared" si="50"/>
        <v>0</v>
      </c>
    </row>
    <row r="1051" spans="1:19" x14ac:dyDescent="0.3">
      <c r="A1051" s="10">
        <v>45706</v>
      </c>
      <c r="B1051" t="s">
        <v>1058</v>
      </c>
      <c r="C1051" t="s">
        <v>1125</v>
      </c>
      <c r="D1051" t="s">
        <v>1133</v>
      </c>
      <c r="E1051" t="s">
        <v>1145</v>
      </c>
      <c r="F1051" t="s">
        <v>1149</v>
      </c>
      <c r="G1051" t="s">
        <v>1153</v>
      </c>
      <c r="H1051">
        <v>5</v>
      </c>
      <c r="I1051">
        <v>45449</v>
      </c>
      <c r="J1051" s="6">
        <v>0</v>
      </c>
      <c r="K1051">
        <v>45449</v>
      </c>
      <c r="L1051">
        <v>227245</v>
      </c>
      <c r="M1051">
        <v>1500</v>
      </c>
      <c r="N1051" t="s">
        <v>1159</v>
      </c>
      <c r="O1051" t="s">
        <v>1163</v>
      </c>
      <c r="Q1051" t="str">
        <f t="shared" si="48"/>
        <v>no comment</v>
      </c>
      <c r="R1051">
        <f t="shared" si="49"/>
        <v>1</v>
      </c>
      <c r="S1051" s="6">
        <f t="shared" si="50"/>
        <v>0</v>
      </c>
    </row>
    <row r="1052" spans="1:19" x14ac:dyDescent="0.3">
      <c r="A1052" s="10">
        <v>45731</v>
      </c>
      <c r="B1052" t="s">
        <v>1059</v>
      </c>
      <c r="C1052" t="s">
        <v>1118</v>
      </c>
      <c r="D1052" t="s">
        <v>1134</v>
      </c>
      <c r="E1052" t="s">
        <v>1138</v>
      </c>
      <c r="F1052" t="s">
        <v>1149</v>
      </c>
      <c r="G1052" t="s">
        <v>1153</v>
      </c>
      <c r="H1052">
        <v>5</v>
      </c>
      <c r="I1052">
        <v>8747</v>
      </c>
      <c r="J1052" s="6">
        <v>0</v>
      </c>
      <c r="K1052">
        <v>8747</v>
      </c>
      <c r="L1052">
        <v>43735</v>
      </c>
      <c r="M1052">
        <v>1500</v>
      </c>
      <c r="N1052" t="s">
        <v>1161</v>
      </c>
      <c r="O1052" t="s">
        <v>1162</v>
      </c>
      <c r="Q1052" t="str">
        <f t="shared" si="48"/>
        <v>okay</v>
      </c>
      <c r="R1052">
        <f t="shared" si="49"/>
        <v>2</v>
      </c>
      <c r="S1052" s="6">
        <f t="shared" si="50"/>
        <v>0</v>
      </c>
    </row>
    <row r="1053" spans="1:19" x14ac:dyDescent="0.3">
      <c r="A1053" s="10">
        <v>45755</v>
      </c>
      <c r="B1053" t="s">
        <v>1060</v>
      </c>
      <c r="C1053" t="s">
        <v>1128</v>
      </c>
      <c r="D1053" t="s">
        <v>1135</v>
      </c>
      <c r="E1053" t="s">
        <v>1141</v>
      </c>
      <c r="F1053" t="s">
        <v>1151</v>
      </c>
      <c r="G1053" t="s">
        <v>1155</v>
      </c>
      <c r="H1053">
        <v>4</v>
      </c>
      <c r="I1053">
        <v>72911</v>
      </c>
      <c r="J1053" s="6">
        <v>0</v>
      </c>
      <c r="K1053">
        <v>72911</v>
      </c>
      <c r="L1053">
        <v>291644</v>
      </c>
      <c r="M1053">
        <v>1000</v>
      </c>
      <c r="N1053" t="s">
        <v>1160</v>
      </c>
      <c r="O1053" t="s">
        <v>1164</v>
      </c>
      <c r="P1053" s="10">
        <v>45766</v>
      </c>
      <c r="Q1053" t="str">
        <f t="shared" si="48"/>
        <v>excellent</v>
      </c>
      <c r="R1053">
        <f t="shared" si="49"/>
        <v>3</v>
      </c>
      <c r="S1053" s="6">
        <f t="shared" si="50"/>
        <v>11</v>
      </c>
    </row>
    <row r="1054" spans="1:19" x14ac:dyDescent="0.3">
      <c r="A1054" s="10">
        <v>45774</v>
      </c>
      <c r="B1054" t="s">
        <v>1061</v>
      </c>
      <c r="C1054" t="s">
        <v>1127</v>
      </c>
      <c r="D1054" t="s">
        <v>1134</v>
      </c>
      <c r="E1054" t="s">
        <v>1141</v>
      </c>
      <c r="F1054" t="s">
        <v>1151</v>
      </c>
      <c r="G1054" t="s">
        <v>1155</v>
      </c>
      <c r="H1054">
        <v>4</v>
      </c>
      <c r="I1054">
        <v>63058</v>
      </c>
      <c r="J1054" s="6">
        <v>10</v>
      </c>
      <c r="K1054">
        <v>56752.2</v>
      </c>
      <c r="L1054">
        <v>227008.8</v>
      </c>
      <c r="M1054">
        <v>1000</v>
      </c>
      <c r="N1054" t="s">
        <v>1160</v>
      </c>
      <c r="O1054" t="s">
        <v>1164</v>
      </c>
      <c r="P1054" s="10">
        <v>45783</v>
      </c>
      <c r="Q1054" t="str">
        <f t="shared" si="48"/>
        <v>excellent</v>
      </c>
      <c r="R1054">
        <f t="shared" si="49"/>
        <v>3</v>
      </c>
      <c r="S1054" s="6">
        <f t="shared" si="50"/>
        <v>9</v>
      </c>
    </row>
    <row r="1055" spans="1:19" x14ac:dyDescent="0.3">
      <c r="A1055" s="10">
        <v>45694</v>
      </c>
      <c r="B1055" t="s">
        <v>1062</v>
      </c>
      <c r="C1055" t="s">
        <v>1127</v>
      </c>
      <c r="D1055" t="s">
        <v>1134</v>
      </c>
      <c r="E1055" t="s">
        <v>1145</v>
      </c>
      <c r="F1055" t="s">
        <v>1149</v>
      </c>
      <c r="G1055" t="s">
        <v>1153</v>
      </c>
      <c r="H1055">
        <v>1</v>
      </c>
      <c r="I1055">
        <v>65013</v>
      </c>
      <c r="J1055" s="6">
        <v>10</v>
      </c>
      <c r="K1055">
        <v>58511.7</v>
      </c>
      <c r="L1055">
        <v>58511.7</v>
      </c>
      <c r="M1055">
        <v>1000</v>
      </c>
      <c r="N1055" t="s">
        <v>1160</v>
      </c>
      <c r="O1055" t="s">
        <v>1162</v>
      </c>
      <c r="Q1055" t="str">
        <f t="shared" si="48"/>
        <v>okay</v>
      </c>
      <c r="R1055">
        <f t="shared" si="49"/>
        <v>2</v>
      </c>
      <c r="S1055" s="6">
        <f t="shared" si="50"/>
        <v>0</v>
      </c>
    </row>
    <row r="1056" spans="1:19" x14ac:dyDescent="0.3">
      <c r="A1056" s="10">
        <v>45837</v>
      </c>
      <c r="B1056" t="s">
        <v>1063</v>
      </c>
      <c r="C1056" t="s">
        <v>1122</v>
      </c>
      <c r="D1056" t="s">
        <v>1136</v>
      </c>
      <c r="E1056" t="s">
        <v>1142</v>
      </c>
      <c r="F1056" t="s">
        <v>1150</v>
      </c>
      <c r="G1056" t="s">
        <v>1156</v>
      </c>
      <c r="H1056">
        <v>2</v>
      </c>
      <c r="I1056">
        <v>32820</v>
      </c>
      <c r="J1056" s="6">
        <v>10</v>
      </c>
      <c r="K1056">
        <v>29538</v>
      </c>
      <c r="L1056">
        <v>59076</v>
      </c>
      <c r="M1056">
        <v>1000</v>
      </c>
      <c r="N1056" t="s">
        <v>1160</v>
      </c>
      <c r="O1056" t="s">
        <v>1162</v>
      </c>
      <c r="Q1056" t="str">
        <f t="shared" si="48"/>
        <v>okay</v>
      </c>
      <c r="R1056">
        <f t="shared" si="49"/>
        <v>2</v>
      </c>
      <c r="S1056" s="6">
        <f t="shared" si="50"/>
        <v>0</v>
      </c>
    </row>
    <row r="1057" spans="1:19" x14ac:dyDescent="0.3">
      <c r="A1057" s="10">
        <v>45685</v>
      </c>
      <c r="B1057" t="s">
        <v>1064</v>
      </c>
      <c r="C1057" t="s">
        <v>1126</v>
      </c>
      <c r="D1057" t="s">
        <v>1133</v>
      </c>
      <c r="E1057" t="s">
        <v>1147</v>
      </c>
      <c r="F1057" t="s">
        <v>1150</v>
      </c>
      <c r="G1057" t="s">
        <v>1156</v>
      </c>
      <c r="H1057">
        <v>1</v>
      </c>
      <c r="I1057">
        <v>35301</v>
      </c>
      <c r="J1057" s="6">
        <v>15</v>
      </c>
      <c r="K1057">
        <v>30005.85</v>
      </c>
      <c r="L1057">
        <v>30005.85</v>
      </c>
      <c r="M1057">
        <v>1500</v>
      </c>
      <c r="N1057" t="s">
        <v>1160</v>
      </c>
      <c r="O1057" t="s">
        <v>1162</v>
      </c>
      <c r="Q1057" t="str">
        <f t="shared" si="48"/>
        <v>okay</v>
      </c>
      <c r="R1057">
        <f t="shared" si="49"/>
        <v>2</v>
      </c>
      <c r="S1057" s="6">
        <f t="shared" si="50"/>
        <v>0</v>
      </c>
    </row>
    <row r="1058" spans="1:19" x14ac:dyDescent="0.3">
      <c r="A1058" s="10">
        <v>45786</v>
      </c>
      <c r="B1058" t="s">
        <v>1065</v>
      </c>
      <c r="C1058" t="s">
        <v>1126</v>
      </c>
      <c r="D1058" t="s">
        <v>1133</v>
      </c>
      <c r="E1058" t="s">
        <v>1138</v>
      </c>
      <c r="F1058" t="s">
        <v>1149</v>
      </c>
      <c r="G1058" t="s">
        <v>1153</v>
      </c>
      <c r="H1058">
        <v>2</v>
      </c>
      <c r="I1058">
        <v>10523</v>
      </c>
      <c r="J1058" s="6">
        <v>15</v>
      </c>
      <c r="K1058">
        <v>8944.5499999999993</v>
      </c>
      <c r="L1058">
        <v>17889.099999999999</v>
      </c>
      <c r="M1058">
        <v>2000</v>
      </c>
      <c r="N1058" t="s">
        <v>1159</v>
      </c>
      <c r="O1058" t="s">
        <v>1162</v>
      </c>
      <c r="Q1058" t="str">
        <f t="shared" si="48"/>
        <v>okay</v>
      </c>
      <c r="R1058">
        <f t="shared" si="49"/>
        <v>2</v>
      </c>
      <c r="S1058" s="6">
        <f t="shared" si="50"/>
        <v>0</v>
      </c>
    </row>
    <row r="1059" spans="1:19" x14ac:dyDescent="0.3">
      <c r="A1059" s="10">
        <v>45737</v>
      </c>
      <c r="B1059" t="s">
        <v>1066</v>
      </c>
      <c r="C1059" t="s">
        <v>1129</v>
      </c>
      <c r="D1059" t="s">
        <v>1133</v>
      </c>
      <c r="E1059" t="s">
        <v>1140</v>
      </c>
      <c r="F1059" t="s">
        <v>1150</v>
      </c>
      <c r="G1059" t="s">
        <v>1154</v>
      </c>
      <c r="H1059">
        <v>1</v>
      </c>
      <c r="I1059">
        <v>38536</v>
      </c>
      <c r="J1059" s="6">
        <v>5</v>
      </c>
      <c r="K1059">
        <v>36609.199999999997</v>
      </c>
      <c r="L1059">
        <v>36609.199999999997</v>
      </c>
      <c r="M1059">
        <v>1500</v>
      </c>
      <c r="N1059" t="s">
        <v>1160</v>
      </c>
      <c r="O1059" t="s">
        <v>1164</v>
      </c>
      <c r="P1059" s="10">
        <v>45749</v>
      </c>
      <c r="Q1059" t="str">
        <f t="shared" si="48"/>
        <v>excellent</v>
      </c>
      <c r="R1059">
        <f t="shared" si="49"/>
        <v>3</v>
      </c>
      <c r="S1059" s="6">
        <f t="shared" si="50"/>
        <v>12</v>
      </c>
    </row>
    <row r="1060" spans="1:19" x14ac:dyDescent="0.3">
      <c r="A1060" s="10">
        <v>45685</v>
      </c>
      <c r="B1060" t="s">
        <v>1067</v>
      </c>
      <c r="C1060" t="s">
        <v>1127</v>
      </c>
      <c r="D1060" t="s">
        <v>1134</v>
      </c>
      <c r="E1060" t="s">
        <v>1145</v>
      </c>
      <c r="F1060" t="s">
        <v>1149</v>
      </c>
      <c r="G1060" t="s">
        <v>1153</v>
      </c>
      <c r="H1060">
        <v>3</v>
      </c>
      <c r="I1060">
        <v>50356</v>
      </c>
      <c r="J1060" s="6">
        <v>10</v>
      </c>
      <c r="K1060">
        <v>45320.4</v>
      </c>
      <c r="L1060">
        <v>135961.20000000001</v>
      </c>
      <c r="M1060">
        <v>1000</v>
      </c>
      <c r="N1060" t="s">
        <v>1160</v>
      </c>
      <c r="O1060" t="s">
        <v>1162</v>
      </c>
      <c r="Q1060" t="str">
        <f t="shared" si="48"/>
        <v>okay</v>
      </c>
      <c r="R1060">
        <f t="shared" si="49"/>
        <v>2</v>
      </c>
      <c r="S1060" s="6">
        <f t="shared" si="50"/>
        <v>0</v>
      </c>
    </row>
    <row r="1061" spans="1:19" x14ac:dyDescent="0.3">
      <c r="A1061" s="10">
        <v>45801</v>
      </c>
      <c r="B1061" t="s">
        <v>1068</v>
      </c>
      <c r="C1061" t="s">
        <v>1120</v>
      </c>
      <c r="D1061" t="s">
        <v>1135</v>
      </c>
      <c r="E1061" t="s">
        <v>1139</v>
      </c>
      <c r="F1061" t="s">
        <v>1150</v>
      </c>
      <c r="G1061" t="s">
        <v>1154</v>
      </c>
      <c r="H1061">
        <v>5</v>
      </c>
      <c r="I1061">
        <v>36597</v>
      </c>
      <c r="J1061" s="6">
        <v>10</v>
      </c>
      <c r="K1061">
        <v>32937.300000000003</v>
      </c>
      <c r="L1061">
        <v>164686.5</v>
      </c>
      <c r="M1061">
        <v>1500</v>
      </c>
      <c r="N1061" t="s">
        <v>1161</v>
      </c>
      <c r="O1061" t="s">
        <v>1162</v>
      </c>
      <c r="Q1061" t="str">
        <f t="shared" si="48"/>
        <v>okay</v>
      </c>
      <c r="R1061">
        <f t="shared" si="49"/>
        <v>2</v>
      </c>
      <c r="S1061" s="6">
        <f t="shared" si="50"/>
        <v>0</v>
      </c>
    </row>
    <row r="1062" spans="1:19" x14ac:dyDescent="0.3">
      <c r="A1062" s="10">
        <v>45691</v>
      </c>
      <c r="B1062" t="s">
        <v>1069</v>
      </c>
      <c r="C1062" t="s">
        <v>1122</v>
      </c>
      <c r="D1062" t="s">
        <v>1136</v>
      </c>
      <c r="E1062" t="s">
        <v>1141</v>
      </c>
      <c r="F1062" t="s">
        <v>1151</v>
      </c>
      <c r="G1062" t="s">
        <v>1155</v>
      </c>
      <c r="H1062">
        <v>2</v>
      </c>
      <c r="I1062">
        <v>9019</v>
      </c>
      <c r="J1062" s="6">
        <v>15</v>
      </c>
      <c r="K1062">
        <v>7666.15</v>
      </c>
      <c r="L1062">
        <v>15332.3</v>
      </c>
      <c r="M1062">
        <v>1000</v>
      </c>
      <c r="N1062" t="s">
        <v>1160</v>
      </c>
      <c r="O1062" t="s">
        <v>1163</v>
      </c>
      <c r="Q1062" t="str">
        <f t="shared" si="48"/>
        <v>no comment</v>
      </c>
      <c r="R1062">
        <f t="shared" si="49"/>
        <v>1</v>
      </c>
      <c r="S1062" s="6">
        <f t="shared" si="50"/>
        <v>0</v>
      </c>
    </row>
    <row r="1063" spans="1:19" x14ac:dyDescent="0.3">
      <c r="A1063" s="10">
        <v>45826</v>
      </c>
      <c r="B1063" t="s">
        <v>1070</v>
      </c>
      <c r="C1063" t="s">
        <v>1130</v>
      </c>
      <c r="D1063" t="s">
        <v>1136</v>
      </c>
      <c r="E1063" t="s">
        <v>1144</v>
      </c>
      <c r="F1063" t="s">
        <v>1151</v>
      </c>
      <c r="G1063" t="s">
        <v>1157</v>
      </c>
      <c r="H1063">
        <v>5</v>
      </c>
      <c r="I1063">
        <v>25333</v>
      </c>
      <c r="J1063" s="6">
        <v>20</v>
      </c>
      <c r="K1063">
        <v>20266.400000000001</v>
      </c>
      <c r="L1063">
        <v>101332</v>
      </c>
      <c r="M1063">
        <v>1500</v>
      </c>
      <c r="N1063" t="s">
        <v>1161</v>
      </c>
      <c r="O1063" t="s">
        <v>1164</v>
      </c>
      <c r="P1063" s="10">
        <v>45837</v>
      </c>
      <c r="Q1063" t="str">
        <f t="shared" si="48"/>
        <v>excellent</v>
      </c>
      <c r="R1063">
        <f t="shared" si="49"/>
        <v>3</v>
      </c>
      <c r="S1063" s="6">
        <f t="shared" si="50"/>
        <v>11</v>
      </c>
    </row>
    <row r="1064" spans="1:19" x14ac:dyDescent="0.3">
      <c r="A1064" s="10">
        <v>45664</v>
      </c>
      <c r="B1064" t="s">
        <v>1071</v>
      </c>
      <c r="C1064" t="s">
        <v>1124</v>
      </c>
      <c r="D1064" t="s">
        <v>1135</v>
      </c>
      <c r="E1064" t="s">
        <v>1147</v>
      </c>
      <c r="F1064" t="s">
        <v>1150</v>
      </c>
      <c r="G1064" t="s">
        <v>1156</v>
      </c>
      <c r="H1064">
        <v>5</v>
      </c>
      <c r="I1064">
        <v>12428</v>
      </c>
      <c r="J1064" s="6">
        <v>15</v>
      </c>
      <c r="K1064">
        <v>10563.8</v>
      </c>
      <c r="L1064">
        <v>52819</v>
      </c>
      <c r="M1064">
        <v>2000</v>
      </c>
      <c r="N1064" t="s">
        <v>1161</v>
      </c>
      <c r="O1064" t="s">
        <v>1164</v>
      </c>
      <c r="P1064" s="10">
        <v>45669</v>
      </c>
      <c r="Q1064" t="str">
        <f t="shared" si="48"/>
        <v>excellent</v>
      </c>
      <c r="R1064">
        <f t="shared" si="49"/>
        <v>3</v>
      </c>
      <c r="S1064" s="6">
        <f t="shared" si="50"/>
        <v>5</v>
      </c>
    </row>
    <row r="1065" spans="1:19" x14ac:dyDescent="0.3">
      <c r="A1065" s="10">
        <v>45708</v>
      </c>
      <c r="B1065" t="s">
        <v>1072</v>
      </c>
      <c r="C1065" t="s">
        <v>1124</v>
      </c>
      <c r="D1065" t="s">
        <v>1135</v>
      </c>
      <c r="E1065" t="s">
        <v>1138</v>
      </c>
      <c r="F1065" t="s">
        <v>1149</v>
      </c>
      <c r="G1065" t="s">
        <v>1153</v>
      </c>
      <c r="H1065">
        <v>4</v>
      </c>
      <c r="I1065">
        <v>27392</v>
      </c>
      <c r="J1065" s="6">
        <v>10</v>
      </c>
      <c r="K1065">
        <v>24652.799999999999</v>
      </c>
      <c r="L1065">
        <v>98611.199999999997</v>
      </c>
      <c r="M1065">
        <v>1000</v>
      </c>
      <c r="N1065" t="s">
        <v>1159</v>
      </c>
      <c r="O1065" t="s">
        <v>1163</v>
      </c>
      <c r="Q1065" t="str">
        <f t="shared" si="48"/>
        <v>no comment</v>
      </c>
      <c r="R1065">
        <f t="shared" si="49"/>
        <v>1</v>
      </c>
      <c r="S1065" s="6">
        <f t="shared" si="50"/>
        <v>0</v>
      </c>
    </row>
    <row r="1066" spans="1:19" x14ac:dyDescent="0.3">
      <c r="A1066" s="10">
        <v>45762</v>
      </c>
      <c r="B1066" t="s">
        <v>1073</v>
      </c>
      <c r="C1066" t="s">
        <v>1125</v>
      </c>
      <c r="D1066" t="s">
        <v>1133</v>
      </c>
      <c r="E1066" t="s">
        <v>1147</v>
      </c>
      <c r="F1066" t="s">
        <v>1150</v>
      </c>
      <c r="G1066" t="s">
        <v>1156</v>
      </c>
      <c r="H1066">
        <v>1</v>
      </c>
      <c r="I1066">
        <v>17288</v>
      </c>
      <c r="J1066" s="6">
        <v>15</v>
      </c>
      <c r="K1066">
        <v>14694.8</v>
      </c>
      <c r="L1066">
        <v>14694.8</v>
      </c>
      <c r="M1066">
        <v>1000</v>
      </c>
      <c r="N1066" t="s">
        <v>1159</v>
      </c>
      <c r="O1066" t="s">
        <v>1164</v>
      </c>
      <c r="P1066" s="10">
        <v>45769</v>
      </c>
      <c r="Q1066" t="str">
        <f t="shared" si="48"/>
        <v>excellent</v>
      </c>
      <c r="R1066">
        <f t="shared" si="49"/>
        <v>3</v>
      </c>
      <c r="S1066" s="6">
        <f t="shared" si="50"/>
        <v>7</v>
      </c>
    </row>
    <row r="1067" spans="1:19" x14ac:dyDescent="0.3">
      <c r="A1067" s="10">
        <v>45824</v>
      </c>
      <c r="B1067" t="s">
        <v>1074</v>
      </c>
      <c r="C1067" t="s">
        <v>1120</v>
      </c>
      <c r="D1067" t="s">
        <v>1135</v>
      </c>
      <c r="E1067" t="s">
        <v>1148</v>
      </c>
      <c r="F1067" t="s">
        <v>1149</v>
      </c>
      <c r="G1067" t="s">
        <v>1152</v>
      </c>
      <c r="H1067">
        <v>5</v>
      </c>
      <c r="I1067">
        <v>6935</v>
      </c>
      <c r="J1067" s="6">
        <v>0</v>
      </c>
      <c r="K1067">
        <v>6935</v>
      </c>
      <c r="L1067">
        <v>34675</v>
      </c>
      <c r="M1067">
        <v>2000</v>
      </c>
      <c r="N1067" t="s">
        <v>1160</v>
      </c>
      <c r="O1067" t="s">
        <v>1164</v>
      </c>
      <c r="P1067" s="10">
        <v>45831</v>
      </c>
      <c r="Q1067" t="str">
        <f t="shared" si="48"/>
        <v>excellent</v>
      </c>
      <c r="R1067">
        <f t="shared" si="49"/>
        <v>3</v>
      </c>
      <c r="S1067" s="6">
        <f t="shared" si="50"/>
        <v>7</v>
      </c>
    </row>
    <row r="1068" spans="1:19" x14ac:dyDescent="0.3">
      <c r="A1068" s="10">
        <v>45730</v>
      </c>
      <c r="B1068" t="s">
        <v>1075</v>
      </c>
      <c r="C1068" t="s">
        <v>1123</v>
      </c>
      <c r="D1068" t="s">
        <v>1135</v>
      </c>
      <c r="E1068" t="s">
        <v>1138</v>
      </c>
      <c r="F1068" t="s">
        <v>1149</v>
      </c>
      <c r="G1068" t="s">
        <v>1153</v>
      </c>
      <c r="H1068">
        <v>2</v>
      </c>
      <c r="I1068">
        <v>67231</v>
      </c>
      <c r="J1068" s="6">
        <v>5</v>
      </c>
      <c r="K1068">
        <v>63869.45</v>
      </c>
      <c r="L1068">
        <v>127738.9</v>
      </c>
      <c r="M1068">
        <v>1000</v>
      </c>
      <c r="N1068" t="s">
        <v>1160</v>
      </c>
      <c r="O1068" t="s">
        <v>1163</v>
      </c>
      <c r="Q1068" t="str">
        <f t="shared" si="48"/>
        <v>no comment</v>
      </c>
      <c r="R1068">
        <f t="shared" si="49"/>
        <v>1</v>
      </c>
      <c r="S1068" s="6">
        <f t="shared" si="50"/>
        <v>0</v>
      </c>
    </row>
    <row r="1069" spans="1:19" x14ac:dyDescent="0.3">
      <c r="A1069" s="10">
        <v>45737</v>
      </c>
      <c r="B1069" t="s">
        <v>1076</v>
      </c>
      <c r="C1069" t="s">
        <v>1131</v>
      </c>
      <c r="D1069" t="s">
        <v>1136</v>
      </c>
      <c r="E1069" t="s">
        <v>1147</v>
      </c>
      <c r="F1069" t="s">
        <v>1150</v>
      </c>
      <c r="G1069" t="s">
        <v>1156</v>
      </c>
      <c r="H1069">
        <v>5</v>
      </c>
      <c r="I1069">
        <v>54031</v>
      </c>
      <c r="J1069" s="6">
        <v>15</v>
      </c>
      <c r="K1069">
        <v>45926.35</v>
      </c>
      <c r="L1069">
        <v>229631.75</v>
      </c>
      <c r="M1069">
        <v>1500</v>
      </c>
      <c r="N1069" t="s">
        <v>1160</v>
      </c>
      <c r="O1069" t="s">
        <v>1163</v>
      </c>
      <c r="Q1069" t="str">
        <f t="shared" si="48"/>
        <v>no comment</v>
      </c>
      <c r="R1069">
        <f t="shared" si="49"/>
        <v>1</v>
      </c>
      <c r="S1069" s="6">
        <f t="shared" si="50"/>
        <v>0</v>
      </c>
    </row>
    <row r="1070" spans="1:19" x14ac:dyDescent="0.3">
      <c r="A1070" s="10">
        <v>45830</v>
      </c>
      <c r="B1070" t="s">
        <v>1077</v>
      </c>
      <c r="C1070" t="s">
        <v>1131</v>
      </c>
      <c r="D1070" t="s">
        <v>1136</v>
      </c>
      <c r="E1070" t="s">
        <v>1138</v>
      </c>
      <c r="F1070" t="s">
        <v>1149</v>
      </c>
      <c r="G1070" t="s">
        <v>1153</v>
      </c>
      <c r="H1070">
        <v>1</v>
      </c>
      <c r="I1070">
        <v>57461</v>
      </c>
      <c r="J1070" s="6">
        <v>5</v>
      </c>
      <c r="K1070">
        <v>54587.95</v>
      </c>
      <c r="L1070">
        <v>54587.95</v>
      </c>
      <c r="M1070">
        <v>1000</v>
      </c>
      <c r="N1070" t="s">
        <v>1159</v>
      </c>
      <c r="O1070" t="s">
        <v>1163</v>
      </c>
      <c r="Q1070" t="str">
        <f t="shared" si="48"/>
        <v>no comment</v>
      </c>
      <c r="R1070">
        <f t="shared" si="49"/>
        <v>1</v>
      </c>
      <c r="S1070" s="6">
        <f t="shared" si="50"/>
        <v>0</v>
      </c>
    </row>
    <row r="1071" spans="1:19" x14ac:dyDescent="0.3">
      <c r="A1071" s="10">
        <v>45826</v>
      </c>
      <c r="B1071" t="s">
        <v>1078</v>
      </c>
      <c r="C1071" t="s">
        <v>1123</v>
      </c>
      <c r="D1071" t="s">
        <v>1135</v>
      </c>
      <c r="E1071" t="s">
        <v>1145</v>
      </c>
      <c r="F1071" t="s">
        <v>1149</v>
      </c>
      <c r="G1071" t="s">
        <v>1153</v>
      </c>
      <c r="H1071">
        <v>3</v>
      </c>
      <c r="I1071">
        <v>77969</v>
      </c>
      <c r="J1071" s="6">
        <v>10</v>
      </c>
      <c r="K1071">
        <v>70172.100000000006</v>
      </c>
      <c r="L1071">
        <v>210516.3</v>
      </c>
      <c r="M1071">
        <v>1500</v>
      </c>
      <c r="N1071" t="s">
        <v>1159</v>
      </c>
      <c r="O1071" t="s">
        <v>1162</v>
      </c>
      <c r="Q1071" t="str">
        <f t="shared" si="48"/>
        <v>okay</v>
      </c>
      <c r="R1071">
        <f t="shared" si="49"/>
        <v>2</v>
      </c>
      <c r="S1071" s="6">
        <f t="shared" si="50"/>
        <v>0</v>
      </c>
    </row>
    <row r="1072" spans="1:19" x14ac:dyDescent="0.3">
      <c r="A1072" s="10">
        <v>45778</v>
      </c>
      <c r="B1072" t="s">
        <v>1079</v>
      </c>
      <c r="C1072" t="s">
        <v>1121</v>
      </c>
      <c r="D1072" t="s">
        <v>1136</v>
      </c>
      <c r="E1072" t="s">
        <v>1147</v>
      </c>
      <c r="F1072" t="s">
        <v>1150</v>
      </c>
      <c r="G1072" t="s">
        <v>1156</v>
      </c>
      <c r="H1072">
        <v>3</v>
      </c>
      <c r="I1072">
        <v>4093</v>
      </c>
      <c r="J1072" s="6">
        <v>15</v>
      </c>
      <c r="K1072">
        <v>3479.05</v>
      </c>
      <c r="L1072">
        <v>10437.15</v>
      </c>
      <c r="M1072">
        <v>2000</v>
      </c>
      <c r="N1072" t="s">
        <v>1159</v>
      </c>
      <c r="O1072" t="s">
        <v>1162</v>
      </c>
      <c r="Q1072" t="str">
        <f t="shared" si="48"/>
        <v>okay</v>
      </c>
      <c r="R1072">
        <f t="shared" si="49"/>
        <v>2</v>
      </c>
      <c r="S1072" s="6">
        <f t="shared" si="50"/>
        <v>0</v>
      </c>
    </row>
    <row r="1073" spans="1:19" x14ac:dyDescent="0.3">
      <c r="A1073" s="10">
        <v>45756</v>
      </c>
      <c r="B1073" t="s">
        <v>1080</v>
      </c>
      <c r="C1073" t="s">
        <v>1117</v>
      </c>
      <c r="D1073" t="s">
        <v>1133</v>
      </c>
      <c r="E1073" t="s">
        <v>1144</v>
      </c>
      <c r="F1073" t="s">
        <v>1151</v>
      </c>
      <c r="G1073" t="s">
        <v>1157</v>
      </c>
      <c r="H1073">
        <v>3</v>
      </c>
      <c r="I1073">
        <v>73588</v>
      </c>
      <c r="J1073" s="6">
        <v>15</v>
      </c>
      <c r="K1073">
        <v>62549.8</v>
      </c>
      <c r="L1073">
        <v>187649.4</v>
      </c>
      <c r="M1073">
        <v>1000</v>
      </c>
      <c r="N1073" t="s">
        <v>1161</v>
      </c>
      <c r="O1073" t="s">
        <v>1164</v>
      </c>
      <c r="P1073" s="10">
        <v>45762</v>
      </c>
      <c r="Q1073" t="str">
        <f t="shared" si="48"/>
        <v>excellent</v>
      </c>
      <c r="R1073">
        <f t="shared" si="49"/>
        <v>3</v>
      </c>
      <c r="S1073" s="6">
        <f t="shared" si="50"/>
        <v>6</v>
      </c>
    </row>
    <row r="1074" spans="1:19" x14ac:dyDescent="0.3">
      <c r="A1074" s="10">
        <v>45799</v>
      </c>
      <c r="B1074" t="s">
        <v>1081</v>
      </c>
      <c r="C1074" t="s">
        <v>1118</v>
      </c>
      <c r="D1074" t="s">
        <v>1134</v>
      </c>
      <c r="E1074" t="s">
        <v>1138</v>
      </c>
      <c r="F1074" t="s">
        <v>1149</v>
      </c>
      <c r="G1074" t="s">
        <v>1153</v>
      </c>
      <c r="H1074">
        <v>3</v>
      </c>
      <c r="I1074">
        <v>64020</v>
      </c>
      <c r="J1074" s="6">
        <v>0</v>
      </c>
      <c r="K1074">
        <v>64020</v>
      </c>
      <c r="L1074">
        <v>192060</v>
      </c>
      <c r="M1074">
        <v>1000</v>
      </c>
      <c r="N1074" t="s">
        <v>1160</v>
      </c>
      <c r="O1074" t="s">
        <v>1162</v>
      </c>
      <c r="Q1074" t="str">
        <f t="shared" si="48"/>
        <v>okay</v>
      </c>
      <c r="R1074">
        <f t="shared" si="49"/>
        <v>2</v>
      </c>
      <c r="S1074" s="6">
        <f t="shared" si="50"/>
        <v>0</v>
      </c>
    </row>
    <row r="1075" spans="1:19" x14ac:dyDescent="0.3">
      <c r="A1075" s="10">
        <v>45754</v>
      </c>
      <c r="B1075" t="s">
        <v>1082</v>
      </c>
      <c r="C1075" t="s">
        <v>1122</v>
      </c>
      <c r="D1075" t="s">
        <v>1136</v>
      </c>
      <c r="E1075" t="s">
        <v>1139</v>
      </c>
      <c r="F1075" t="s">
        <v>1150</v>
      </c>
      <c r="G1075" t="s">
        <v>1154</v>
      </c>
      <c r="H1075">
        <v>4</v>
      </c>
      <c r="I1075">
        <v>29903</v>
      </c>
      <c r="J1075" s="6">
        <v>10</v>
      </c>
      <c r="K1075">
        <v>26912.7</v>
      </c>
      <c r="L1075">
        <v>107650.8</v>
      </c>
      <c r="M1075">
        <v>1500</v>
      </c>
      <c r="N1075" t="s">
        <v>1161</v>
      </c>
      <c r="O1075" t="s">
        <v>1162</v>
      </c>
      <c r="Q1075" t="str">
        <f t="shared" si="48"/>
        <v>okay</v>
      </c>
      <c r="R1075">
        <f t="shared" si="49"/>
        <v>2</v>
      </c>
      <c r="S1075" s="6">
        <f t="shared" si="50"/>
        <v>0</v>
      </c>
    </row>
    <row r="1076" spans="1:19" x14ac:dyDescent="0.3">
      <c r="A1076" s="10">
        <v>45740</v>
      </c>
      <c r="B1076" t="s">
        <v>1083</v>
      </c>
      <c r="C1076" t="s">
        <v>1122</v>
      </c>
      <c r="D1076" t="s">
        <v>1136</v>
      </c>
      <c r="E1076" t="s">
        <v>1148</v>
      </c>
      <c r="F1076" t="s">
        <v>1149</v>
      </c>
      <c r="G1076" t="s">
        <v>1152</v>
      </c>
      <c r="H1076">
        <v>5</v>
      </c>
      <c r="I1076">
        <v>7408</v>
      </c>
      <c r="J1076" s="6">
        <v>5</v>
      </c>
      <c r="K1076">
        <v>7037.6</v>
      </c>
      <c r="L1076">
        <v>35188</v>
      </c>
      <c r="M1076">
        <v>1000</v>
      </c>
      <c r="N1076" t="s">
        <v>1160</v>
      </c>
      <c r="O1076" t="s">
        <v>1163</v>
      </c>
      <c r="Q1076" t="str">
        <f t="shared" si="48"/>
        <v>no comment</v>
      </c>
      <c r="R1076">
        <f t="shared" si="49"/>
        <v>1</v>
      </c>
      <c r="S1076" s="6">
        <f t="shared" si="50"/>
        <v>0</v>
      </c>
    </row>
    <row r="1077" spans="1:19" x14ac:dyDescent="0.3">
      <c r="A1077" s="10">
        <v>45660</v>
      </c>
      <c r="B1077" t="s">
        <v>1084</v>
      </c>
      <c r="C1077" t="s">
        <v>1130</v>
      </c>
      <c r="D1077" t="s">
        <v>1136</v>
      </c>
      <c r="E1077" t="s">
        <v>1138</v>
      </c>
      <c r="F1077" t="s">
        <v>1149</v>
      </c>
      <c r="G1077" t="s">
        <v>1153</v>
      </c>
      <c r="H1077">
        <v>1</v>
      </c>
      <c r="I1077">
        <v>15928</v>
      </c>
      <c r="J1077" s="6">
        <v>20</v>
      </c>
      <c r="K1077">
        <v>12742.4</v>
      </c>
      <c r="L1077">
        <v>12742.4</v>
      </c>
      <c r="M1077">
        <v>1000</v>
      </c>
      <c r="N1077" t="s">
        <v>1161</v>
      </c>
      <c r="O1077" t="s">
        <v>1162</v>
      </c>
      <c r="Q1077" t="str">
        <f t="shared" si="48"/>
        <v>okay</v>
      </c>
      <c r="R1077">
        <f t="shared" si="49"/>
        <v>2</v>
      </c>
      <c r="S1077" s="6">
        <f t="shared" si="50"/>
        <v>0</v>
      </c>
    </row>
    <row r="1078" spans="1:19" x14ac:dyDescent="0.3">
      <c r="A1078" s="10">
        <v>45826</v>
      </c>
      <c r="B1078" t="s">
        <v>1085</v>
      </c>
      <c r="C1078" t="s">
        <v>1123</v>
      </c>
      <c r="D1078" t="s">
        <v>1135</v>
      </c>
      <c r="E1078" t="s">
        <v>1145</v>
      </c>
      <c r="F1078" t="s">
        <v>1149</v>
      </c>
      <c r="G1078" t="s">
        <v>1153</v>
      </c>
      <c r="H1078">
        <v>3</v>
      </c>
      <c r="I1078">
        <v>41043</v>
      </c>
      <c r="J1078" s="6">
        <v>20</v>
      </c>
      <c r="K1078">
        <v>32834.400000000001</v>
      </c>
      <c r="L1078">
        <v>98503.200000000012</v>
      </c>
      <c r="M1078">
        <v>2000</v>
      </c>
      <c r="N1078" t="s">
        <v>1159</v>
      </c>
      <c r="O1078" t="s">
        <v>1163</v>
      </c>
      <c r="Q1078" t="str">
        <f t="shared" si="48"/>
        <v>no comment</v>
      </c>
      <c r="R1078">
        <f t="shared" si="49"/>
        <v>1</v>
      </c>
      <c r="S1078" s="6">
        <f t="shared" si="50"/>
        <v>0</v>
      </c>
    </row>
    <row r="1079" spans="1:19" x14ac:dyDescent="0.3">
      <c r="A1079" s="10">
        <v>45816</v>
      </c>
      <c r="B1079" t="s">
        <v>1086</v>
      </c>
      <c r="C1079" t="s">
        <v>1131</v>
      </c>
      <c r="D1079" t="s">
        <v>1136</v>
      </c>
      <c r="E1079" t="s">
        <v>1140</v>
      </c>
      <c r="F1079" t="s">
        <v>1150</v>
      </c>
      <c r="G1079" t="s">
        <v>1154</v>
      </c>
      <c r="H1079">
        <v>2</v>
      </c>
      <c r="I1079">
        <v>15433</v>
      </c>
      <c r="J1079" s="6">
        <v>5</v>
      </c>
      <c r="K1079">
        <v>14661.35</v>
      </c>
      <c r="L1079">
        <v>29322.7</v>
      </c>
      <c r="M1079">
        <v>1000</v>
      </c>
      <c r="N1079" t="s">
        <v>1161</v>
      </c>
      <c r="O1079" t="s">
        <v>1162</v>
      </c>
      <c r="Q1079" t="str">
        <f t="shared" si="48"/>
        <v>okay</v>
      </c>
      <c r="R1079">
        <f t="shared" si="49"/>
        <v>2</v>
      </c>
      <c r="S1079" s="6">
        <f t="shared" si="50"/>
        <v>0</v>
      </c>
    </row>
    <row r="1080" spans="1:19" x14ac:dyDescent="0.3">
      <c r="A1080" s="10">
        <v>45789</v>
      </c>
      <c r="B1080" t="s">
        <v>1087</v>
      </c>
      <c r="C1080" t="s">
        <v>1124</v>
      </c>
      <c r="D1080" t="s">
        <v>1135</v>
      </c>
      <c r="E1080" t="s">
        <v>1146</v>
      </c>
      <c r="F1080" t="s">
        <v>1151</v>
      </c>
      <c r="G1080" t="s">
        <v>1155</v>
      </c>
      <c r="H1080">
        <v>1</v>
      </c>
      <c r="I1080">
        <v>43136</v>
      </c>
      <c r="J1080" s="6">
        <v>5</v>
      </c>
      <c r="K1080">
        <v>40979.199999999997</v>
      </c>
      <c r="L1080">
        <v>40979.199999999997</v>
      </c>
      <c r="M1080">
        <v>2000</v>
      </c>
      <c r="N1080" t="s">
        <v>1159</v>
      </c>
      <c r="O1080" t="s">
        <v>1162</v>
      </c>
      <c r="Q1080" t="str">
        <f t="shared" si="48"/>
        <v>okay</v>
      </c>
      <c r="R1080">
        <f t="shared" si="49"/>
        <v>2</v>
      </c>
      <c r="S1080" s="6">
        <f t="shared" si="50"/>
        <v>0</v>
      </c>
    </row>
    <row r="1081" spans="1:19" x14ac:dyDescent="0.3">
      <c r="A1081" s="10">
        <v>45825</v>
      </c>
      <c r="B1081" t="s">
        <v>1088</v>
      </c>
      <c r="C1081" t="s">
        <v>1126</v>
      </c>
      <c r="D1081" t="s">
        <v>1133</v>
      </c>
      <c r="E1081" t="s">
        <v>1141</v>
      </c>
      <c r="F1081" t="s">
        <v>1151</v>
      </c>
      <c r="G1081" t="s">
        <v>1155</v>
      </c>
      <c r="H1081">
        <v>3</v>
      </c>
      <c r="I1081">
        <v>15379</v>
      </c>
      <c r="J1081" s="6">
        <v>5</v>
      </c>
      <c r="K1081">
        <v>14610.05</v>
      </c>
      <c r="L1081">
        <v>43830.149999999987</v>
      </c>
      <c r="M1081">
        <v>1500</v>
      </c>
      <c r="N1081" t="s">
        <v>1159</v>
      </c>
      <c r="O1081" t="s">
        <v>1162</v>
      </c>
      <c r="Q1081" t="str">
        <f t="shared" si="48"/>
        <v>okay</v>
      </c>
      <c r="R1081">
        <f t="shared" si="49"/>
        <v>2</v>
      </c>
      <c r="S1081" s="6">
        <f t="shared" si="50"/>
        <v>0</v>
      </c>
    </row>
    <row r="1082" spans="1:19" x14ac:dyDescent="0.3">
      <c r="A1082" s="10">
        <v>45797</v>
      </c>
      <c r="B1082" t="s">
        <v>1089</v>
      </c>
      <c r="C1082" t="s">
        <v>1132</v>
      </c>
      <c r="D1082" t="s">
        <v>1134</v>
      </c>
      <c r="E1082" t="s">
        <v>1138</v>
      </c>
      <c r="F1082" t="s">
        <v>1149</v>
      </c>
      <c r="G1082" t="s">
        <v>1153</v>
      </c>
      <c r="H1082">
        <v>4</v>
      </c>
      <c r="I1082">
        <v>21600</v>
      </c>
      <c r="J1082" s="6">
        <v>20</v>
      </c>
      <c r="K1082">
        <v>17280</v>
      </c>
      <c r="L1082">
        <v>69120</v>
      </c>
      <c r="M1082">
        <v>1000</v>
      </c>
      <c r="N1082" t="s">
        <v>1159</v>
      </c>
      <c r="O1082" t="s">
        <v>1162</v>
      </c>
      <c r="Q1082" t="str">
        <f t="shared" si="48"/>
        <v>okay</v>
      </c>
      <c r="R1082">
        <f t="shared" si="49"/>
        <v>2</v>
      </c>
      <c r="S1082" s="6">
        <f t="shared" si="50"/>
        <v>0</v>
      </c>
    </row>
    <row r="1083" spans="1:19" x14ac:dyDescent="0.3">
      <c r="A1083" s="10">
        <v>45673</v>
      </c>
      <c r="B1083" t="s">
        <v>1090</v>
      </c>
      <c r="C1083" t="s">
        <v>1123</v>
      </c>
      <c r="D1083" t="s">
        <v>1135</v>
      </c>
      <c r="E1083" t="s">
        <v>1146</v>
      </c>
      <c r="F1083" t="s">
        <v>1151</v>
      </c>
      <c r="G1083" t="s">
        <v>1155</v>
      </c>
      <c r="H1083">
        <v>2</v>
      </c>
      <c r="I1083">
        <v>59531</v>
      </c>
      <c r="J1083" s="6">
        <v>5</v>
      </c>
      <c r="K1083">
        <v>56554.45</v>
      </c>
      <c r="L1083">
        <v>113108.9</v>
      </c>
      <c r="M1083">
        <v>1000</v>
      </c>
      <c r="N1083" t="s">
        <v>1159</v>
      </c>
      <c r="O1083" t="s">
        <v>1164</v>
      </c>
      <c r="P1083" s="10">
        <v>45678</v>
      </c>
      <c r="Q1083" t="str">
        <f t="shared" si="48"/>
        <v>excellent</v>
      </c>
      <c r="R1083">
        <f t="shared" si="49"/>
        <v>3</v>
      </c>
      <c r="S1083" s="6">
        <f t="shared" si="50"/>
        <v>5</v>
      </c>
    </row>
    <row r="1084" spans="1:19" x14ac:dyDescent="0.3">
      <c r="A1084" s="10">
        <v>45754</v>
      </c>
      <c r="B1084" t="s">
        <v>1091</v>
      </c>
      <c r="C1084" t="s">
        <v>1120</v>
      </c>
      <c r="D1084" t="s">
        <v>1135</v>
      </c>
      <c r="E1084" t="s">
        <v>1139</v>
      </c>
      <c r="F1084" t="s">
        <v>1150</v>
      </c>
      <c r="G1084" t="s">
        <v>1154</v>
      </c>
      <c r="H1084">
        <v>4</v>
      </c>
      <c r="I1084">
        <v>10302</v>
      </c>
      <c r="J1084" s="6">
        <v>10</v>
      </c>
      <c r="K1084">
        <v>9271.7999999999993</v>
      </c>
      <c r="L1084">
        <v>37087.199999999997</v>
      </c>
      <c r="M1084">
        <v>1000</v>
      </c>
      <c r="N1084" t="s">
        <v>1161</v>
      </c>
      <c r="O1084" t="s">
        <v>1162</v>
      </c>
      <c r="Q1084" t="str">
        <f t="shared" si="48"/>
        <v>okay</v>
      </c>
      <c r="R1084">
        <f t="shared" si="49"/>
        <v>2</v>
      </c>
      <c r="S1084" s="6">
        <f t="shared" si="50"/>
        <v>0</v>
      </c>
    </row>
    <row r="1085" spans="1:19" x14ac:dyDescent="0.3">
      <c r="A1085" s="10">
        <v>45808</v>
      </c>
      <c r="B1085" t="s">
        <v>1092</v>
      </c>
      <c r="C1085" t="s">
        <v>1118</v>
      </c>
      <c r="D1085" t="s">
        <v>1134</v>
      </c>
      <c r="E1085" t="s">
        <v>1139</v>
      </c>
      <c r="F1085" t="s">
        <v>1150</v>
      </c>
      <c r="G1085" t="s">
        <v>1154</v>
      </c>
      <c r="H1085">
        <v>1</v>
      </c>
      <c r="I1085">
        <v>46478</v>
      </c>
      <c r="J1085" s="6">
        <v>15</v>
      </c>
      <c r="K1085">
        <v>39506.300000000003</v>
      </c>
      <c r="L1085">
        <v>39506.300000000003</v>
      </c>
      <c r="M1085">
        <v>1000</v>
      </c>
      <c r="N1085" t="s">
        <v>1159</v>
      </c>
      <c r="O1085" t="s">
        <v>1162</v>
      </c>
      <c r="Q1085" t="str">
        <f t="shared" si="48"/>
        <v>okay</v>
      </c>
      <c r="R1085">
        <f t="shared" si="49"/>
        <v>2</v>
      </c>
      <c r="S1085" s="6">
        <f t="shared" si="50"/>
        <v>0</v>
      </c>
    </row>
    <row r="1086" spans="1:19" x14ac:dyDescent="0.3">
      <c r="A1086" s="10">
        <v>45672</v>
      </c>
      <c r="B1086" t="s">
        <v>1093</v>
      </c>
      <c r="C1086" t="s">
        <v>1131</v>
      </c>
      <c r="D1086" t="s">
        <v>1136</v>
      </c>
      <c r="E1086" t="s">
        <v>1143</v>
      </c>
      <c r="F1086" t="s">
        <v>1151</v>
      </c>
      <c r="G1086" t="s">
        <v>1157</v>
      </c>
      <c r="H1086">
        <v>2</v>
      </c>
      <c r="I1086">
        <v>58734</v>
      </c>
      <c r="J1086" s="6">
        <v>20</v>
      </c>
      <c r="K1086">
        <v>46987.199999999997</v>
      </c>
      <c r="L1086">
        <v>93974.399999999994</v>
      </c>
      <c r="M1086">
        <v>1000</v>
      </c>
      <c r="N1086" t="s">
        <v>1160</v>
      </c>
      <c r="O1086" t="s">
        <v>1164</v>
      </c>
      <c r="P1086" s="10">
        <v>45685</v>
      </c>
      <c r="Q1086" t="str">
        <f t="shared" si="48"/>
        <v>excellent</v>
      </c>
      <c r="R1086">
        <f t="shared" si="49"/>
        <v>3</v>
      </c>
      <c r="S1086" s="6">
        <f t="shared" si="50"/>
        <v>13</v>
      </c>
    </row>
    <row r="1087" spans="1:19" x14ac:dyDescent="0.3">
      <c r="A1087" s="10">
        <v>45740</v>
      </c>
      <c r="B1087" t="s">
        <v>1094</v>
      </c>
      <c r="C1087" t="s">
        <v>1131</v>
      </c>
      <c r="D1087" t="s">
        <v>1136</v>
      </c>
      <c r="E1087" t="s">
        <v>1148</v>
      </c>
      <c r="F1087" t="s">
        <v>1149</v>
      </c>
      <c r="G1087" t="s">
        <v>1152</v>
      </c>
      <c r="H1087">
        <v>5</v>
      </c>
      <c r="I1087">
        <v>37133</v>
      </c>
      <c r="J1087" s="6">
        <v>10</v>
      </c>
      <c r="K1087">
        <v>33419.699999999997</v>
      </c>
      <c r="L1087">
        <v>167098.5</v>
      </c>
      <c r="M1087">
        <v>2000</v>
      </c>
      <c r="N1087" t="s">
        <v>1161</v>
      </c>
      <c r="O1087" t="s">
        <v>1164</v>
      </c>
      <c r="P1087" s="10">
        <v>45751</v>
      </c>
      <c r="Q1087" t="str">
        <f t="shared" si="48"/>
        <v>excellent</v>
      </c>
      <c r="R1087">
        <f t="shared" si="49"/>
        <v>3</v>
      </c>
      <c r="S1087" s="6">
        <f t="shared" si="50"/>
        <v>11</v>
      </c>
    </row>
    <row r="1088" spans="1:19" x14ac:dyDescent="0.3">
      <c r="A1088" s="10">
        <v>45760</v>
      </c>
      <c r="B1088" t="s">
        <v>1095</v>
      </c>
      <c r="C1088" t="s">
        <v>1120</v>
      </c>
      <c r="D1088" t="s">
        <v>1135</v>
      </c>
      <c r="E1088" t="s">
        <v>1144</v>
      </c>
      <c r="F1088" t="s">
        <v>1151</v>
      </c>
      <c r="G1088" t="s">
        <v>1157</v>
      </c>
      <c r="H1088">
        <v>1</v>
      </c>
      <c r="I1088">
        <v>43632</v>
      </c>
      <c r="J1088" s="6">
        <v>10</v>
      </c>
      <c r="K1088">
        <v>39268.800000000003</v>
      </c>
      <c r="L1088">
        <v>39268.800000000003</v>
      </c>
      <c r="M1088">
        <v>1000</v>
      </c>
      <c r="N1088" t="s">
        <v>1159</v>
      </c>
      <c r="O1088" t="s">
        <v>1164</v>
      </c>
      <c r="P1088" s="10">
        <v>45772</v>
      </c>
      <c r="Q1088" t="str">
        <f t="shared" si="48"/>
        <v>excellent</v>
      </c>
      <c r="R1088">
        <f t="shared" si="49"/>
        <v>3</v>
      </c>
      <c r="S1088" s="6">
        <f t="shared" si="50"/>
        <v>12</v>
      </c>
    </row>
    <row r="1089" spans="1:19" x14ac:dyDescent="0.3">
      <c r="A1089" s="10">
        <v>45703</v>
      </c>
      <c r="B1089" t="s">
        <v>1096</v>
      </c>
      <c r="C1089" t="s">
        <v>1122</v>
      </c>
      <c r="D1089" t="s">
        <v>1136</v>
      </c>
      <c r="E1089" t="s">
        <v>1146</v>
      </c>
      <c r="F1089" t="s">
        <v>1151</v>
      </c>
      <c r="G1089" t="s">
        <v>1155</v>
      </c>
      <c r="H1089">
        <v>4</v>
      </c>
      <c r="I1089">
        <v>57084</v>
      </c>
      <c r="J1089" s="6">
        <v>0</v>
      </c>
      <c r="K1089">
        <v>57084</v>
      </c>
      <c r="L1089">
        <v>228336</v>
      </c>
      <c r="M1089">
        <v>2000</v>
      </c>
      <c r="N1089" t="s">
        <v>1159</v>
      </c>
      <c r="O1089" t="s">
        <v>1162</v>
      </c>
      <c r="Q1089" t="str">
        <f t="shared" si="48"/>
        <v>okay</v>
      </c>
      <c r="R1089">
        <f t="shared" si="49"/>
        <v>2</v>
      </c>
      <c r="S1089" s="6">
        <f t="shared" si="50"/>
        <v>0</v>
      </c>
    </row>
    <row r="1090" spans="1:19" x14ac:dyDescent="0.3">
      <c r="A1090" s="10">
        <v>45751</v>
      </c>
      <c r="B1090" t="s">
        <v>1097</v>
      </c>
      <c r="C1090" t="s">
        <v>1125</v>
      </c>
      <c r="D1090" t="s">
        <v>1133</v>
      </c>
      <c r="E1090" t="s">
        <v>1148</v>
      </c>
      <c r="F1090" t="s">
        <v>1149</v>
      </c>
      <c r="G1090" t="s">
        <v>1152</v>
      </c>
      <c r="H1090">
        <v>2</v>
      </c>
      <c r="I1090">
        <v>79549</v>
      </c>
      <c r="J1090" s="6">
        <v>10</v>
      </c>
      <c r="K1090">
        <v>71594.100000000006</v>
      </c>
      <c r="L1090">
        <v>143188.20000000001</v>
      </c>
      <c r="M1090">
        <v>1500</v>
      </c>
      <c r="N1090" t="s">
        <v>1160</v>
      </c>
      <c r="O1090" t="s">
        <v>1164</v>
      </c>
      <c r="P1090" s="10">
        <v>45761</v>
      </c>
      <c r="Q1090" t="str">
        <f t="shared" ref="Q1090:Q1112" si="51">IF(O1090="delivered","excellent",IF(O1090="in transit","okay",IF(O1090="failed","no comment")))</f>
        <v>excellent</v>
      </c>
      <c r="R1090">
        <f t="shared" si="49"/>
        <v>3</v>
      </c>
      <c r="S1090" s="6">
        <f t="shared" si="50"/>
        <v>10</v>
      </c>
    </row>
    <row r="1091" spans="1:19" x14ac:dyDescent="0.3">
      <c r="A1091" s="10">
        <v>45786</v>
      </c>
      <c r="B1091" t="s">
        <v>1098</v>
      </c>
      <c r="C1091" t="s">
        <v>1132</v>
      </c>
      <c r="D1091" t="s">
        <v>1134</v>
      </c>
      <c r="E1091" t="s">
        <v>1145</v>
      </c>
      <c r="F1091" t="s">
        <v>1149</v>
      </c>
      <c r="G1091" t="s">
        <v>1153</v>
      </c>
      <c r="H1091">
        <v>5</v>
      </c>
      <c r="I1091">
        <v>61500</v>
      </c>
      <c r="J1091" s="6">
        <v>20</v>
      </c>
      <c r="K1091">
        <v>49200</v>
      </c>
      <c r="L1091">
        <v>246000</v>
      </c>
      <c r="M1091">
        <v>2000</v>
      </c>
      <c r="N1091" t="s">
        <v>1160</v>
      </c>
      <c r="O1091" t="s">
        <v>1162</v>
      </c>
      <c r="Q1091" t="str">
        <f t="shared" si="51"/>
        <v>okay</v>
      </c>
      <c r="R1091">
        <f t="shared" ref="R1091:R1112" si="52">IF(Q1091="excellent",3,IF(Q1091="no comment",1,IF(Q1091="okay",2)))</f>
        <v>2</v>
      </c>
      <c r="S1091" s="6">
        <f t="shared" ref="S1091:S1112" si="53">(IFERROR(DATEDIF(A1091,P1091,"d"),0))</f>
        <v>0</v>
      </c>
    </row>
    <row r="1092" spans="1:19" x14ac:dyDescent="0.3">
      <c r="A1092" s="10">
        <v>45783</v>
      </c>
      <c r="B1092" t="s">
        <v>1099</v>
      </c>
      <c r="C1092" t="s">
        <v>1128</v>
      </c>
      <c r="D1092" t="s">
        <v>1135</v>
      </c>
      <c r="E1092" t="s">
        <v>1141</v>
      </c>
      <c r="F1092" t="s">
        <v>1151</v>
      </c>
      <c r="G1092" t="s">
        <v>1155</v>
      </c>
      <c r="H1092">
        <v>5</v>
      </c>
      <c r="I1092">
        <v>54637</v>
      </c>
      <c r="J1092" s="6">
        <v>20</v>
      </c>
      <c r="K1092">
        <v>43709.599999999999</v>
      </c>
      <c r="L1092">
        <v>218548</v>
      </c>
      <c r="M1092">
        <v>2000</v>
      </c>
      <c r="N1092" t="s">
        <v>1160</v>
      </c>
      <c r="O1092" t="s">
        <v>1164</v>
      </c>
      <c r="P1092" s="10">
        <v>45795</v>
      </c>
      <c r="Q1092" t="str">
        <f t="shared" si="51"/>
        <v>excellent</v>
      </c>
      <c r="R1092">
        <f t="shared" si="52"/>
        <v>3</v>
      </c>
      <c r="S1092" s="6">
        <f t="shared" si="53"/>
        <v>12</v>
      </c>
    </row>
    <row r="1093" spans="1:19" x14ac:dyDescent="0.3">
      <c r="A1093" s="10">
        <v>45715</v>
      </c>
      <c r="B1093" t="s">
        <v>1100</v>
      </c>
      <c r="C1093" t="s">
        <v>1125</v>
      </c>
      <c r="D1093" t="s">
        <v>1133</v>
      </c>
      <c r="E1093" t="s">
        <v>1139</v>
      </c>
      <c r="F1093" t="s">
        <v>1150</v>
      </c>
      <c r="G1093" t="s">
        <v>1154</v>
      </c>
      <c r="H1093">
        <v>5</v>
      </c>
      <c r="I1093">
        <v>37144</v>
      </c>
      <c r="J1093" s="6">
        <v>15</v>
      </c>
      <c r="K1093">
        <v>31572.400000000001</v>
      </c>
      <c r="L1093">
        <v>157862</v>
      </c>
      <c r="M1093">
        <v>2000</v>
      </c>
      <c r="N1093" t="s">
        <v>1159</v>
      </c>
      <c r="O1093" t="s">
        <v>1163</v>
      </c>
      <c r="Q1093" t="str">
        <f t="shared" si="51"/>
        <v>no comment</v>
      </c>
      <c r="R1093">
        <f t="shared" si="52"/>
        <v>1</v>
      </c>
      <c r="S1093" s="6">
        <f t="shared" si="53"/>
        <v>0</v>
      </c>
    </row>
    <row r="1094" spans="1:19" x14ac:dyDescent="0.3">
      <c r="A1094" s="10">
        <v>45719</v>
      </c>
      <c r="B1094" t="s">
        <v>1101</v>
      </c>
      <c r="C1094" t="s">
        <v>1124</v>
      </c>
      <c r="D1094" t="s">
        <v>1135</v>
      </c>
      <c r="E1094" t="s">
        <v>1144</v>
      </c>
      <c r="F1094" t="s">
        <v>1151</v>
      </c>
      <c r="G1094" t="s">
        <v>1157</v>
      </c>
      <c r="H1094">
        <v>2</v>
      </c>
      <c r="I1094">
        <v>2067</v>
      </c>
      <c r="J1094" s="6">
        <v>20</v>
      </c>
      <c r="K1094">
        <v>1653.6</v>
      </c>
      <c r="L1094">
        <v>3307.2</v>
      </c>
      <c r="M1094">
        <v>1000</v>
      </c>
      <c r="N1094" t="s">
        <v>1160</v>
      </c>
      <c r="O1094" t="s">
        <v>1163</v>
      </c>
      <c r="Q1094" t="str">
        <f t="shared" si="51"/>
        <v>no comment</v>
      </c>
      <c r="R1094">
        <f t="shared" si="52"/>
        <v>1</v>
      </c>
      <c r="S1094" s="6">
        <f t="shared" si="53"/>
        <v>0</v>
      </c>
    </row>
    <row r="1095" spans="1:19" x14ac:dyDescent="0.3">
      <c r="A1095" s="10">
        <v>45731</v>
      </c>
      <c r="B1095" t="s">
        <v>1102</v>
      </c>
      <c r="C1095" t="s">
        <v>1128</v>
      </c>
      <c r="D1095" t="s">
        <v>1135</v>
      </c>
      <c r="E1095" t="s">
        <v>1146</v>
      </c>
      <c r="F1095" t="s">
        <v>1151</v>
      </c>
      <c r="G1095" t="s">
        <v>1155</v>
      </c>
      <c r="H1095">
        <v>3</v>
      </c>
      <c r="I1095">
        <v>18157</v>
      </c>
      <c r="J1095" s="6">
        <v>5</v>
      </c>
      <c r="K1095">
        <v>17249.150000000001</v>
      </c>
      <c r="L1095">
        <v>51747.45</v>
      </c>
      <c r="M1095">
        <v>2000</v>
      </c>
      <c r="N1095" t="s">
        <v>1160</v>
      </c>
      <c r="O1095" t="s">
        <v>1164</v>
      </c>
      <c r="P1095" s="10">
        <v>45743</v>
      </c>
      <c r="Q1095" t="str">
        <f t="shared" si="51"/>
        <v>excellent</v>
      </c>
      <c r="R1095">
        <f t="shared" si="52"/>
        <v>3</v>
      </c>
      <c r="S1095" s="6">
        <f t="shared" si="53"/>
        <v>12</v>
      </c>
    </row>
    <row r="1096" spans="1:19" x14ac:dyDescent="0.3">
      <c r="A1096" s="10">
        <v>45824</v>
      </c>
      <c r="B1096" t="s">
        <v>1103</v>
      </c>
      <c r="C1096" t="s">
        <v>1126</v>
      </c>
      <c r="D1096" t="s">
        <v>1133</v>
      </c>
      <c r="E1096" t="s">
        <v>1138</v>
      </c>
      <c r="F1096" t="s">
        <v>1149</v>
      </c>
      <c r="G1096" t="s">
        <v>1153</v>
      </c>
      <c r="H1096">
        <v>4</v>
      </c>
      <c r="I1096">
        <v>28795</v>
      </c>
      <c r="J1096" s="6">
        <v>0</v>
      </c>
      <c r="K1096">
        <v>28795</v>
      </c>
      <c r="L1096">
        <v>115180</v>
      </c>
      <c r="M1096">
        <v>2000</v>
      </c>
      <c r="N1096" t="s">
        <v>1161</v>
      </c>
      <c r="O1096" t="s">
        <v>1163</v>
      </c>
      <c r="Q1096" t="str">
        <f t="shared" si="51"/>
        <v>no comment</v>
      </c>
      <c r="R1096">
        <f t="shared" si="52"/>
        <v>1</v>
      </c>
      <c r="S1096" s="6">
        <f t="shared" si="53"/>
        <v>0</v>
      </c>
    </row>
    <row r="1097" spans="1:19" x14ac:dyDescent="0.3">
      <c r="A1097" s="10">
        <v>45676</v>
      </c>
      <c r="B1097" t="s">
        <v>1104</v>
      </c>
      <c r="C1097" t="s">
        <v>1117</v>
      </c>
      <c r="D1097" t="s">
        <v>1133</v>
      </c>
      <c r="E1097" t="s">
        <v>1143</v>
      </c>
      <c r="F1097" t="s">
        <v>1151</v>
      </c>
      <c r="G1097" t="s">
        <v>1157</v>
      </c>
      <c r="H1097">
        <v>4</v>
      </c>
      <c r="I1097">
        <v>52529</v>
      </c>
      <c r="J1097" s="6">
        <v>15</v>
      </c>
      <c r="K1097">
        <v>44649.65</v>
      </c>
      <c r="L1097">
        <v>178598.6</v>
      </c>
      <c r="M1097">
        <v>1000</v>
      </c>
      <c r="N1097" t="s">
        <v>1161</v>
      </c>
      <c r="O1097" t="s">
        <v>1162</v>
      </c>
      <c r="Q1097" t="str">
        <f t="shared" si="51"/>
        <v>okay</v>
      </c>
      <c r="R1097">
        <f t="shared" si="52"/>
        <v>2</v>
      </c>
      <c r="S1097" s="6">
        <f t="shared" si="53"/>
        <v>0</v>
      </c>
    </row>
    <row r="1098" spans="1:19" x14ac:dyDescent="0.3">
      <c r="A1098" s="10">
        <v>45670</v>
      </c>
      <c r="B1098" t="s">
        <v>1105</v>
      </c>
      <c r="C1098" t="s">
        <v>1125</v>
      </c>
      <c r="D1098" t="s">
        <v>1133</v>
      </c>
      <c r="E1098" t="s">
        <v>1141</v>
      </c>
      <c r="F1098" t="s">
        <v>1151</v>
      </c>
      <c r="G1098" t="s">
        <v>1155</v>
      </c>
      <c r="H1098">
        <v>4</v>
      </c>
      <c r="I1098">
        <v>60989</v>
      </c>
      <c r="J1098" s="6">
        <v>20</v>
      </c>
      <c r="K1098">
        <v>48791.199999999997</v>
      </c>
      <c r="L1098">
        <v>195164.79999999999</v>
      </c>
      <c r="M1098">
        <v>1000</v>
      </c>
      <c r="N1098" t="s">
        <v>1161</v>
      </c>
      <c r="O1098" t="s">
        <v>1164</v>
      </c>
      <c r="P1098" s="10">
        <v>45673</v>
      </c>
      <c r="Q1098" t="str">
        <f t="shared" si="51"/>
        <v>excellent</v>
      </c>
      <c r="R1098">
        <f t="shared" si="52"/>
        <v>3</v>
      </c>
      <c r="S1098" s="6">
        <f t="shared" si="53"/>
        <v>3</v>
      </c>
    </row>
    <row r="1099" spans="1:19" x14ac:dyDescent="0.3">
      <c r="A1099" s="10">
        <v>45663</v>
      </c>
      <c r="B1099" t="s">
        <v>1106</v>
      </c>
      <c r="C1099" t="s">
        <v>1122</v>
      </c>
      <c r="D1099" t="s">
        <v>1136</v>
      </c>
      <c r="E1099" t="s">
        <v>1137</v>
      </c>
      <c r="F1099" t="s">
        <v>1149</v>
      </c>
      <c r="G1099" t="s">
        <v>1152</v>
      </c>
      <c r="H1099">
        <v>1</v>
      </c>
      <c r="I1099">
        <v>44969</v>
      </c>
      <c r="J1099" s="6">
        <v>20</v>
      </c>
      <c r="K1099">
        <v>35975.199999999997</v>
      </c>
      <c r="L1099">
        <v>35975.199999999997</v>
      </c>
      <c r="M1099">
        <v>1500</v>
      </c>
      <c r="N1099" t="s">
        <v>1160</v>
      </c>
      <c r="O1099" t="s">
        <v>1162</v>
      </c>
      <c r="Q1099" t="str">
        <f t="shared" si="51"/>
        <v>okay</v>
      </c>
      <c r="R1099">
        <f t="shared" si="52"/>
        <v>2</v>
      </c>
      <c r="S1099" s="6">
        <f t="shared" si="53"/>
        <v>0</v>
      </c>
    </row>
    <row r="1100" spans="1:19" x14ac:dyDescent="0.3">
      <c r="A1100" s="10">
        <v>45746</v>
      </c>
      <c r="B1100" t="s">
        <v>1107</v>
      </c>
      <c r="C1100" t="s">
        <v>1120</v>
      </c>
      <c r="D1100" t="s">
        <v>1135</v>
      </c>
      <c r="E1100" t="s">
        <v>1147</v>
      </c>
      <c r="F1100" t="s">
        <v>1150</v>
      </c>
      <c r="G1100" t="s">
        <v>1156</v>
      </c>
      <c r="H1100">
        <v>3</v>
      </c>
      <c r="I1100">
        <v>69653</v>
      </c>
      <c r="J1100" s="6">
        <v>0</v>
      </c>
      <c r="K1100">
        <v>69653</v>
      </c>
      <c r="L1100">
        <v>208959</v>
      </c>
      <c r="M1100">
        <v>2000</v>
      </c>
      <c r="N1100" t="s">
        <v>1161</v>
      </c>
      <c r="O1100" t="s">
        <v>1164</v>
      </c>
      <c r="P1100" s="10">
        <v>45760</v>
      </c>
      <c r="Q1100" t="str">
        <f t="shared" si="51"/>
        <v>excellent</v>
      </c>
      <c r="R1100">
        <f t="shared" si="52"/>
        <v>3</v>
      </c>
      <c r="S1100" s="6">
        <f t="shared" si="53"/>
        <v>14</v>
      </c>
    </row>
    <row r="1101" spans="1:19" x14ac:dyDescent="0.3">
      <c r="A1101" s="10">
        <v>45738</v>
      </c>
      <c r="B1101" t="s">
        <v>1108</v>
      </c>
      <c r="C1101" t="s">
        <v>1127</v>
      </c>
      <c r="D1101" t="s">
        <v>1134</v>
      </c>
      <c r="E1101" t="s">
        <v>1140</v>
      </c>
      <c r="F1101" t="s">
        <v>1150</v>
      </c>
      <c r="G1101" t="s">
        <v>1154</v>
      </c>
      <c r="H1101">
        <v>4</v>
      </c>
      <c r="I1101">
        <v>60312</v>
      </c>
      <c r="J1101" s="6">
        <v>0</v>
      </c>
      <c r="K1101">
        <v>60312</v>
      </c>
      <c r="L1101">
        <v>241248</v>
      </c>
      <c r="M1101">
        <v>2000</v>
      </c>
      <c r="N1101" t="s">
        <v>1161</v>
      </c>
      <c r="O1101" t="s">
        <v>1163</v>
      </c>
      <c r="Q1101" t="str">
        <f t="shared" si="51"/>
        <v>no comment</v>
      </c>
      <c r="R1101">
        <f t="shared" si="52"/>
        <v>1</v>
      </c>
      <c r="S1101" s="6">
        <f t="shared" si="53"/>
        <v>0</v>
      </c>
    </row>
    <row r="1102" spans="1:19" x14ac:dyDescent="0.3">
      <c r="A1102" s="10">
        <v>45733</v>
      </c>
      <c r="B1102" t="s">
        <v>1109</v>
      </c>
      <c r="C1102" t="s">
        <v>1128</v>
      </c>
      <c r="D1102" t="s">
        <v>1135</v>
      </c>
      <c r="E1102" t="s">
        <v>1147</v>
      </c>
      <c r="F1102" t="s">
        <v>1150</v>
      </c>
      <c r="G1102" t="s">
        <v>1156</v>
      </c>
      <c r="H1102">
        <v>3</v>
      </c>
      <c r="I1102">
        <v>30219</v>
      </c>
      <c r="J1102" s="6">
        <v>20</v>
      </c>
      <c r="K1102">
        <v>24175.200000000001</v>
      </c>
      <c r="L1102">
        <v>72525.600000000006</v>
      </c>
      <c r="M1102">
        <v>1000</v>
      </c>
      <c r="N1102" t="s">
        <v>1160</v>
      </c>
      <c r="O1102" t="s">
        <v>1162</v>
      </c>
      <c r="Q1102" t="str">
        <f t="shared" si="51"/>
        <v>okay</v>
      </c>
      <c r="R1102">
        <f t="shared" si="52"/>
        <v>2</v>
      </c>
      <c r="S1102" s="6">
        <f t="shared" si="53"/>
        <v>0</v>
      </c>
    </row>
    <row r="1103" spans="1:19" x14ac:dyDescent="0.3">
      <c r="A1103" s="10">
        <v>45766</v>
      </c>
      <c r="B1103" t="s">
        <v>1110</v>
      </c>
      <c r="C1103" t="s">
        <v>1126</v>
      </c>
      <c r="D1103" t="s">
        <v>1133</v>
      </c>
      <c r="E1103" t="s">
        <v>1144</v>
      </c>
      <c r="F1103" t="s">
        <v>1151</v>
      </c>
      <c r="G1103" t="s">
        <v>1157</v>
      </c>
      <c r="H1103">
        <v>3</v>
      </c>
      <c r="I1103">
        <v>2618</v>
      </c>
      <c r="J1103" s="6">
        <v>10</v>
      </c>
      <c r="K1103">
        <v>2356.1999999999998</v>
      </c>
      <c r="L1103">
        <v>7068.5999999999995</v>
      </c>
      <c r="M1103">
        <v>2000</v>
      </c>
      <c r="N1103" t="s">
        <v>1159</v>
      </c>
      <c r="O1103" t="s">
        <v>1163</v>
      </c>
      <c r="Q1103" t="str">
        <f t="shared" si="51"/>
        <v>no comment</v>
      </c>
      <c r="R1103">
        <f t="shared" si="52"/>
        <v>1</v>
      </c>
      <c r="S1103" s="6">
        <f t="shared" si="53"/>
        <v>0</v>
      </c>
    </row>
    <row r="1104" spans="1:19" x14ac:dyDescent="0.3">
      <c r="A1104" s="10">
        <v>45690</v>
      </c>
      <c r="B1104" t="s">
        <v>1111</v>
      </c>
      <c r="C1104" t="s">
        <v>1124</v>
      </c>
      <c r="D1104" t="s">
        <v>1135</v>
      </c>
      <c r="E1104" t="s">
        <v>1137</v>
      </c>
      <c r="F1104" t="s">
        <v>1149</v>
      </c>
      <c r="G1104" t="s">
        <v>1152</v>
      </c>
      <c r="H1104">
        <v>5</v>
      </c>
      <c r="I1104">
        <v>24282</v>
      </c>
      <c r="J1104" s="6">
        <v>20</v>
      </c>
      <c r="K1104">
        <v>19425.599999999999</v>
      </c>
      <c r="L1104">
        <v>97128</v>
      </c>
      <c r="M1104">
        <v>1000</v>
      </c>
      <c r="N1104" t="s">
        <v>1161</v>
      </c>
      <c r="O1104" t="s">
        <v>1164</v>
      </c>
      <c r="P1104" s="10">
        <v>45704</v>
      </c>
      <c r="Q1104" t="str">
        <f t="shared" si="51"/>
        <v>excellent</v>
      </c>
      <c r="R1104">
        <f t="shared" si="52"/>
        <v>3</v>
      </c>
      <c r="S1104" s="6">
        <f t="shared" si="53"/>
        <v>14</v>
      </c>
    </row>
    <row r="1105" spans="1:19" x14ac:dyDescent="0.3">
      <c r="A1105" s="10">
        <v>45760</v>
      </c>
      <c r="B1105" t="s">
        <v>1112</v>
      </c>
      <c r="C1105" t="s">
        <v>1120</v>
      </c>
      <c r="D1105" t="s">
        <v>1135</v>
      </c>
      <c r="E1105" t="s">
        <v>1141</v>
      </c>
      <c r="F1105" t="s">
        <v>1151</v>
      </c>
      <c r="G1105" t="s">
        <v>1155</v>
      </c>
      <c r="H1105">
        <v>5</v>
      </c>
      <c r="I1105">
        <v>49091</v>
      </c>
      <c r="J1105" s="6">
        <v>20</v>
      </c>
      <c r="K1105">
        <v>39272.800000000003</v>
      </c>
      <c r="L1105">
        <v>196364</v>
      </c>
      <c r="M1105">
        <v>1500</v>
      </c>
      <c r="N1105" t="s">
        <v>1161</v>
      </c>
      <c r="O1105" t="s">
        <v>1162</v>
      </c>
      <c r="Q1105" t="str">
        <f t="shared" si="51"/>
        <v>okay</v>
      </c>
      <c r="R1105">
        <f t="shared" si="52"/>
        <v>2</v>
      </c>
      <c r="S1105" s="6">
        <f t="shared" si="53"/>
        <v>0</v>
      </c>
    </row>
    <row r="1106" spans="1:19" x14ac:dyDescent="0.3">
      <c r="A1106" s="10">
        <v>45782</v>
      </c>
      <c r="B1106" t="s">
        <v>1113</v>
      </c>
      <c r="C1106" t="s">
        <v>1132</v>
      </c>
      <c r="D1106" t="s">
        <v>1134</v>
      </c>
      <c r="E1106" t="s">
        <v>1144</v>
      </c>
      <c r="F1106" t="s">
        <v>1151</v>
      </c>
      <c r="G1106" t="s">
        <v>1157</v>
      </c>
      <c r="H1106">
        <v>1</v>
      </c>
      <c r="I1106">
        <v>55501</v>
      </c>
      <c r="J1106" s="6">
        <v>20</v>
      </c>
      <c r="K1106">
        <v>44400.800000000003</v>
      </c>
      <c r="L1106">
        <v>44400.800000000003</v>
      </c>
      <c r="M1106">
        <v>1500</v>
      </c>
      <c r="N1106" t="s">
        <v>1161</v>
      </c>
      <c r="O1106" t="s">
        <v>1162</v>
      </c>
      <c r="Q1106" t="str">
        <f t="shared" si="51"/>
        <v>okay</v>
      </c>
      <c r="R1106">
        <f t="shared" si="52"/>
        <v>2</v>
      </c>
      <c r="S1106" s="6">
        <f t="shared" si="53"/>
        <v>0</v>
      </c>
    </row>
    <row r="1107" spans="1:19" x14ac:dyDescent="0.3">
      <c r="A1107" s="10">
        <v>45777</v>
      </c>
      <c r="B1107" t="s">
        <v>1114</v>
      </c>
      <c r="C1107" t="s">
        <v>1121</v>
      </c>
      <c r="D1107" t="s">
        <v>1136</v>
      </c>
      <c r="E1107" t="s">
        <v>1144</v>
      </c>
      <c r="F1107" t="s">
        <v>1151</v>
      </c>
      <c r="G1107" t="s">
        <v>1157</v>
      </c>
      <c r="H1107">
        <v>5</v>
      </c>
      <c r="I1107">
        <v>3474</v>
      </c>
      <c r="J1107" s="6">
        <v>5</v>
      </c>
      <c r="K1107">
        <v>3300.3</v>
      </c>
      <c r="L1107">
        <v>16501.5</v>
      </c>
      <c r="M1107">
        <v>1000</v>
      </c>
      <c r="N1107" t="s">
        <v>1159</v>
      </c>
      <c r="O1107" t="s">
        <v>1164</v>
      </c>
      <c r="P1107" s="10">
        <v>45787</v>
      </c>
      <c r="Q1107" t="str">
        <f t="shared" si="51"/>
        <v>excellent</v>
      </c>
      <c r="R1107">
        <f t="shared" si="52"/>
        <v>3</v>
      </c>
      <c r="S1107" s="6">
        <f t="shared" si="53"/>
        <v>10</v>
      </c>
    </row>
    <row r="1108" spans="1:19" x14ac:dyDescent="0.3">
      <c r="A1108" s="10">
        <v>45665</v>
      </c>
      <c r="B1108" t="s">
        <v>1115</v>
      </c>
      <c r="C1108" t="s">
        <v>1126</v>
      </c>
      <c r="D1108" t="s">
        <v>1133</v>
      </c>
      <c r="E1108" t="s">
        <v>1139</v>
      </c>
      <c r="F1108" t="s">
        <v>1150</v>
      </c>
      <c r="G1108" t="s">
        <v>1154</v>
      </c>
      <c r="H1108">
        <v>1</v>
      </c>
      <c r="I1108">
        <v>46933</v>
      </c>
      <c r="J1108" s="6">
        <v>15</v>
      </c>
      <c r="K1108">
        <v>39893.050000000003</v>
      </c>
      <c r="L1108">
        <v>39893.050000000003</v>
      </c>
      <c r="M1108">
        <v>2000</v>
      </c>
      <c r="N1108" t="s">
        <v>1161</v>
      </c>
      <c r="O1108" t="s">
        <v>1164</v>
      </c>
      <c r="P1108" s="10">
        <v>45677</v>
      </c>
      <c r="Q1108" t="str">
        <f t="shared" si="51"/>
        <v>excellent</v>
      </c>
      <c r="R1108">
        <f t="shared" si="52"/>
        <v>3</v>
      </c>
      <c r="S1108" s="6">
        <f t="shared" si="53"/>
        <v>12</v>
      </c>
    </row>
    <row r="1109" spans="1:19" x14ac:dyDescent="0.3">
      <c r="A1109" s="10">
        <v>45741</v>
      </c>
      <c r="B1109" t="s">
        <v>1116</v>
      </c>
      <c r="C1109" t="s">
        <v>1119</v>
      </c>
      <c r="D1109" t="s">
        <v>1134</v>
      </c>
      <c r="E1109" t="s">
        <v>1141</v>
      </c>
      <c r="F1109" t="s">
        <v>1151</v>
      </c>
      <c r="G1109" t="s">
        <v>1155</v>
      </c>
      <c r="H1109">
        <v>5</v>
      </c>
      <c r="I1109">
        <v>3468</v>
      </c>
      <c r="J1109" s="6">
        <v>10</v>
      </c>
      <c r="K1109">
        <v>3121.2</v>
      </c>
      <c r="L1109">
        <v>15606</v>
      </c>
      <c r="M1109">
        <v>1000</v>
      </c>
      <c r="N1109" t="s">
        <v>1160</v>
      </c>
      <c r="O1109" t="s">
        <v>1164</v>
      </c>
      <c r="P1109" s="10">
        <v>45755</v>
      </c>
      <c r="Q1109" t="str">
        <f t="shared" si="51"/>
        <v>excellent</v>
      </c>
      <c r="R1109">
        <f t="shared" si="52"/>
        <v>3</v>
      </c>
      <c r="S1109" s="6">
        <f t="shared" si="53"/>
        <v>14</v>
      </c>
    </row>
    <row r="1110" spans="1:19" x14ac:dyDescent="0.3">
      <c r="A1110" s="10">
        <v>45831</v>
      </c>
      <c r="B1110" t="s">
        <v>970</v>
      </c>
      <c r="C1110" t="s">
        <v>1122</v>
      </c>
      <c r="D1110" t="s">
        <v>1136</v>
      </c>
      <c r="E1110" t="s">
        <v>1139</v>
      </c>
      <c r="F1110" t="s">
        <v>1150</v>
      </c>
      <c r="G1110" t="s">
        <v>1154</v>
      </c>
      <c r="H1110">
        <v>1</v>
      </c>
      <c r="I1110">
        <v>24054</v>
      </c>
      <c r="J1110" s="6">
        <v>20</v>
      </c>
      <c r="K1110">
        <v>19243.2</v>
      </c>
      <c r="L1110">
        <v>19243.2</v>
      </c>
      <c r="M1110">
        <v>1500</v>
      </c>
      <c r="N1110" t="s">
        <v>1161</v>
      </c>
      <c r="O1110" t="s">
        <v>1164</v>
      </c>
      <c r="P1110" s="10">
        <v>45841</v>
      </c>
      <c r="Q1110" t="str">
        <f t="shared" si="51"/>
        <v>excellent</v>
      </c>
      <c r="R1110">
        <f t="shared" si="52"/>
        <v>3</v>
      </c>
      <c r="S1110" s="6">
        <f t="shared" si="53"/>
        <v>10</v>
      </c>
    </row>
    <row r="1111" spans="1:19" x14ac:dyDescent="0.3">
      <c r="A1111" s="10">
        <v>45686</v>
      </c>
      <c r="B1111" t="s">
        <v>274</v>
      </c>
      <c r="C1111" t="s">
        <v>1124</v>
      </c>
      <c r="D1111" t="s">
        <v>1135</v>
      </c>
      <c r="E1111" t="s">
        <v>1137</v>
      </c>
      <c r="F1111" t="s">
        <v>1149</v>
      </c>
      <c r="G1111" t="s">
        <v>1152</v>
      </c>
      <c r="H1111">
        <v>5</v>
      </c>
      <c r="I1111">
        <v>73986</v>
      </c>
      <c r="J1111" s="6">
        <v>10</v>
      </c>
      <c r="K1111">
        <v>66587.399999999994</v>
      </c>
      <c r="L1111">
        <v>332937</v>
      </c>
      <c r="M1111">
        <v>2000</v>
      </c>
      <c r="N1111" t="s">
        <v>1160</v>
      </c>
      <c r="O1111" t="s">
        <v>1164</v>
      </c>
      <c r="P1111" s="10">
        <v>45690</v>
      </c>
      <c r="Q1111" t="str">
        <f t="shared" si="51"/>
        <v>excellent</v>
      </c>
      <c r="R1111">
        <f t="shared" si="52"/>
        <v>3</v>
      </c>
      <c r="S1111" s="6">
        <f t="shared" si="53"/>
        <v>4</v>
      </c>
    </row>
    <row r="1112" spans="1:19" x14ac:dyDescent="0.3">
      <c r="A1112" s="10">
        <v>45693</v>
      </c>
      <c r="B1112" t="s">
        <v>181</v>
      </c>
      <c r="C1112" t="s">
        <v>1122</v>
      </c>
      <c r="D1112" t="s">
        <v>1136</v>
      </c>
      <c r="E1112" t="s">
        <v>1147</v>
      </c>
      <c r="F1112" t="s">
        <v>1150</v>
      </c>
      <c r="G1112" t="s">
        <v>1156</v>
      </c>
      <c r="H1112">
        <v>5</v>
      </c>
      <c r="I1112">
        <v>12156</v>
      </c>
      <c r="J1112" s="6">
        <v>15</v>
      </c>
      <c r="K1112">
        <v>10332.6</v>
      </c>
      <c r="L1112">
        <v>51663</v>
      </c>
      <c r="M1112">
        <v>2000</v>
      </c>
      <c r="N1112" t="s">
        <v>1160</v>
      </c>
      <c r="O1112" t="s">
        <v>1164</v>
      </c>
      <c r="P1112" s="10">
        <v>45706</v>
      </c>
      <c r="Q1112" t="str">
        <f t="shared" si="51"/>
        <v>excellent</v>
      </c>
      <c r="R1112">
        <f t="shared" si="52"/>
        <v>3</v>
      </c>
      <c r="S1112" s="6">
        <f t="shared" si="53"/>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Sheet6</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2025-07-01T09:35:03Z</dcterms:created>
  <dcterms:modified xsi:type="dcterms:W3CDTF">2025-08-21T22:48:54Z</dcterms:modified>
</cp:coreProperties>
</file>